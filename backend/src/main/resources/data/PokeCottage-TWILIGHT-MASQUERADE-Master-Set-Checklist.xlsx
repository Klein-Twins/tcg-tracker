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wilight Masquerade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<sst xmlns="http://schemas.openxmlformats.org/spreadsheetml/2006/main" count="1885" uniqueCount="320">
  <si>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</si>
  <si>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</si>
  <si>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</si>
  <si>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</si>
  <si>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</si>
  <si>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</si>
  <si>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</si>
  <si>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001/167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</si>
  <si>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</si>
  <si>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</si>
  <si>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</si>
  <si>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</si>
  <si>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002/167</t>
  </si>
  <si>
    <t xml:space="preserve">003/167</t>
  </si>
  <si>
    <t xml:space="preserve">004/167</t>
  </si>
  <si>
    <t xml:space="preserve">005/167</t>
  </si>
  <si>
    <t xml:space="preserve">Uncommon</t>
  </si>
  <si>
    <t xml:space="preserve">006/167</t>
  </si>
  <si>
    <t xml:space="preserve">007/167</t>
  </si>
  <si>
    <t xml:space="preserve">008/167</t>
  </si>
  <si>
    <t xml:space="preserve">009/167</t>
  </si>
  <si>
    <t xml:space="preserve">010/167</t>
  </si>
  <si>
    <t xml:space="preserve">011/167</t>
  </si>
  <si>
    <t xml:space="preserve">012/167</t>
  </si>
  <si>
    <t xml:space="preserve">013/167</t>
  </si>
  <si>
    <t xml:space="preserve">014/167</t>
  </si>
  <si>
    <t xml:space="preserve">015/167</t>
  </si>
  <si>
    <t xml:space="preserve">016/167</t>
  </si>
  <si>
    <t xml:space="preserve">017/167</t>
  </si>
  <si>
    <t xml:space="preserve">018/167</t>
  </si>
  <si>
    <t xml:space="preserve">019/167</t>
  </si>
  <si>
    <t xml:space="preserve">Rare</t>
  </si>
  <si>
    <t xml:space="preserve">Holo</t>
  </si>
  <si>
    <t xml:space="preserve">020/167</t>
  </si>
  <si>
    <t xml:space="preserve">021/167</t>
  </si>
  <si>
    <t xml:space="preserve">022/167</t>
  </si>
  <si>
    <t xml:space="preserve">023/167</t>
  </si>
  <si>
    <t xml:space="preserve">Double Rare</t>
  </si>
  <si>
    <t xml:space="preserve">024/167</t>
  </si>
  <si>
    <t xml:space="preserve">025/167</t>
  </si>
  <si>
    <t xml:space="preserve">026/167</t>
  </si>
  <si>
    <t xml:space="preserve">027/167</t>
  </si>
  <si>
    <t xml:space="preserve">028/167</t>
  </si>
  <si>
    <t xml:space="preserve">029/167</t>
  </si>
  <si>
    <t xml:space="preserve">030/167</t>
  </si>
  <si>
    <t xml:space="preserve">031/167</t>
  </si>
  <si>
    <t xml:space="preserve">032/167</t>
  </si>
  <si>
    <t xml:space="preserve">033/167</t>
  </si>
  <si>
    <t xml:space="preserve">034/167</t>
  </si>
  <si>
    <t xml:space="preserve">035/167</t>
  </si>
  <si>
    <t xml:space="preserve">036/167</t>
  </si>
  <si>
    <t xml:space="preserve">037/167</t>
  </si>
  <si>
    <t xml:space="preserve">038/167</t>
  </si>
  <si>
    <t xml:space="preserve">039/167</t>
  </si>
  <si>
    <t xml:space="preserve">040/167</t>
  </si>
  <si>
    <t xml:space="preserve">041/167</t>
  </si>
  <si>
    <t xml:space="preserve">042/167</t>
  </si>
  <si>
    <t xml:space="preserve">043/167</t>
  </si>
  <si>
    <t xml:space="preserve">044/167</t>
  </si>
  <si>
    <t xml:space="preserve">045/167</t>
  </si>
  <si>
    <t xml:space="preserve">046/167</t>
  </si>
  <si>
    <t xml:space="preserve">047/167</t>
  </si>
  <si>
    <t xml:space="preserve">048/167</t>
  </si>
  <si>
    <t xml:space="preserve">049/167</t>
  </si>
  <si>
    <t xml:space="preserve">050/167</t>
  </si>
  <si>
    <t xml:space="preserve">051/167</t>
  </si>
  <si>
    <t xml:space="preserve">052/167</t>
  </si>
  <si>
    <t xml:space="preserve">053/167</t>
  </si>
  <si>
    <t xml:space="preserve">054/167</t>
  </si>
  <si>
    <t xml:space="preserve">055/167</t>
  </si>
  <si>
    <t xml:space="preserve">056/167</t>
  </si>
  <si>
    <t xml:space="preserve">057/167</t>
  </si>
  <si>
    <t xml:space="preserve">058/167</t>
  </si>
  <si>
    <t xml:space="preserve">059/167</t>
  </si>
  <si>
    <t xml:space="preserve">060/167</t>
  </si>
  <si>
    <t xml:space="preserve">061/167</t>
  </si>
  <si>
    <t xml:space="preserve">062/167</t>
  </si>
  <si>
    <t xml:space="preserve">063/167</t>
  </si>
  <si>
    <t xml:space="preserve">064/167</t>
  </si>
  <si>
    <t xml:space="preserve">065/167</t>
  </si>
  <si>
    <t xml:space="preserve">066/167</t>
  </si>
  <si>
    <t xml:space="preserve">067/167</t>
  </si>
  <si>
    <t xml:space="preserve">068/167</t>
  </si>
  <si>
    <t xml:space="preserve">069/167</t>
  </si>
  <si>
    <t xml:space="preserve">070/167</t>
  </si>
  <si>
    <t xml:space="preserve">071/167</t>
  </si>
  <si>
    <t xml:space="preserve">072/167</t>
  </si>
  <si>
    <t xml:space="preserve">073/167</t>
  </si>
  <si>
    <t xml:space="preserve">074/167</t>
  </si>
  <si>
    <t xml:space="preserve">075/167</t>
  </si>
  <si>
    <t xml:space="preserve">076/167</t>
  </si>
  <si>
    <t xml:space="preserve">077/167</t>
  </si>
  <si>
    <t xml:space="preserve">078/167</t>
  </si>
  <si>
    <t xml:space="preserve">079/167</t>
  </si>
  <si>
    <t xml:space="preserve">080/167</t>
  </si>
  <si>
    <t xml:space="preserve">081/167</t>
  </si>
  <si>
    <t xml:space="preserve">082/167</t>
  </si>
  <si>
    <t xml:space="preserve">083/167</t>
  </si>
  <si>
    <t xml:space="preserve">084/167</t>
  </si>
  <si>
    <t xml:space="preserve">085/167</t>
  </si>
  <si>
    <t xml:space="preserve">086/167</t>
  </si>
  <si>
    <t xml:space="preserve">087/167</t>
  </si>
  <si>
    <t xml:space="preserve">088/167</t>
  </si>
  <si>
    <t xml:space="preserve">089/167</t>
  </si>
  <si>
    <t xml:space="preserve">090/167</t>
  </si>
  <si>
    <t xml:space="preserve">091/167</t>
  </si>
  <si>
    <t xml:space="preserve">092/167</t>
  </si>
  <si>
    <t xml:space="preserve">093/167</t>
  </si>
  <si>
    <t xml:space="preserve">094/167</t>
  </si>
  <si>
    <t xml:space="preserve">095/167</t>
  </si>
  <si>
    <t xml:space="preserve">096/167</t>
  </si>
  <si>
    <t xml:space="preserve">097/167</t>
  </si>
  <si>
    <t xml:space="preserve">098/167</t>
  </si>
  <si>
    <t xml:space="preserve">099/167</t>
  </si>
  <si>
    <t xml:space="preserve">100/167</t>
  </si>
  <si>
    <t xml:space="preserve">101/167</t>
  </si>
  <si>
    <t xml:space="preserve">102/167</t>
  </si>
  <si>
    <t xml:space="preserve">103/167</t>
  </si>
  <si>
    <t xml:space="preserve">104/167</t>
  </si>
  <si>
    <t xml:space="preserve">105/167</t>
  </si>
  <si>
    <t xml:space="preserve">106/167</t>
  </si>
  <si>
    <t xml:space="preserve">107/167</t>
  </si>
  <si>
    <t xml:space="preserve">108/167</t>
  </si>
  <si>
    <t xml:space="preserve">109/167</t>
  </si>
  <si>
    <t xml:space="preserve">110/167</t>
  </si>
  <si>
    <t xml:space="preserve">111/167</t>
  </si>
  <si>
    <t xml:space="preserve">112/167</t>
  </si>
  <si>
    <t xml:space="preserve">113/167</t>
  </si>
  <si>
    <t xml:space="preserve">114/167</t>
  </si>
  <si>
    <t xml:space="preserve">115/167</t>
  </si>
  <si>
    <t xml:space="preserve">116/167</t>
  </si>
  <si>
    <t xml:space="preserve">117/167</t>
  </si>
  <si>
    <t xml:space="preserve">118/167</t>
  </si>
  <si>
    <t xml:space="preserve">119/167</t>
  </si>
  <si>
    <t xml:space="preserve">120/167</t>
  </si>
  <si>
    <t xml:space="preserve">121/167</t>
  </si>
  <si>
    <t xml:space="preserve">122/167</t>
  </si>
  <si>
    <t xml:space="preserve">123/167</t>
  </si>
  <si>
    <t xml:space="preserve">124/167</t>
  </si>
  <si>
    <t xml:space="preserve">125/167</t>
  </si>
  <si>
    <t xml:space="preserve">126/167</t>
  </si>
  <si>
    <t xml:space="preserve">127/167</t>
  </si>
  <si>
    <t xml:space="preserve">128/167</t>
  </si>
  <si>
    <t xml:space="preserve">129/167</t>
  </si>
  <si>
    <t xml:space="preserve">130/167</t>
  </si>
  <si>
    <t xml:space="preserve">131/167</t>
  </si>
  <si>
    <t xml:space="preserve">132/167</t>
  </si>
  <si>
    <t xml:space="preserve">133/167</t>
  </si>
  <si>
    <t xml:space="preserve">134/167</t>
  </si>
  <si>
    <t xml:space="preserve">135/167</t>
  </si>
  <si>
    <t xml:space="preserve">136/167</t>
  </si>
  <si>
    <t xml:space="preserve">137/167</t>
  </si>
  <si>
    <t xml:space="preserve">138/167</t>
  </si>
  <si>
    <t xml:space="preserve">139/167</t>
  </si>
  <si>
    <t xml:space="preserve">140/167</t>
  </si>
  <si>
    <t xml:space="preserve">141/167</t>
  </si>
  <si>
    <t xml:space="preserve">142/167</t>
  </si>
  <si>
    <t xml:space="preserve">143/167</t>
  </si>
  <si>
    <t xml:space="preserve">144/167</t>
  </si>
  <si>
    <t xml:space="preserve">145/167</t>
  </si>
  <si>
    <t xml:space="preserve">146/167</t>
  </si>
  <si>
    <t xml:space="preserve">147/167</t>
  </si>
  <si>
    <t xml:space="preserve">148/167</t>
  </si>
  <si>
    <t xml:space="preserve">149/167</t>
  </si>
  <si>
    <t xml:space="preserve">150/167</t>
  </si>
  <si>
    <t xml:space="preserve">151/167</t>
  </si>
  <si>
    <t xml:space="preserve">152/167</t>
  </si>
  <si>
    <t xml:space="preserve">ACE SPEC Rare</t>
  </si>
  <si>
    <t xml:space="preserve">153/167</t>
  </si>
  <si>
    <t xml:space="preserve">154/167</t>
  </si>
  <si>
    <t xml:space="preserve">155/167</t>
  </si>
  <si>
    <t xml:space="preserve">156/167</t>
  </si>
  <si>
    <t xml:space="preserve">157/167</t>
  </si>
  <si>
    <t xml:space="preserve">158/167</t>
  </si>
  <si>
    <t xml:space="preserve">159/167</t>
  </si>
  <si>
    <t xml:space="preserve">160/167</t>
  </si>
  <si>
    <t xml:space="preserve">161/167</t>
  </si>
  <si>
    <t xml:space="preserve">162/167</t>
  </si>
  <si>
    <t xml:space="preserve">163/167</t>
  </si>
  <si>
    <t xml:space="preserve">164/167</t>
  </si>
  <si>
    <t xml:space="preserve">165/167</t>
  </si>
  <si>
    <t xml:space="preserve">166/167</t>
  </si>
  <si>
    <t xml:space="preserve">167/167</t>
  </si>
  <si>
    <t xml:space="preserve">168/167</t>
  </si>
  <si>
    <t xml:space="preserve">Illustration Rare</t>
  </si>
  <si>
    <t xml:space="preserve">169/167</t>
  </si>
  <si>
    <t xml:space="preserve">170/167</t>
  </si>
  <si>
    <t xml:space="preserve">171/167</t>
  </si>
  <si>
    <t xml:space="preserve">172/167</t>
  </si>
  <si>
    <t xml:space="preserve">173/167</t>
  </si>
  <si>
    <t xml:space="preserve">174/167</t>
  </si>
  <si>
    <t xml:space="preserve">175/167</t>
  </si>
  <si>
    <t xml:space="preserve">176/167</t>
  </si>
  <si>
    <t xml:space="preserve">177/167</t>
  </si>
  <si>
    <t xml:space="preserve">178/167</t>
  </si>
  <si>
    <t xml:space="preserve">179/167</t>
  </si>
  <si>
    <t xml:space="preserve">180/167</t>
  </si>
  <si>
    <t xml:space="preserve">181/167</t>
  </si>
  <si>
    <t xml:space="preserve">182/167</t>
  </si>
  <si>
    <t xml:space="preserve">183/167</t>
  </si>
  <si>
    <t xml:space="preserve">184/167</t>
  </si>
  <si>
    <t xml:space="preserve">185/167</t>
  </si>
  <si>
    <t xml:space="preserve">186/167</t>
  </si>
  <si>
    <t xml:space="preserve">187/167</t>
  </si>
  <si>
    <t xml:space="preserve">188/167</t>
  </si>
  <si>
    <t xml:space="preserve">189/167</t>
  </si>
  <si>
    <t xml:space="preserve">Ultra Rare</t>
  </si>
  <si>
    <t xml:space="preserve">190/167</t>
  </si>
  <si>
    <t xml:space="preserve">191/167</t>
  </si>
  <si>
    <t xml:space="preserve">192/167</t>
  </si>
  <si>
    <t xml:space="preserve">193/167</t>
  </si>
  <si>
    <t xml:space="preserve">194/167</t>
  </si>
  <si>
    <t xml:space="preserve">195/167</t>
  </si>
  <si>
    <t xml:space="preserve">196/167</t>
  </si>
  <si>
    <t xml:space="preserve">197/167</t>
  </si>
  <si>
    <t xml:space="preserve">198/167</t>
  </si>
  <si>
    <t xml:space="preserve">199/167</t>
  </si>
  <si>
    <t xml:space="preserve">200/167</t>
  </si>
  <si>
    <t xml:space="preserve">201/167</t>
  </si>
  <si>
    <t xml:space="preserve">202/167</t>
  </si>
  <si>
    <t xml:space="preserve">203/167</t>
  </si>
  <si>
    <t xml:space="preserve">204/167</t>
  </si>
  <si>
    <t xml:space="preserve">205/167</t>
  </si>
  <si>
    <t xml:space="preserve">206/167</t>
  </si>
  <si>
    <t xml:space="preserve">207/167</t>
  </si>
  <si>
    <t xml:space="preserve">208/167</t>
  </si>
  <si>
    <t xml:space="preserve">209/167</t>
  </si>
  <si>
    <t xml:space="preserve">210/167</t>
  </si>
  <si>
    <t xml:space="preserve">Special Illustration Rare</t>
  </si>
  <si>
    <t xml:space="preserve">211/167</t>
  </si>
  <si>
    <t xml:space="preserve">212/167</t>
  </si>
  <si>
    <t xml:space="preserve">213/167</t>
  </si>
  <si>
    <t xml:space="preserve">214/167</t>
  </si>
  <si>
    <t xml:space="preserve">215/167</t>
  </si>
  <si>
    <t xml:space="preserve">216/167</t>
  </si>
  <si>
    <t xml:space="preserve">217/167</t>
  </si>
  <si>
    <t xml:space="preserve">218/167</t>
  </si>
  <si>
    <t xml:space="preserve">219/167</t>
  </si>
  <si>
    <t xml:space="preserve">220/167</t>
  </si>
  <si>
    <t xml:space="preserve">221/167</t>
  </si>
  <si>
    <t xml:space="preserve">Hyper Rare</t>
  </si>
  <si>
    <t xml:space="preserve">222/167</t>
  </si>
  <si>
    <t xml:space="preserve">223/167</t>
  </si>
  <si>
    <t xml:space="preserve">224/167</t>
  </si>
  <si>
    <t xml:space="preserve">225/167</t>
  </si>
  <si>
    <t xml:space="preserve">226/167</t>
  </si>
  <si>
    <t xml:space="preserve">Promos &amp; Variants - Optional</t>
  </si>
  <si>
    <t xml:space="preserve">SVP 115</t>
  </si>
  <si>
    <t xml:space="preserve">Build &amp; Battle Deck Promo</t>
  </si>
  <si>
    <t xml:space="preserve">Staff Stamped</t>
  </si>
  <si>
    <t xml:space="preserve">SVP 116</t>
  </si>
  <si>
    <t xml:space="preserve">SVP 117</t>
  </si>
  <si>
    <t xml:space="preserve">SVP 118</t>
  </si>
  <si>
    <t xml:space="preserve">SVP 119</t>
  </si>
  <si>
    <t xml:space="preserve">Single Pack Blister</t>
  </si>
  <si>
    <t xml:space="preserve">SVP 120</t>
  </si>
  <si>
    <t xml:space="preserve">SVP 121</t>
  </si>
  <si>
    <t xml:space="preserve">3-Pack Blister</t>
  </si>
  <si>
    <t xml:space="preserve">SVP 122</t>
  </si>
  <si>
    <t xml:space="preserve">SVP 123</t>
  </si>
  <si>
    <t xml:space="preserve">Elite Trainer Box Promo</t>
  </si>
  <si>
    <t xml:space="preserve">Pokemon Center ETB Promo</t>
  </si>
  <si>
    <t xml:space="preserve">SVP 126</t>
  </si>
  <si>
    <t xml:space="preserve">Palafin ex Box</t>
  </si>
  <si>
    <t xml:space="preserve">Trick or Trade 2024</t>
  </si>
  <si>
    <t xml:space="preserve">Cosmos Holo</t>
  </si>
  <si>
    <t xml:space="preserve">Expansion Stamp</t>
  </si>
  <si>
    <t xml:space="preserve">Teal Mask Ogerpon</t>
  </si>
  <si>
    <t xml:space="preserve">EB Games</t>
  </si>
  <si>
    <t xml:space="preserve">GameStop</t>
  </si>
  <si>
    <t xml:space="preserve">Teal Mask Ogerpon ex</t>
  </si>
  <si>
    <t xml:space="preserve">Play! Pokémon</t>
  </si>
  <si>
    <t xml:space="preserve">Play! Pokémon (Alternate Placement)</t>
  </si>
  <si>
    <t xml:space="preserve">World Championships Deck 2024: Regidrago VSTAR by Evan Pavelski</t>
  </si>
  <si>
    <t xml:space="preserve">World Championships Deck 2025: JP Raging Bolt by Yuya Okita</t>
  </si>
  <si>
    <t xml:space="preserve">Build &amp; Battle Deck</t>
  </si>
  <si>
    <t xml:space="preserve">Jumbo (Expansion Stamp)</t>
  </si>
  <si>
    <t xml:space="preserve">Froslass</t>
  </si>
  <si>
    <t xml:space="preserve">Holiday Calendar 2024</t>
  </si>
  <si>
    <t xml:space="preserve">Jumbo</t>
  </si>
  <si>
    <t xml:space="preserve">Iron Thorns ex</t>
  </si>
  <si>
    <t xml:space="preserve">Pokémon TCG Gym</t>
  </si>
  <si>
    <t xml:space="preserve">World Championships Deck 2024: Crushing Thorn by Fernando Cifuentes</t>
  </si>
  <si>
    <t xml:space="preserve">World Championships Deck 2024: Crushing Thorn by Fernando Cifuentes (Gold Signature)</t>
  </si>
  <si>
    <t xml:space="preserve">Munkidori</t>
  </si>
  <si>
    <t xml:space="preserve">World Championships Deck 2025: Flutter Devo Gardevoir by Riley McKay</t>
  </si>
  <si>
    <t xml:space="preserve">World Championships Deck 2025: Pult Bomb by Jose Cruz Galindo-Resendiz</t>
  </si>
  <si>
    <t xml:space="preserve">Fezandipiti</t>
  </si>
  <si>
    <t xml:space="preserve">Hisuian Arcanine</t>
  </si>
  <si>
    <t xml:space="preserve">Q2 2026 League Kit</t>
  </si>
  <si>
    <t xml:space="preserve">Play! Pokémon (Cosmos Holo)</t>
  </si>
  <si>
    <t xml:space="preserve">Greninja ex</t>
  </si>
  <si>
    <t xml:space="preserve">Metal Card</t>
  </si>
  <si>
    <t xml:space="preserve">Okidogi</t>
  </si>
  <si>
    <t xml:space="preserve">Dreepy</t>
  </si>
  <si>
    <t xml:space="preserve">Drakloak</t>
  </si>
  <si>
    <t xml:space="preserve">Play! Pokémon (Mirror Holo)</t>
  </si>
  <si>
    <t xml:space="preserve">Dragapult ex</t>
  </si>
  <si>
    <t xml:space="preserve">World Championships Deck 2025: Pult Bomb by Jose Cruz Galindo-Resendiz (Gold Signature)</t>
  </si>
  <si>
    <t xml:space="preserve">Bloodmoon Ursaluna ex</t>
  </si>
  <si>
    <t xml:space="preserve">World Championships Deck 2024: The 'Don by Jesse Parker</t>
  </si>
  <si>
    <t xml:space="preserve">Bug Catching Set</t>
  </si>
  <si>
    <t xml:space="preserve">Regional Championships</t>
  </si>
  <si>
    <t xml:space="preserve">Carmine</t>
  </si>
  <si>
    <t xml:space="preserve">Regional Championships (Staff)</t>
  </si>
  <si>
    <t xml:space="preserve">Community Center</t>
  </si>
  <si>
    <t xml:space="preserve">Professor Program</t>
  </si>
  <si>
    <t xml:space="preserve">Professor Program (Champion)</t>
  </si>
  <si>
    <t xml:space="preserve">Professor Program (Staff)</t>
  </si>
  <si>
    <t xml:space="preserve">Professor Program (Top 4)</t>
  </si>
  <si>
    <t xml:space="preserve">Professor Program (Top 8)</t>
  </si>
  <si>
    <t xml:space="preserve">Enhanced Hammer</t>
  </si>
  <si>
    <t xml:space="preserve">Jamming Tower</t>
  </si>
  <si>
    <t xml:space="preserve">Ogre's Mask</t>
  </si>
  <si>
    <t xml:space="preserve">World Championships Deck 2024: Ancient Toolbox by Sakuya Ota</t>
  </si>
  <si>
    <t xml:space="preserve">This checklist contains affiliate links for which I may be compensated.</t>
  </si>
  <si>
    <t xml:space="preserve">Want free Twilight Masquerade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</si>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</sst>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IFERROR((COUNTIF(A2:A374,"☑"))/((COUNTIF(A2:A374,"☑"))+(COUNTIF(A2:A374,"☐"))),0)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HYPERLINK("https://partner.tcgplayer.com/c/6278691/1780961/21018?u=https%3A%2F%2Fwww.tcgplayer.com%2Fproduct%2F550045%3Futm_source%3Dimpact%26utm_medium%3Daffiliate%26utm_campaign%3Dpoke%2Bcottage","Tangela")</f>
        <v>Tangela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IFERROR(COUNTIF(A2:A489,"☑")/(COUNTIF(A2:A489,"☑")+COUNTIF(A2:A489,"☐")),0)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HYPERLINK("https://partner.tcgplayer.com/c/6278691/1780961/21018?u=https%3A%2F%2Fwww.tcgplayer.com%2Fproduct%2F550045%3Futm_source%3Dimpact%26utm_medium%3Daffiliate%26utm_campaign%3Dpoke%2Bcottage","Tangela")</f>
        <v>Tangela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HYPERLINK("https://partner.tcgplayer.com/c/6278691/1780961/21018?u=https%3A%2F%2Fwww.tcgplayer.com%2Fproduct%2F550046%3Futm_source%3Dimpact%26utm_medium%3Daffiliate%26utm_campaign%3Dpoke%2Bcottage","Tangrowth")</f>
        <v>Tangrowth</v>
      </c>
      <c r="D4" s="5" t="s">
        <v>8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HYPERLINK("https://partner.tcgplayer.com/c/6278691/1780961/21018?u=https%3A%2F%2Fwww.tcgplayer.com%2Fproduct%2F550046%3Futm_source%3Dimpact%26utm_medium%3Daffiliate%26utm_campaign%3Dpoke%2Bcottage","Tangrowth")</f>
        <v>Tangrowth</v>
      </c>
      <c r="D5" s="5" t="s">
        <v>8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13</v>
      </c>
      <c r="C6" s="6" t="str">
        <f aca="false">HYPERLINK("https://partner.tcgplayer.com/c/6278691/1780961/21018?u=https%3A%2F%2Fwww.tcgplayer.com%2Fproduct%2F550047%3Futm_source%3Dimpact%26utm_medium%3Daffiliate%26utm_campaign%3Dpoke%2Bcottage","Pinsir")</f>
        <v>Pinsir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13</v>
      </c>
      <c r="C7" s="6" t="str">
        <f aca="false">HYPERLINK("https://partner.tcgplayer.com/c/6278691/1780961/21018?u=https%3A%2F%2Fwww.tcgplayer.com%2Fproduct%2F550047%3Futm_source%3Dimpact%26utm_medium%3Daffiliate%26utm_campaign%3Dpoke%2Bcottage","Pinsir")</f>
        <v>Pinsir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14</v>
      </c>
      <c r="C8" s="6" t="str">
        <f aca="false">HYPERLINK("https://partner.tcgplayer.com/c/6278691/1780961/21018?u=https%3A%2F%2Fwww.tcgplayer.com%2Fproduct%2F550048%3Futm_source%3Dimpact%26utm_medium%3Daffiliate%26utm_campaign%3Dpoke%2Bcottage","Spinarak")</f>
        <v>Spinarak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14</v>
      </c>
      <c r="C9" s="6" t="str">
        <f aca="false">HYPERLINK("https://partner.tcgplayer.com/c/6278691/1780961/21018?u=https%3A%2F%2Fwww.tcgplayer.com%2Fproduct%2F550048%3Futm_source%3Dimpact%26utm_medium%3Daffiliate%26utm_campaign%3Dpoke%2Bcottage","Spinarak")</f>
        <v>Spinarak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15</v>
      </c>
      <c r="C10" s="6" t="str">
        <f aca="false">HYPERLINK("https://partner.tcgplayer.com/c/6278691/1780961/21018?u=https%3A%2F%2Fwww.tcgplayer.com%2Fproduct%2F550049%3Futm_source%3Dimpact%26utm_medium%3Daffiliate%26utm_campaign%3Dpoke%2Bcottage","Ariados")</f>
        <v>Ariados</v>
      </c>
      <c r="D10" s="5" t="s">
        <v>16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15</v>
      </c>
      <c r="C11" s="6" t="str">
        <f aca="false">HYPERLINK("https://partner.tcgplayer.com/c/6278691/1780961/21018?u=https%3A%2F%2Fwww.tcgplayer.com%2Fproduct%2F550049%3Futm_source%3Dimpact%26utm_medium%3Daffiliate%26utm_campaign%3Dpoke%2Bcottage","Ariados")</f>
        <v>Ariados</v>
      </c>
      <c r="D11" s="5" t="s">
        <v>16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17</v>
      </c>
      <c r="C12" s="6" t="str">
        <f aca="false">HYPERLINK("https://partner.tcgplayer.com/c/6278691/1780961/21018?u=https%3A%2F%2Fwww.tcgplayer.com%2Fproduct%2F550050%3Futm_source%3Dimpact%26utm_medium%3Daffiliate%26utm_campaign%3Dpoke%2Bcottage","Sunkern")</f>
        <v>Sunkern</v>
      </c>
      <c r="D12" s="5" t="s">
        <v>8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17</v>
      </c>
      <c r="C13" s="6" t="str">
        <f aca="false">HYPERLINK("https://partner.tcgplayer.com/c/6278691/1780961/21018?u=https%3A%2F%2Fwww.tcgplayer.com%2Fproduct%2F550050%3Futm_source%3Dimpact%26utm_medium%3Daffiliate%26utm_campaign%3Dpoke%2Bcottage","Sunkern")</f>
        <v>Sunkern</v>
      </c>
      <c r="D13" s="5" t="s">
        <v>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18</v>
      </c>
      <c r="C14" s="6" t="str">
        <f aca="false">HYPERLINK("https://partner.tcgplayer.com/c/6278691/1780961/21018?u=https%3A%2F%2Fwww.tcgplayer.com%2Fproduct%2F550051%3Futm_source%3Dimpact%26utm_medium%3Daffiliate%26utm_campaign%3Dpoke%2Bcottage","Sunflora")</f>
        <v>Sunflora</v>
      </c>
      <c r="D14" s="5" t="s">
        <v>16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18</v>
      </c>
      <c r="C15" s="6" t="str">
        <f aca="false">HYPERLINK("https://partner.tcgplayer.com/c/6278691/1780961/21018?u=https%3A%2F%2Fwww.tcgplayer.com%2Fproduct%2F550051%3Futm_source%3Dimpact%26utm_medium%3Daffiliate%26utm_campaign%3Dpoke%2Bcottage","Sunflora")</f>
        <v>Sunflora</v>
      </c>
      <c r="D15" s="5" t="s">
        <v>16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19</v>
      </c>
      <c r="C16" s="6" t="str">
        <f aca="false">HYPERLINK("https://partner.tcgplayer.com/c/6278691/1780961/21018?u=https%3A%2F%2Fwww.tcgplayer.com%2Fproduct%2F550052%3Futm_source%3Dimpact%26utm_medium%3Daffiliate%26utm_campaign%3Dpoke%2Bcottage","Heracross")</f>
        <v>Heracross</v>
      </c>
      <c r="D16" s="5" t="s">
        <v>16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19</v>
      </c>
      <c r="C17" s="6" t="str">
        <f aca="false">HYPERLINK("https://partner.tcgplayer.com/c/6278691/1780961/21018?u=https%3A%2F%2Fwww.tcgplayer.com%2Fproduct%2F550052%3Futm_source%3Dimpact%26utm_medium%3Daffiliate%26utm_campaign%3Dpoke%2Bcottage","Heracross")</f>
        <v>Heracross</v>
      </c>
      <c r="D17" s="5" t="s">
        <v>16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20</v>
      </c>
      <c r="C18" s="6" t="str">
        <f aca="false">HYPERLINK("https://partner.tcgplayer.com/c/6278691/1780961/21018?u=https%3A%2F%2Fwww.tcgplayer.com%2Fproduct%2F550053%3Futm_source%3Dimpact%26utm_medium%3Daffiliate%26utm_campaign%3Dpoke%2Bcottage","Volbeat")</f>
        <v>Volbeat</v>
      </c>
      <c r="D18" s="5" t="s">
        <v>8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20</v>
      </c>
      <c r="C19" s="6" t="str">
        <f aca="false">HYPERLINK("https://partner.tcgplayer.com/c/6278691/1780961/21018?u=https%3A%2F%2Fwww.tcgplayer.com%2Fproduct%2F550053%3Futm_source%3Dimpact%26utm_medium%3Daffiliate%26utm_campaign%3Dpoke%2Bcottage","Volbeat")</f>
        <v>Volbeat</v>
      </c>
      <c r="D19" s="5" t="s">
        <v>8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HYPERLINK("https://partner.tcgplayer.com/c/6278691/1780961/21018?u=https%3A%2F%2Fwww.tcgplayer.com%2Fproduct%2F550054%3Futm_source%3Dimpact%26utm_medium%3Daffiliate%26utm_campaign%3Dpoke%2Bcottage","Illumise")</f>
        <v>Illumise</v>
      </c>
      <c r="D20" s="5" t="s">
        <v>8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HYPERLINK("https://partner.tcgplayer.com/c/6278691/1780961/21018?u=https%3A%2F%2Fwww.tcgplayer.com%2Fproduct%2F550054%3Futm_source%3Dimpact%26utm_medium%3Daffiliate%26utm_campaign%3Dpoke%2Bcottage","Illumise")</f>
        <v>Illumise</v>
      </c>
      <c r="D21" s="5" t="s">
        <v>8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22</v>
      </c>
      <c r="C22" s="6" t="str">
        <f aca="false">HYPERLINK("https://partner.tcgplayer.com/c/6278691/1780961/21018?u=https%3A%2F%2Fwww.tcgplayer.com%2Fproduct%2F550055%3Futm_source%3Dimpact%26utm_medium%3Daffiliate%26utm_campaign%3Dpoke%2Bcottage","Leafeon")</f>
        <v>Leafeon</v>
      </c>
      <c r="D22" s="5" t="s">
        <v>16</v>
      </c>
      <c r="E22" s="5" t="s">
        <v>9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HYPERLINK("https://partner.tcgplayer.com/c/6278691/1780961/21018?u=https%3A%2F%2Fwww.tcgplayer.com%2Fproduct%2F550055%3Futm_source%3Dimpact%26utm_medium%3Daffiliate%26utm_campaign%3Dpoke%2Bcottage","Leafeon")</f>
        <v>Leafeon</v>
      </c>
      <c r="D23" s="5" t="s">
        <v>16</v>
      </c>
      <c r="E23" s="5" t="s">
        <v>11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23</v>
      </c>
      <c r="C24" s="6" t="str">
        <f aca="false">HYPERLINK("https://partner.tcgplayer.com/c/6278691/1780961/21018?u=https%3A%2F%2Fwww.tcgplayer.com%2Fproduct%2F550056%3Futm_source%3Dimpact%26utm_medium%3Daffiliate%26utm_campaign%3Dpoke%2Bcottage","Phantump")</f>
        <v>Phantump</v>
      </c>
      <c r="D24" s="5" t="s">
        <v>8</v>
      </c>
      <c r="E24" s="5" t="s">
        <v>9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23</v>
      </c>
      <c r="C25" s="6" t="str">
        <f aca="false">HYPERLINK("https://partner.tcgplayer.com/c/6278691/1780961/21018?u=https%3A%2F%2Fwww.tcgplayer.com%2Fproduct%2F550056%3Futm_source%3Dimpact%26utm_medium%3Daffiliate%26utm_campaign%3Dpoke%2Bcottage","Phantump")</f>
        <v>Phantump</v>
      </c>
      <c r="D25" s="5" t="s">
        <v>8</v>
      </c>
      <c r="E25" s="5" t="s">
        <v>11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24</v>
      </c>
      <c r="C26" s="6" t="str">
        <f aca="false">HYPERLINK("https://partner.tcgplayer.com/c/6278691/1780961/21018?u=https%3A%2F%2Fwww.tcgplayer.com%2Fproduct%2F550057%3Futm_source%3Dimpact%26utm_medium%3Daffiliate%26utm_campaign%3Dpoke%2Bcottage","Trevenant")</f>
        <v>Trevenant</v>
      </c>
      <c r="D26" s="5" t="s">
        <v>8</v>
      </c>
      <c r="E26" s="5" t="s">
        <v>9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24</v>
      </c>
      <c r="C27" s="6" t="str">
        <f aca="false">HYPERLINK("https://partner.tcgplayer.com/c/6278691/1780961/21018?u=https%3A%2F%2Fwww.tcgplayer.com%2Fproduct%2F550057%3Futm_source%3Dimpact%26utm_medium%3Daffiliate%26utm_campaign%3Dpoke%2Bcottage","Trevenant")</f>
        <v>Trevenant</v>
      </c>
      <c r="D27" s="5" t="s">
        <v>8</v>
      </c>
      <c r="E27" s="5" t="s">
        <v>11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25</v>
      </c>
      <c r="C28" s="6" t="str">
        <f aca="false">HYPERLINK("https://partner.tcgplayer.com/c/6278691/1780961/21018?u=https%3A%2F%2Fwww.tcgplayer.com%2Fproduct%2F550058%3Futm_source%3Dimpact%26utm_medium%3Daffiliate%26utm_campaign%3Dpoke%2Bcottage","Grookey")</f>
        <v>Grookey</v>
      </c>
      <c r="D28" s="5" t="s">
        <v>8</v>
      </c>
      <c r="E28" s="5" t="s">
        <v>9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25</v>
      </c>
      <c r="C29" s="6" t="str">
        <f aca="false">HYPERLINK("https://partner.tcgplayer.com/c/6278691/1780961/21018?u=https%3A%2F%2Fwww.tcgplayer.com%2Fproduct%2F550058%3Futm_source%3Dimpact%26utm_medium%3Daffiliate%26utm_campaign%3Dpoke%2Bcottage","Grookey")</f>
        <v>Grookey</v>
      </c>
      <c r="D29" s="5" t="s">
        <v>8</v>
      </c>
      <c r="E29" s="5" t="s">
        <v>11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26</v>
      </c>
      <c r="C30" s="6" t="str">
        <f aca="false">HYPERLINK("https://partner.tcgplayer.com/c/6278691/1780961/21018?u=https%3A%2F%2Fwww.tcgplayer.com%2Fproduct%2F550059%3Futm_source%3Dimpact%26utm_medium%3Daffiliate%26utm_campaign%3Dpoke%2Bcottage","Thwackey")</f>
        <v>Thwackey</v>
      </c>
      <c r="D30" s="5" t="s">
        <v>8</v>
      </c>
      <c r="E30" s="5" t="s">
        <v>9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26</v>
      </c>
      <c r="C31" s="6" t="str">
        <f aca="false">HYPERLINK("https://partner.tcgplayer.com/c/6278691/1780961/21018?u=https%3A%2F%2Fwww.tcgplayer.com%2Fproduct%2F550059%3Futm_source%3Dimpact%26utm_medium%3Daffiliate%26utm_campaign%3Dpoke%2Bcottage","Thwackey")</f>
        <v>Thwackey</v>
      </c>
      <c r="D31" s="5" t="s">
        <v>8</v>
      </c>
      <c r="E31" s="5" t="s">
        <v>11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27</v>
      </c>
      <c r="C32" s="6" t="str">
        <f aca="false">HYPERLINK("https://partner.tcgplayer.com/c/6278691/1780961/21018?u=https%3A%2F%2Fwww.tcgplayer.com%2Fproduct%2F550060%3Futm_source%3Dimpact%26utm_medium%3Daffiliate%26utm_campaign%3Dpoke%2Bcottage","Rillaboom")</f>
        <v>Rillaboom</v>
      </c>
      <c r="D32" s="5" t="s">
        <v>16</v>
      </c>
      <c r="E32" s="5" t="s">
        <v>9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27</v>
      </c>
      <c r="C33" s="6" t="str">
        <f aca="false">HYPERLINK("https://partner.tcgplayer.com/c/6278691/1780961/21018?u=https%3A%2F%2Fwww.tcgplayer.com%2Fproduct%2F550060%3Futm_source%3Dimpact%26utm_medium%3Daffiliate%26utm_campaign%3Dpoke%2Bcottage","Rillaboom")</f>
        <v>Rillaboom</v>
      </c>
      <c r="D33" s="5" t="s">
        <v>16</v>
      </c>
      <c r="E33" s="5" t="s">
        <v>11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28</v>
      </c>
      <c r="C34" s="6" t="str">
        <f aca="false">HYPERLINK("https://partner.tcgplayer.com/c/6278691/1780961/21018?u=https%3A%2F%2Fwww.tcgplayer.com%2Fproduct%2F550061%3Futm_source%3Dimpact%26utm_medium%3Daffiliate%26utm_campaign%3Dpoke%2Bcottage","Applin")</f>
        <v>Applin</v>
      </c>
      <c r="D34" s="5" t="s">
        <v>8</v>
      </c>
      <c r="E34" s="5" t="s">
        <v>9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28</v>
      </c>
      <c r="C35" s="6" t="str">
        <f aca="false">HYPERLINK("https://partner.tcgplayer.com/c/6278691/1780961/21018?u=https%3A%2F%2Fwww.tcgplayer.com%2Fproduct%2F550061%3Futm_source%3Dimpact%26utm_medium%3Daffiliate%26utm_campaign%3Dpoke%2Bcottage","Applin")</f>
        <v>Applin</v>
      </c>
      <c r="D35" s="5" t="s">
        <v>8</v>
      </c>
      <c r="E35" s="5" t="s">
        <v>11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29</v>
      </c>
      <c r="C36" s="6" t="str">
        <f aca="false">HYPERLINK("https://partner.tcgplayer.com/c/6278691/1780961/21018?u=https%3A%2F%2Fwww.tcgplayer.com%2Fproduct%2F550062%3Futm_source%3Dimpact%26utm_medium%3Daffiliate%26utm_campaign%3Dpoke%2Bcottage","Dipplin")</f>
        <v>Dipplin</v>
      </c>
      <c r="D36" s="5" t="s">
        <v>16</v>
      </c>
      <c r="E36" s="5" t="s">
        <v>9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29</v>
      </c>
      <c r="C37" s="6" t="str">
        <f aca="false">HYPERLINK("https://partner.tcgplayer.com/c/6278691/1780961/21018?u=https%3A%2F%2Fwww.tcgplayer.com%2Fproduct%2F550062%3Futm_source%3Dimpact%26utm_medium%3Daffiliate%26utm_campaign%3Dpoke%2Bcottage","Dipplin")</f>
        <v>Dipplin</v>
      </c>
      <c r="D37" s="5" t="s">
        <v>16</v>
      </c>
      <c r="E37" s="5" t="s">
        <v>11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30</v>
      </c>
      <c r="C38" s="6" t="str">
        <f aca="false">HYPERLINK("https://partner.tcgplayer.com/c/6278691/1780961/21018?u=https%3A%2F%2Fwww.tcgplayer.com%2Fproduct%2F550063%3Futm_source%3Dimpact%26utm_medium%3Daffiliate%26utm_campaign%3Dpoke%2Bcottage","Iron Leaves")</f>
        <v>Iron Leaves</v>
      </c>
      <c r="D38" s="5" t="s">
        <v>31</v>
      </c>
      <c r="E38" s="5" t="s">
        <v>32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30</v>
      </c>
      <c r="C39" s="6" t="str">
        <f aca="false">HYPERLINK("https://partner.tcgplayer.com/c/6278691/1780961/21018?u=https%3A%2F%2Fwww.tcgplayer.com%2Fproduct%2F550063%3Futm_source%3Dimpact%26utm_medium%3Daffiliate%26utm_campaign%3Dpoke%2Bcottage","Iron Leaves")</f>
        <v>Iron Leaves</v>
      </c>
      <c r="D39" s="5" t="s">
        <v>31</v>
      </c>
      <c r="E39" s="5" t="s">
        <v>11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33</v>
      </c>
      <c r="C40" s="6" t="str">
        <f aca="false">HYPERLINK("https://partner.tcgplayer.com/c/6278691/1780961/21018?u=https%3A%2F%2Fwww.tcgplayer.com%2Fproduct%2F550064%3Futm_source%3Dimpact%26utm_medium%3Daffiliate%26utm_campaign%3Dpoke%2Bcottage","Poltchageist")</f>
        <v>Poltchageist</v>
      </c>
      <c r="D40" s="5" t="s">
        <v>8</v>
      </c>
      <c r="E40" s="5" t="s">
        <v>9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33</v>
      </c>
      <c r="C41" s="6" t="str">
        <f aca="false">HYPERLINK("https://partner.tcgplayer.com/c/6278691/1780961/21018?u=https%3A%2F%2Fwww.tcgplayer.com%2Fproduct%2F550064%3Futm_source%3Dimpact%26utm_medium%3Daffiliate%26utm_campaign%3Dpoke%2Bcottage","Poltchageist")</f>
        <v>Poltchageist</v>
      </c>
      <c r="D41" s="5" t="s">
        <v>8</v>
      </c>
      <c r="E41" s="5" t="s">
        <v>11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34</v>
      </c>
      <c r="C42" s="6" t="str">
        <f aca="false">HYPERLINK("https://partner.tcgplayer.com/c/6278691/1780961/21018?u=https%3A%2F%2Fwww.tcgplayer.com%2Fproduct%2F550065%3Futm_source%3Dimpact%26utm_medium%3Daffiliate%26utm_campaign%3Dpoke%2Bcottage","Poltchageist")</f>
        <v>Poltchageist</v>
      </c>
      <c r="D42" s="5" t="s">
        <v>8</v>
      </c>
      <c r="E42" s="5" t="s">
        <v>9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34</v>
      </c>
      <c r="C43" s="6" t="str">
        <f aca="false">HYPERLINK("https://partner.tcgplayer.com/c/6278691/1780961/21018?u=https%3A%2F%2Fwww.tcgplayer.com%2Fproduct%2F550065%3Futm_source%3Dimpact%26utm_medium%3Daffiliate%26utm_campaign%3Dpoke%2Bcottage","Poltchageist")</f>
        <v>Poltchageist</v>
      </c>
      <c r="D43" s="5" t="s">
        <v>8</v>
      </c>
      <c r="E43" s="5" t="s">
        <v>11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35</v>
      </c>
      <c r="C44" s="6" t="str">
        <f aca="false">HYPERLINK("https://partner.tcgplayer.com/c/6278691/1780961/21018?u=https%3A%2F%2Fwww.tcgplayer.com%2Fproduct%2F550066%3Futm_source%3Dimpact%26utm_medium%3Daffiliate%26utm_campaign%3Dpoke%2Bcottage","Sinistcha")</f>
        <v>Sinistcha</v>
      </c>
      <c r="D44" s="5" t="s">
        <v>31</v>
      </c>
      <c r="E44" s="5" t="s">
        <v>32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35</v>
      </c>
      <c r="C45" s="6" t="str">
        <f aca="false">HYPERLINK("https://partner.tcgplayer.com/c/6278691/1780961/21018?u=https%3A%2F%2Fwww.tcgplayer.com%2Fproduct%2F550066%3Futm_source%3Dimpact%26utm_medium%3Daffiliate%26utm_campaign%3Dpoke%2Bcottage","Sinistcha")</f>
        <v>Sinistcha</v>
      </c>
      <c r="D45" s="5" t="s">
        <v>31</v>
      </c>
      <c r="E45" s="5" t="s">
        <v>11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36</v>
      </c>
      <c r="C46" s="6" t="str">
        <f aca="false">HYPERLINK("https://partner.tcgplayer.com/c/6278691/1780961/21018?u=https%3A%2F%2Fwww.tcgplayer.com%2Fproduct%2F550067%3Futm_source%3Dimpact%26utm_medium%3Daffiliate%26utm_campaign%3Dpoke%2Bcottage","Sinistcha ex")</f>
        <v>Sinistcha ex</v>
      </c>
      <c r="D46" s="5" t="s">
        <v>37</v>
      </c>
      <c r="E46" s="5" t="s">
        <v>32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HYPERLINK("https://partner.tcgplayer.com/c/6278691/1780961/21018?u=https%3A%2F%2Fwww.tcgplayer.com%2Fproduct%2F550068%3Futm_source%3Dimpact%26utm_medium%3Daffiliate%26utm_campaign%3Dpoke%2Bcottage","Teal Mask Ogerpon")</f>
        <v>Teal Mask Ogerpon</v>
      </c>
      <c r="D47" s="5" t="s">
        <v>31</v>
      </c>
      <c r="E47" s="5" t="s">
        <v>32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38</v>
      </c>
      <c r="C48" s="6" t="str">
        <f aca="false">HYPERLINK("https://partner.tcgplayer.com/c/6278691/1780961/21018?u=https%3A%2F%2Fwww.tcgplayer.com%2Fproduct%2F550068%3Futm_source%3Dimpact%26utm_medium%3Daffiliate%26utm_campaign%3Dpoke%2Bcottage","Teal Mask Ogerpon")</f>
        <v>Teal Mask Ogerpon</v>
      </c>
      <c r="D48" s="5" t="s">
        <v>31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HYPERLINK("https://partner.tcgplayer.com/c/6278691/1780961/21018?u=https%3A%2F%2Fwww.tcgplayer.com%2Fproduct%2F550069%3Futm_source%3Dimpact%26utm_medium%3Daffiliate%26utm_campaign%3Dpoke%2Bcottage","Teal Mask Ogerpon ex")</f>
        <v>Teal Mask Ogerpon ex</v>
      </c>
      <c r="D49" s="5" t="s">
        <v>37</v>
      </c>
      <c r="E49" s="5" t="s">
        <v>32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HYPERLINK("https://partner.tcgplayer.com/c/6278691/1780961/21018?u=https%3A%2F%2Fwww.tcgplayer.com%2Fproduct%2F550070%3Futm_source%3Dimpact%26utm_medium%3Daffiliate%26utm_campaign%3Dpoke%2Bcottage","Vulpix")</f>
        <v>Vulpix</v>
      </c>
      <c r="D50" s="5" t="s">
        <v>8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HYPERLINK("https://partner.tcgplayer.com/c/6278691/1780961/21018?u=https%3A%2F%2Fwww.tcgplayer.com%2Fproduct%2F550070%3Futm_source%3Dimpact%26utm_medium%3Daffiliate%26utm_campaign%3Dpoke%2Bcottage","Vulpix")</f>
        <v>Vulpix</v>
      </c>
      <c r="D51" s="5" t="s">
        <v>8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HYPERLINK("https://partner.tcgplayer.com/c/6278691/1780961/21018?u=https%3A%2F%2Fwww.tcgplayer.com%2Fproduct%2F550071%3Futm_source%3Dimpact%26utm_medium%3Daffiliate%26utm_campaign%3Dpoke%2Bcottage","Ninetales")</f>
        <v>Ninetales</v>
      </c>
      <c r="D52" s="5" t="s">
        <v>8</v>
      </c>
      <c r="E52" s="5" t="s">
        <v>9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HYPERLINK("https://partner.tcgplayer.com/c/6278691/1780961/21018?u=https%3A%2F%2Fwww.tcgplayer.com%2Fproduct%2F550071%3Futm_source%3Dimpact%26utm_medium%3Daffiliate%26utm_campaign%3Dpoke%2Bcottage","Ninetales")</f>
        <v>Ninetales</v>
      </c>
      <c r="D53" s="5" t="s">
        <v>8</v>
      </c>
      <c r="E53" s="5" t="s">
        <v>11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HYPERLINK("https://partner.tcgplayer.com/c/6278691/1780961/21018?u=https%3A%2F%2Fwww.tcgplayer.com%2Fproduct%2F550072%3Futm_source%3Dimpact%26utm_medium%3Daffiliate%26utm_campaign%3Dpoke%2Bcottage","Slugma")</f>
        <v>Slugma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HYPERLINK("https://partner.tcgplayer.com/c/6278691/1780961/21018?u=https%3A%2F%2Fwww.tcgplayer.com%2Fproduct%2F550072%3Futm_source%3Dimpact%26utm_medium%3Daffiliate%26utm_campaign%3Dpoke%2Bcottage","Slugma")</f>
        <v>Slugma</v>
      </c>
      <c r="D55" s="5" t="s">
        <v>8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HYPERLINK("https://partner.tcgplayer.com/c/6278691/1780961/21018?u=https%3A%2F%2Fwww.tcgplayer.com%2Fproduct%2F550073%3Futm_source%3Dimpact%26utm_medium%3Daffiliate%26utm_campaign%3Dpoke%2Bcottage","Magcargo ex")</f>
        <v>Magcargo ex</v>
      </c>
      <c r="D56" s="5" t="s">
        <v>37</v>
      </c>
      <c r="E56" s="5" t="s">
        <v>32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HYPERLINK("https://partner.tcgplayer.com/c/6278691/1780961/21018?u=https%3A%2F%2Fwww.tcgplayer.com%2Fproduct%2F550074%3Futm_source%3Dimpact%26utm_medium%3Daffiliate%26utm_campaign%3Dpoke%2Bcottage","Torkoal")</f>
        <v>Torkoal</v>
      </c>
      <c r="D57" s="5" t="s">
        <v>8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HYPERLINK("https://partner.tcgplayer.com/c/6278691/1780961/21018?u=https%3A%2F%2Fwww.tcgplayer.com%2Fproduct%2F550074%3Futm_source%3Dimpact%26utm_medium%3Daffiliate%26utm_campaign%3Dpoke%2Bcottage","Torkoal")</f>
        <v>Torkoal</v>
      </c>
      <c r="D58" s="5" t="s">
        <v>8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HYPERLINK("https://partner.tcgplayer.com/c/6278691/1780961/21018?u=https%3A%2F%2Fwww.tcgplayer.com%2Fproduct%2F550075%3Futm_source%3Dimpact%26utm_medium%3Daffiliate%26utm_campaign%3Dpoke%2Bcottage","Chimchar")</f>
        <v>Chimchar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HYPERLINK("https://partner.tcgplayer.com/c/6278691/1780961/21018?u=https%3A%2F%2Fwww.tcgplayer.com%2Fproduct%2F550075%3Futm_source%3Dimpact%26utm_medium%3Daffiliate%26utm_campaign%3Dpoke%2Bcottage","Chimchar")</f>
        <v>Chimchar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HYPERLINK("https://partner.tcgplayer.com/c/6278691/1780961/21018?u=https%3A%2F%2Fwww.tcgplayer.com%2Fproduct%2F550076%3Futm_source%3Dimpact%26utm_medium%3Daffiliate%26utm_campaign%3Dpoke%2Bcottage","Monferno")</f>
        <v>Monferno</v>
      </c>
      <c r="D61" s="5" t="s">
        <v>8</v>
      </c>
      <c r="E61" s="5" t="s">
        <v>9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HYPERLINK("https://partner.tcgplayer.com/c/6278691/1780961/21018?u=https%3A%2F%2Fwww.tcgplayer.com%2Fproduct%2F550076%3Futm_source%3Dimpact%26utm_medium%3Daffiliate%26utm_campaign%3Dpoke%2Bcottage","Monferno")</f>
        <v>Monferno</v>
      </c>
      <c r="D62" s="5" t="s">
        <v>8</v>
      </c>
      <c r="E62" s="5" t="s">
        <v>11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HYPERLINK("https://partner.tcgplayer.com/c/6278691/1780961/21018?u=https%3A%2F%2Fwww.tcgplayer.com%2Fproduct%2F550077%3Futm_source%3Dimpact%26utm_medium%3Daffiliate%26utm_campaign%3Dpoke%2Bcottage","Infernape")</f>
        <v>Infernape</v>
      </c>
      <c r="D63" s="5" t="s">
        <v>31</v>
      </c>
      <c r="E63" s="5" t="s">
        <v>32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HYPERLINK("https://partner.tcgplayer.com/c/6278691/1780961/21018?u=https%3A%2F%2Fwww.tcgplayer.com%2Fproduct%2F550077%3Futm_source%3Dimpact%26utm_medium%3Daffiliate%26utm_campaign%3Dpoke%2Bcottage","Infernape")</f>
        <v>Infernape</v>
      </c>
      <c r="D64" s="5" t="s">
        <v>31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HYPERLINK("https://partner.tcgplayer.com/c/6278691/1780961/21018?u=https%3A%2F%2Fwww.tcgplayer.com%2Fproduct%2F550078%3Futm_source%3Dimpact%26utm_medium%3Daffiliate%26utm_campaign%3Dpoke%2Bcottage","Darumaka")</f>
        <v>Darumaka</v>
      </c>
      <c r="D65" s="5" t="s">
        <v>8</v>
      </c>
      <c r="E65" s="5" t="s">
        <v>9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HYPERLINK("https://partner.tcgplayer.com/c/6278691/1780961/21018?u=https%3A%2F%2Fwww.tcgplayer.com%2Fproduct%2F550078%3Futm_source%3Dimpact%26utm_medium%3Daffiliate%26utm_campaign%3Dpoke%2Bcottage","Darumaka")</f>
        <v>Darumaka</v>
      </c>
      <c r="D66" s="5" t="s">
        <v>8</v>
      </c>
      <c r="E66" s="5" t="s">
        <v>11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HYPERLINK("https://partner.tcgplayer.com/c/6278691/1780961/21018?u=https%3A%2F%2Fwww.tcgplayer.com%2Fproduct%2F550079%3Futm_source%3Dimpact%26utm_medium%3Daffiliate%26utm_campaign%3Dpoke%2Bcottage","Darmanitan")</f>
        <v>Darmanitan</v>
      </c>
      <c r="D67" s="5" t="s">
        <v>16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HYPERLINK("https://partner.tcgplayer.com/c/6278691/1780961/21018?u=https%3A%2F%2Fwww.tcgplayer.com%2Fproduct%2F550079%3Futm_source%3Dimpact%26utm_medium%3Daffiliate%26utm_campaign%3Dpoke%2Bcottage","Darmanitan")</f>
        <v>Darmanitan</v>
      </c>
      <c r="D68" s="5" t="s">
        <v>16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HYPERLINK("https://partner.tcgplayer.com/c/6278691/1780961/21018?u=https%3A%2F%2Fwww.tcgplayer.com%2Fproduct%2F550080%3Futm_source%3Dimpact%26utm_medium%3Daffiliate%26utm_campaign%3Dpoke%2Bcottage","Litwick")</f>
        <v>Litwick</v>
      </c>
      <c r="D69" s="5" t="s">
        <v>8</v>
      </c>
      <c r="E69" s="5" t="s">
        <v>9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HYPERLINK("https://partner.tcgplayer.com/c/6278691/1780961/21018?u=https%3A%2F%2Fwww.tcgplayer.com%2Fproduct%2F550080%3Futm_source%3Dimpact%26utm_medium%3Daffiliate%26utm_campaign%3Dpoke%2Bcottage","Litwick")</f>
        <v>Litwick</v>
      </c>
      <c r="D70" s="5" t="s">
        <v>8</v>
      </c>
      <c r="E70" s="5" t="s">
        <v>11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HYPERLINK("https://partner.tcgplayer.com/c/6278691/1780961/21018?u=https%3A%2F%2Fwww.tcgplayer.com%2Fproduct%2F550081%3Futm_source%3Dimpact%26utm_medium%3Daffiliate%26utm_campaign%3Dpoke%2Bcottage","Lampent")</f>
        <v>Lampent</v>
      </c>
      <c r="D71" s="5" t="s">
        <v>8</v>
      </c>
      <c r="E71" s="5" t="s">
        <v>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51</v>
      </c>
      <c r="C72" s="6" t="str">
        <f aca="false">HYPERLINK("https://partner.tcgplayer.com/c/6278691/1780961/21018?u=https%3A%2F%2Fwww.tcgplayer.com%2Fproduct%2F550081%3Futm_source%3Dimpact%26utm_medium%3Daffiliate%26utm_campaign%3Dpoke%2Bcottage","Lampent")</f>
        <v>Lampent</v>
      </c>
      <c r="D72" s="5" t="s">
        <v>8</v>
      </c>
      <c r="E72" s="5" t="s">
        <v>11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HYPERLINK("https://partner.tcgplayer.com/c/6278691/1780961/21018?u=https%3A%2F%2Fwww.tcgplayer.com%2Fproduct%2F550082%3Futm_source%3Dimpact%26utm_medium%3Daffiliate%26utm_campaign%3Dpoke%2Bcottage","Chandelure")</f>
        <v>Chandelure</v>
      </c>
      <c r="D73" s="5" t="s">
        <v>31</v>
      </c>
      <c r="E73" s="5" t="s">
        <v>32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52</v>
      </c>
      <c r="C74" s="6" t="str">
        <f aca="false">HYPERLINK("https://partner.tcgplayer.com/c/6278691/1780961/21018?u=https%3A%2F%2Fwww.tcgplayer.com%2Fproduct%2F550082%3Futm_source%3Dimpact%26utm_medium%3Daffiliate%26utm_campaign%3Dpoke%2Bcottage","Chandelure")</f>
        <v>Chandelure</v>
      </c>
      <c r="D74" s="5" t="s">
        <v>31</v>
      </c>
      <c r="E74" s="5" t="s">
        <v>11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HYPERLINK("https://partner.tcgplayer.com/c/6278691/1780961/21018?u=https%3A%2F%2Fwww.tcgplayer.com%2Fproduct%2F550083%3Futm_source%3Dimpact%26utm_medium%3Daffiliate%26utm_campaign%3Dpoke%2Bcottage","Chi-Yu")</f>
        <v>Chi-Yu</v>
      </c>
      <c r="D75" s="5" t="s">
        <v>16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53</v>
      </c>
      <c r="C76" s="6" t="str">
        <f aca="false">HYPERLINK("https://partner.tcgplayer.com/c/6278691/1780961/21018?u=https%3A%2F%2Fwww.tcgplayer.com%2Fproduct%2F550083%3Futm_source%3Dimpact%26utm_medium%3Daffiliate%26utm_campaign%3Dpoke%2Bcottage","Chi-Yu")</f>
        <v>Chi-Yu</v>
      </c>
      <c r="D76" s="5" t="s">
        <v>16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HYPERLINK("https://partner.tcgplayer.com/c/6278691/1780961/21018?u=https%3A%2F%2Fwww.tcgplayer.com%2Fproduct%2F550084%3Futm_source%3Dimpact%26utm_medium%3Daffiliate%26utm_campaign%3Dpoke%2Bcottage","Hearthflame Mask Ogerpon ex")</f>
        <v>Hearthflame Mask Ogerpon ex</v>
      </c>
      <c r="D77" s="5" t="s">
        <v>37</v>
      </c>
      <c r="E77" s="5" t="s">
        <v>32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HYPERLINK("https://partner.tcgplayer.com/c/6278691/1780961/21018?u=https%3A%2F%2Fwww.tcgplayer.com%2Fproduct%2F550085%3Futm_source%3Dimpact%26utm_medium%3Daffiliate%26utm_campaign%3Dpoke%2Bcottage","Poliwag")</f>
        <v>Poliwag</v>
      </c>
      <c r="D78" s="5" t="s">
        <v>8</v>
      </c>
      <c r="E78" s="5" t="s">
        <v>9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HYPERLINK("https://partner.tcgplayer.com/c/6278691/1780961/21018?u=https%3A%2F%2Fwww.tcgplayer.com%2Fproduct%2F550085%3Futm_source%3Dimpact%26utm_medium%3Daffiliate%26utm_campaign%3Dpoke%2Bcottage","Poliwag")</f>
        <v>Poliwag</v>
      </c>
      <c r="D79" s="5" t="s">
        <v>8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HYPERLINK("https://partner.tcgplayer.com/c/6278691/1780961/21018?u=https%3A%2F%2Fwww.tcgplayer.com%2Fproduct%2F550086%3Futm_source%3Dimpact%26utm_medium%3Daffiliate%26utm_campaign%3Dpoke%2Bcottage","Poliwhirl")</f>
        <v>Poliwhirl</v>
      </c>
      <c r="D80" s="5" t="s">
        <v>8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HYPERLINK("https://partner.tcgplayer.com/c/6278691/1780961/21018?u=https%3A%2F%2Fwww.tcgplayer.com%2Fproduct%2F550086%3Futm_source%3Dimpact%26utm_medium%3Daffiliate%26utm_campaign%3Dpoke%2Bcottage","Poliwhirl")</f>
        <v>Poliwhirl</v>
      </c>
      <c r="D81" s="5" t="s">
        <v>8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HYPERLINK("https://partner.tcgplayer.com/c/6278691/1780961/21018?u=https%3A%2F%2Fwww.tcgplayer.com%2Fproduct%2F550087%3Futm_source%3Dimpact%26utm_medium%3Daffiliate%26utm_campaign%3Dpoke%2Bcottage","Poliwrath")</f>
        <v>Poliwrath</v>
      </c>
      <c r="D82" s="5" t="s">
        <v>16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57</v>
      </c>
      <c r="C83" s="6" t="str">
        <f aca="false">HYPERLINK("https://partner.tcgplayer.com/c/6278691/1780961/21018?u=https%3A%2F%2Fwww.tcgplayer.com%2Fproduct%2F550087%3Futm_source%3Dimpact%26utm_medium%3Daffiliate%26utm_campaign%3Dpoke%2Bcottage","Poliwrath")</f>
        <v>Poliwrath</v>
      </c>
      <c r="D83" s="5" t="s">
        <v>16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HYPERLINK("https://partner.tcgplayer.com/c/6278691/1780961/21018?u=https%3A%2F%2Fwww.tcgplayer.com%2Fproduct%2F550088%3Futm_source%3Dimpact%26utm_medium%3Daffiliate%26utm_campaign%3Dpoke%2Bcottage","Goldeen")</f>
        <v>Goldeen</v>
      </c>
      <c r="D84" s="5" t="s">
        <v>8</v>
      </c>
      <c r="E84" s="5" t="s">
        <v>9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58</v>
      </c>
      <c r="C85" s="6" t="str">
        <f aca="false">HYPERLINK("https://partner.tcgplayer.com/c/6278691/1780961/21018?u=https%3A%2F%2Fwww.tcgplayer.com%2Fproduct%2F550088%3Futm_source%3Dimpact%26utm_medium%3Daffiliate%26utm_campaign%3Dpoke%2Bcottage","Goldeen")</f>
        <v>Goldeen</v>
      </c>
      <c r="D85" s="5" t="s">
        <v>8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HYPERLINK("https://partner.tcgplayer.com/c/6278691/1780961/21018?u=https%3A%2F%2Fwww.tcgplayer.com%2Fproduct%2F550089%3Futm_source%3Dimpact%26utm_medium%3Daffiliate%26utm_campaign%3Dpoke%2Bcottage","Seaking")</f>
        <v>Seaking</v>
      </c>
      <c r="D86" s="5" t="s">
        <v>8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59</v>
      </c>
      <c r="C87" s="6" t="str">
        <f aca="false">HYPERLINK("https://partner.tcgplayer.com/c/6278691/1780961/21018?u=https%3A%2F%2Fwww.tcgplayer.com%2Fproduct%2F550089%3Futm_source%3Dimpact%26utm_medium%3Daffiliate%26utm_campaign%3Dpoke%2Bcottage","Seaking")</f>
        <v>Seaking</v>
      </c>
      <c r="D87" s="5" t="s">
        <v>8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HYPERLINK("https://partner.tcgplayer.com/c/6278691/1780961/21018?u=https%3A%2F%2Fwww.tcgplayer.com%2Fproduct%2F550090%3Futm_source%3Dimpact%26utm_medium%3Daffiliate%26utm_campaign%3Dpoke%2Bcottage","Jynx")</f>
        <v>Jynx</v>
      </c>
      <c r="D88" s="5" t="s">
        <v>8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HYPERLINK("https://partner.tcgplayer.com/c/6278691/1780961/21018?u=https%3A%2F%2Fwww.tcgplayer.com%2Fproduct%2F550090%3Futm_source%3Dimpact%26utm_medium%3Daffiliate%26utm_campaign%3Dpoke%2Bcottage","Jynx")</f>
        <v>Jynx</v>
      </c>
      <c r="D89" s="5" t="s">
        <v>8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HYPERLINK("https://partner.tcgplayer.com/c/6278691/1780961/21018?u=https%3A%2F%2Fwww.tcgplayer.com%2Fproduct%2F550091%3Futm_source%3Dimpact%26utm_medium%3Daffiliate%26utm_campaign%3Dpoke%2Bcottage","Corphish")</f>
        <v>Corphish</v>
      </c>
      <c r="D90" s="5" t="s">
        <v>8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HYPERLINK("https://partner.tcgplayer.com/c/6278691/1780961/21018?u=https%3A%2F%2Fwww.tcgplayer.com%2Fproduct%2F550091%3Futm_source%3Dimpact%26utm_medium%3Daffiliate%26utm_campaign%3Dpoke%2Bcottage","Corphish")</f>
        <v>Corphish</v>
      </c>
      <c r="D91" s="5" t="s">
        <v>8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HYPERLINK("https://partner.tcgplayer.com/c/6278691/1780961/21018?u=https%3A%2F%2Fwww.tcgplayer.com%2Fproduct%2F550092%3Futm_source%3Dimpact%26utm_medium%3Daffiliate%26utm_campaign%3Dpoke%2Bcottage","Crawdaunt")</f>
        <v>Crawdaunt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62</v>
      </c>
      <c r="C93" s="6" t="str">
        <f aca="false">HYPERLINK("https://partner.tcgplayer.com/c/6278691/1780961/21018?u=https%3A%2F%2Fwww.tcgplayer.com%2Fproduct%2F550092%3Futm_source%3Dimpact%26utm_medium%3Daffiliate%26utm_campaign%3Dpoke%2Bcottage","Crawdaunt")</f>
        <v>Crawdaunt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HYPERLINK("https://partner.tcgplayer.com/c/6278691/1780961/21018?u=https%3A%2F%2Fwww.tcgplayer.com%2Fproduct%2F550093%3Futm_source%3Dimpact%26utm_medium%3Daffiliate%26utm_campaign%3Dpoke%2Bcottage","Feebas")</f>
        <v>Feebas</v>
      </c>
      <c r="D94" s="5" t="s">
        <v>8</v>
      </c>
      <c r="E94" s="5" t="s">
        <v>9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63</v>
      </c>
      <c r="C95" s="6" t="str">
        <f aca="false">HYPERLINK("https://partner.tcgplayer.com/c/6278691/1780961/21018?u=https%3A%2F%2Fwww.tcgplayer.com%2Fproduct%2F550093%3Futm_source%3Dimpact%26utm_medium%3Daffiliate%26utm_campaign%3Dpoke%2Bcottage","Feebas")</f>
        <v>Feebas</v>
      </c>
      <c r="D95" s="5" t="s">
        <v>8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HYPERLINK("https://partner.tcgplayer.com/c/6278691/1780961/21018?u=https%3A%2F%2Fwww.tcgplayer.com%2Fproduct%2F550094%3Futm_source%3Dimpact%26utm_medium%3Daffiliate%26utm_campaign%3Dpoke%2Bcottage","Milotic")</f>
        <v>Milotic</v>
      </c>
      <c r="D96" s="5" t="s">
        <v>16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64</v>
      </c>
      <c r="C97" s="6" t="str">
        <f aca="false">HYPERLINK("https://partner.tcgplayer.com/c/6278691/1780961/21018?u=https%3A%2F%2Fwww.tcgplayer.com%2Fproduct%2F550094%3Futm_source%3Dimpact%26utm_medium%3Daffiliate%26utm_campaign%3Dpoke%2Bcottage","Milotic")</f>
        <v>Milotic</v>
      </c>
      <c r="D97" s="5" t="s">
        <v>16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HYPERLINK("https://partner.tcgplayer.com/c/6278691/1780961/21018?u=https%3A%2F%2Fwww.tcgplayer.com%2Fproduct%2F550095%3Futm_source%3Dimpact%26utm_medium%3Daffiliate%26utm_campaign%3Dpoke%2Bcottage","Snorunt")</f>
        <v>Snorunt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65</v>
      </c>
      <c r="C99" s="6" t="str">
        <f aca="false">HYPERLINK("https://partner.tcgplayer.com/c/6278691/1780961/21018?u=https%3A%2F%2Fwww.tcgplayer.com%2Fproduct%2F550095%3Futm_source%3Dimpact%26utm_medium%3Daffiliate%26utm_campaign%3Dpoke%2Bcottage","Snorunt")</f>
        <v>Snorunt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HYPERLINK("https://partner.tcgplayer.com/c/6278691/1780961/21018?u=https%3A%2F%2Fwww.tcgplayer.com%2Fproduct%2F550096%3Futm_source%3Dimpact%26utm_medium%3Daffiliate%26utm_campaign%3Dpoke%2Bcottage","Glalie")</f>
        <v>Glalie</v>
      </c>
      <c r="D100" s="5" t="s">
        <v>16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66</v>
      </c>
      <c r="C101" s="6" t="str">
        <f aca="false">HYPERLINK("https://partner.tcgplayer.com/c/6278691/1780961/21018?u=https%3A%2F%2Fwww.tcgplayer.com%2Fproduct%2F550096%3Futm_source%3Dimpact%26utm_medium%3Daffiliate%26utm_campaign%3Dpoke%2Bcottage","Glalie")</f>
        <v>Glalie</v>
      </c>
      <c r="D101" s="5" t="s">
        <v>16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HYPERLINK("https://partner.tcgplayer.com/c/6278691/1780961/21018?u=https%3A%2F%2Fwww.tcgplayer.com%2Fproduct%2F550097%3Futm_source%3Dimpact%26utm_medium%3Daffiliate%26utm_campaign%3Dpoke%2Bcottage","Froslass")</f>
        <v>Froslass</v>
      </c>
      <c r="D102" s="5" t="s">
        <v>31</v>
      </c>
      <c r="E102" s="5" t="s">
        <v>32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67</v>
      </c>
      <c r="C103" s="6" t="str">
        <f aca="false">HYPERLINK("https://partner.tcgplayer.com/c/6278691/1780961/21018?u=https%3A%2F%2Fwww.tcgplayer.com%2Fproduct%2F550097%3Futm_source%3Dimpact%26utm_medium%3Daffiliate%26utm_campaign%3Dpoke%2Bcottage","Froslass")</f>
        <v>Froslass</v>
      </c>
      <c r="D103" s="5" t="s">
        <v>31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68</v>
      </c>
      <c r="C104" s="6" t="str">
        <f aca="false">HYPERLINK("https://partner.tcgplayer.com/c/6278691/1780961/21018?u=https%3A%2F%2Fwww.tcgplayer.com%2Fproduct%2F550098%3Futm_source%3Dimpact%26utm_medium%3Daffiliate%26utm_campaign%3Dpoke%2Bcottage","Glaceon")</f>
        <v>Glaceon</v>
      </c>
      <c r="D104" s="5" t="s">
        <v>16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68</v>
      </c>
      <c r="C105" s="6" t="str">
        <f aca="false">HYPERLINK("https://partner.tcgplayer.com/c/6278691/1780961/21018?u=https%3A%2F%2Fwww.tcgplayer.com%2Fproduct%2F550098%3Futm_source%3Dimpact%26utm_medium%3Daffiliate%26utm_campaign%3Dpoke%2Bcottage","Glaceon")</f>
        <v>Glaceon</v>
      </c>
      <c r="D105" s="5" t="s">
        <v>16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69</v>
      </c>
      <c r="C106" s="6" t="str">
        <f aca="false">HYPERLINK("https://partner.tcgplayer.com/c/6278691/1780961/21018?u=https%3A%2F%2Fwww.tcgplayer.com%2Fproduct%2F550099%3Futm_source%3Dimpact%26utm_medium%3Daffiliate%26utm_campaign%3Dpoke%2Bcottage","Phione")</f>
        <v>Phione</v>
      </c>
      <c r="D106" s="5" t="s">
        <v>8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69</v>
      </c>
      <c r="C107" s="6" t="str">
        <f aca="false">HYPERLINK("https://partner.tcgplayer.com/c/6278691/1780961/21018?u=https%3A%2F%2Fwww.tcgplayer.com%2Fproduct%2F550099%3Futm_source%3Dimpact%26utm_medium%3Daffiliate%26utm_campaign%3Dpoke%2Bcottage","Phione")</f>
        <v>Phione</v>
      </c>
      <c r="D107" s="5" t="s">
        <v>8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70</v>
      </c>
      <c r="C108" s="6" t="str">
        <f aca="false">HYPERLINK("https://partner.tcgplayer.com/c/6278691/1780961/21018?u=https%3A%2F%2Fwww.tcgplayer.com%2Fproduct%2F550100%3Futm_source%3Dimpact%26utm_medium%3Daffiliate%26utm_campaign%3Dpoke%2Bcottage","Froakie")</f>
        <v>Froakie</v>
      </c>
      <c r="D108" s="5" t="s">
        <v>8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70</v>
      </c>
      <c r="C109" s="6" t="str">
        <f aca="false">HYPERLINK("https://partner.tcgplayer.com/c/6278691/1780961/21018?u=https%3A%2F%2Fwww.tcgplayer.com%2Fproduct%2F550100%3Futm_source%3Dimpact%26utm_medium%3Daffiliate%26utm_campaign%3Dpoke%2Bcottage","Froakie")</f>
        <v>Froakie</v>
      </c>
      <c r="D109" s="5" t="s">
        <v>8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71</v>
      </c>
      <c r="C110" s="6" t="str">
        <f aca="false">HYPERLINK("https://partner.tcgplayer.com/c/6278691/1780961/21018?u=https%3A%2F%2Fwww.tcgplayer.com%2Fproduct%2F550101%3Futm_source%3Dimpact%26utm_medium%3Daffiliate%26utm_campaign%3Dpoke%2Bcottage","Frogadier")</f>
        <v>Frogadier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71</v>
      </c>
      <c r="C111" s="6" t="str">
        <f aca="false">HYPERLINK("https://partner.tcgplayer.com/c/6278691/1780961/21018?u=https%3A%2F%2Fwww.tcgplayer.com%2Fproduct%2F550101%3Futm_source%3Dimpact%26utm_medium%3Daffiliate%26utm_campaign%3Dpoke%2Bcottage","Frogadier")</f>
        <v>Frogadier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72</v>
      </c>
      <c r="C112" s="6" t="str">
        <f aca="false">HYPERLINK("https://partner.tcgplayer.com/c/6278691/1780961/21018?u=https%3A%2F%2Fwww.tcgplayer.com%2Fproduct%2F550102%3Futm_source%3Dimpact%26utm_medium%3Daffiliate%26utm_campaign%3Dpoke%2Bcottage","Cramorant")</f>
        <v>Cramorant</v>
      </c>
      <c r="D112" s="5" t="s">
        <v>16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72</v>
      </c>
      <c r="C113" s="6" t="str">
        <f aca="false">HYPERLINK("https://partner.tcgplayer.com/c/6278691/1780961/21018?u=https%3A%2F%2Fwww.tcgplayer.com%2Fproduct%2F550102%3Futm_source%3Dimpact%26utm_medium%3Daffiliate%26utm_campaign%3Dpoke%2Bcottage","Cramorant")</f>
        <v>Cramorant</v>
      </c>
      <c r="D113" s="5" t="s">
        <v>16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73</v>
      </c>
      <c r="C114" s="6" t="str">
        <f aca="false">HYPERLINK("https://partner.tcgplayer.com/c/6278691/1780961/21018?u=https%3A%2F%2Fwww.tcgplayer.com%2Fproduct%2F550103%3Futm_source%3Dimpact%26utm_medium%3Daffiliate%26utm_campaign%3Dpoke%2Bcottage","Finizen")</f>
        <v>Finizen</v>
      </c>
      <c r="D114" s="5" t="s">
        <v>8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73</v>
      </c>
      <c r="C115" s="6" t="str">
        <f aca="false">HYPERLINK("https://partner.tcgplayer.com/c/6278691/1780961/21018?u=https%3A%2F%2Fwww.tcgplayer.com%2Fproduct%2F550103%3Futm_source%3Dimpact%26utm_medium%3Daffiliate%26utm_campaign%3Dpoke%2Bcottage","Finizen")</f>
        <v>Finizen</v>
      </c>
      <c r="D115" s="5" t="s">
        <v>8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74</v>
      </c>
      <c r="C116" s="6" t="str">
        <f aca="false">HYPERLINK("https://partner.tcgplayer.com/c/6278691/1780961/21018?u=https%3A%2F%2Fwww.tcgplayer.com%2Fproduct%2F550104%3Futm_source%3Dimpact%26utm_medium%3Daffiliate%26utm_campaign%3Dpoke%2Bcottage","Palafin")</f>
        <v>Palafin</v>
      </c>
      <c r="D116" s="5" t="s">
        <v>16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74</v>
      </c>
      <c r="C117" s="6" t="str">
        <f aca="false">HYPERLINK("https://partner.tcgplayer.com/c/6278691/1780961/21018?u=https%3A%2F%2Fwww.tcgplayer.com%2Fproduct%2F550104%3Futm_source%3Dimpact%26utm_medium%3Daffiliate%26utm_campaign%3Dpoke%2Bcottage","Palafin")</f>
        <v>Palafin</v>
      </c>
      <c r="D117" s="5" t="s">
        <v>16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75</v>
      </c>
      <c r="C118" s="6" t="str">
        <f aca="false">HYPERLINK("https://partner.tcgplayer.com/c/6278691/1780961/21018?u=https%3A%2F%2Fwww.tcgplayer.com%2Fproduct%2F550105%3Futm_source%3Dimpact%26utm_medium%3Daffiliate%26utm_campaign%3Dpoke%2Bcottage","Palafin ex")</f>
        <v>Palafin ex</v>
      </c>
      <c r="D118" s="5" t="s">
        <v>37</v>
      </c>
      <c r="E118" s="5" t="s">
        <v>32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76</v>
      </c>
      <c r="C119" s="6" t="str">
        <f aca="false">HYPERLINK("https://partner.tcgplayer.com/c/6278691/1780961/21018?u=https%3A%2F%2Fwww.tcgplayer.com%2Fproduct%2F550106%3Futm_source%3Dimpact%26utm_medium%3Daffiliate%26utm_campaign%3Dpoke%2Bcottage","Iron Bundle")</f>
        <v>Iron Bundle</v>
      </c>
      <c r="D119" s="5" t="s">
        <v>16</v>
      </c>
      <c r="E119" s="5" t="s">
        <v>9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76</v>
      </c>
      <c r="C120" s="6" t="str">
        <f aca="false">HYPERLINK("https://partner.tcgplayer.com/c/6278691/1780961/21018?u=https%3A%2F%2Fwww.tcgplayer.com%2Fproduct%2F550106%3Futm_source%3Dimpact%26utm_medium%3Daffiliate%26utm_campaign%3Dpoke%2Bcottage","Iron Bundle")</f>
        <v>Iron Bundle</v>
      </c>
      <c r="D120" s="5" t="s">
        <v>16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77</v>
      </c>
      <c r="C121" s="6" t="str">
        <f aca="false">HYPERLINK("https://partner.tcgplayer.com/c/6278691/1780961/21018?u=https%3A%2F%2Fwww.tcgplayer.com%2Fproduct%2F550107%3Futm_source%3Dimpact%26utm_medium%3Daffiliate%26utm_campaign%3Dpoke%2Bcottage","Walking Wake")</f>
        <v>Walking Wake</v>
      </c>
      <c r="D121" s="5" t="s">
        <v>31</v>
      </c>
      <c r="E121" s="5" t="s">
        <v>32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77</v>
      </c>
      <c r="C122" s="6" t="str">
        <f aca="false">HYPERLINK("https://partner.tcgplayer.com/c/6278691/1780961/21018?u=https%3A%2F%2Fwww.tcgplayer.com%2Fproduct%2F550107%3Futm_source%3Dimpact%26utm_medium%3Daffiliate%26utm_campaign%3Dpoke%2Bcottage","Walking Wake")</f>
        <v>Walking Wake</v>
      </c>
      <c r="D122" s="5" t="s">
        <v>31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78</v>
      </c>
      <c r="C123" s="6" t="str">
        <f aca="false">HYPERLINK("https://partner.tcgplayer.com/c/6278691/1780961/21018?u=https%3A%2F%2Fwww.tcgplayer.com%2Fproduct%2F550108%3Futm_source%3Dimpact%26utm_medium%3Daffiliate%26utm_campaign%3Dpoke%2Bcottage","Wellspring Mask Ogerpon ex")</f>
        <v>Wellspring Mask Ogerpon ex</v>
      </c>
      <c r="D123" s="5" t="s">
        <v>37</v>
      </c>
      <c r="E123" s="5" t="s">
        <v>32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HYPERLINK("https://partner.tcgplayer.com/c/6278691/1780961/21018?u=https%3A%2F%2Fwww.tcgplayer.com%2Fproduct%2F550109%3Futm_source%3Dimpact%26utm_medium%3Daffiliate%26utm_campaign%3Dpoke%2Bcottage","Zapdos")</f>
        <v>Zapdos</v>
      </c>
      <c r="D124" s="5" t="s">
        <v>31</v>
      </c>
      <c r="E124" s="5" t="s">
        <v>32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79</v>
      </c>
      <c r="C125" s="6" t="str">
        <f aca="false">HYPERLINK("https://partner.tcgplayer.com/c/6278691/1780961/21018?u=https%3A%2F%2Fwww.tcgplayer.com%2Fproduct%2F550109%3Futm_source%3Dimpact%26utm_medium%3Daffiliate%26utm_campaign%3Dpoke%2Bcottage","Zapdos")</f>
        <v>Zapdos</v>
      </c>
      <c r="D125" s="5" t="s">
        <v>31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HYPERLINK("https://partner.tcgplayer.com/c/6278691/1780961/21018?u=https%3A%2F%2Fwww.tcgplayer.com%2Fproduct%2F550110%3Futm_source%3Dimpact%26utm_medium%3Daffiliate%26utm_campaign%3Dpoke%2Bcottage","Shinx")</f>
        <v>Shinx</v>
      </c>
      <c r="D126" s="5" t="s">
        <v>8</v>
      </c>
      <c r="E126" s="5" t="s">
        <v>9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80</v>
      </c>
      <c r="C127" s="6" t="str">
        <f aca="false">HYPERLINK("https://partner.tcgplayer.com/c/6278691/1780961/21018?u=https%3A%2F%2Fwww.tcgplayer.com%2Fproduct%2F550110%3Futm_source%3Dimpact%26utm_medium%3Daffiliate%26utm_campaign%3Dpoke%2Bcottage","Shinx")</f>
        <v>Shinx</v>
      </c>
      <c r="D127" s="5" t="s">
        <v>8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HYPERLINK("https://partner.tcgplayer.com/c/6278691/1780961/21018?u=https%3A%2F%2Fwww.tcgplayer.com%2Fproduct%2F550111%3Futm_source%3Dimpact%26utm_medium%3Daffiliate%26utm_campaign%3Dpoke%2Bcottage","Luxio")</f>
        <v>Luxio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81</v>
      </c>
      <c r="C129" s="6" t="str">
        <f aca="false">HYPERLINK("https://partner.tcgplayer.com/c/6278691/1780961/21018?u=https%3A%2F%2Fwww.tcgplayer.com%2Fproduct%2F550111%3Futm_source%3Dimpact%26utm_medium%3Daffiliate%26utm_campaign%3Dpoke%2Bcottage","Luxio")</f>
        <v>Luxio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HYPERLINK("https://partner.tcgplayer.com/c/6278691/1780961/21018?u=https%3A%2F%2Fwww.tcgplayer.com%2Fproduct%2F550112%3Futm_source%3Dimpact%26utm_medium%3Daffiliate%26utm_campaign%3Dpoke%2Bcottage","Luxray ex")</f>
        <v>Luxray ex</v>
      </c>
      <c r="D130" s="5" t="s">
        <v>37</v>
      </c>
      <c r="E130" s="5" t="s">
        <v>32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HYPERLINK("https://partner.tcgplayer.com/c/6278691/1780961/21018?u=https%3A%2F%2Fwww.tcgplayer.com%2Fproduct%2F550113%3Futm_source%3Dimpact%26utm_medium%3Daffiliate%26utm_campaign%3Dpoke%2Bcottage","Emolga")</f>
        <v>Emolga</v>
      </c>
      <c r="D131" s="5" t="s">
        <v>8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83</v>
      </c>
      <c r="C132" s="6" t="str">
        <f aca="false">HYPERLINK("https://partner.tcgplayer.com/c/6278691/1780961/21018?u=https%3A%2F%2Fwww.tcgplayer.com%2Fproduct%2F550113%3Futm_source%3Dimpact%26utm_medium%3Daffiliate%26utm_campaign%3Dpoke%2Bcottage","Emolga")</f>
        <v>Emolga</v>
      </c>
      <c r="D132" s="5" t="s">
        <v>8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HYPERLINK("https://partner.tcgplayer.com/c/6278691/1780961/21018?u=https%3A%2F%2Fwww.tcgplayer.com%2Fproduct%2F550114%3Futm_source%3Dimpact%26utm_medium%3Daffiliate%26utm_campaign%3Dpoke%2Bcottage","Helioptile")</f>
        <v>Helioptile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84</v>
      </c>
      <c r="C134" s="6" t="str">
        <f aca="false">HYPERLINK("https://partner.tcgplayer.com/c/6278691/1780961/21018?u=https%3A%2F%2Fwww.tcgplayer.com%2Fproduct%2F550114%3Futm_source%3Dimpact%26utm_medium%3Daffiliate%26utm_campaign%3Dpoke%2Bcottage","Helioptile")</f>
        <v>Helioptile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HYPERLINK("https://partner.tcgplayer.com/c/6278691/1780961/21018?u=https%3A%2F%2Fwww.tcgplayer.com%2Fproduct%2F550115%3Futm_source%3Dimpact%26utm_medium%3Daffiliate%26utm_campaign%3Dpoke%2Bcottage","Heliolisk")</f>
        <v>Heliolisk</v>
      </c>
      <c r="D135" s="5" t="s">
        <v>8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85</v>
      </c>
      <c r="C136" s="6" t="str">
        <f aca="false">HYPERLINK("https://partner.tcgplayer.com/c/6278691/1780961/21018?u=https%3A%2F%2Fwww.tcgplayer.com%2Fproduct%2F550115%3Futm_source%3Dimpact%26utm_medium%3Daffiliate%26utm_campaign%3Dpoke%2Bcottage","Heliolisk")</f>
        <v>Heliolisk</v>
      </c>
      <c r="D136" s="5" t="s">
        <v>8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HYPERLINK("https://partner.tcgplayer.com/c/6278691/1780961/21018?u=https%3A%2F%2Fwww.tcgplayer.com%2Fproduct%2F550116%3Futm_source%3Dimpact%26utm_medium%3Daffiliate%26utm_campaign%3Dpoke%2Bcottage","Morpeko")</f>
        <v>Morpeko</v>
      </c>
      <c r="D137" s="5" t="s">
        <v>16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86</v>
      </c>
      <c r="C138" s="6" t="str">
        <f aca="false">HYPERLINK("https://partner.tcgplayer.com/c/6278691/1780961/21018?u=https%3A%2F%2Fwww.tcgplayer.com%2Fproduct%2F550116%3Futm_source%3Dimpact%26utm_medium%3Daffiliate%26utm_campaign%3Dpoke%2Bcottage","Morpeko")</f>
        <v>Morpeko</v>
      </c>
      <c r="D138" s="5" t="s">
        <v>16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HYPERLINK("https://partner.tcgplayer.com/c/6278691/1780961/21018?u=https%3A%2F%2Fwww.tcgplayer.com%2Fproduct%2F550117%3Futm_source%3Dimpact%26utm_medium%3Daffiliate%26utm_campaign%3Dpoke%2Bcottage","Tadbulb")</f>
        <v>Tadbulb</v>
      </c>
      <c r="D139" s="5" t="s">
        <v>8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87</v>
      </c>
      <c r="C140" s="6" t="str">
        <f aca="false">HYPERLINK("https://partner.tcgplayer.com/c/6278691/1780961/21018?u=https%3A%2F%2Fwww.tcgplayer.com%2Fproduct%2F550117%3Futm_source%3Dimpact%26utm_medium%3Daffiliate%26utm_campaign%3Dpoke%2Bcottage","Tadbulb")</f>
        <v>Tadbulb</v>
      </c>
      <c r="D140" s="5" t="s">
        <v>8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HYPERLINK("https://partner.tcgplayer.com/c/6278691/1780961/21018?u=https%3A%2F%2Fwww.tcgplayer.com%2Fproduct%2F550118%3Futm_source%3Dimpact%26utm_medium%3Daffiliate%26utm_campaign%3Dpoke%2Bcottage","Bellibolt")</f>
        <v>Bellibolt</v>
      </c>
      <c r="D141" s="5" t="s">
        <v>16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88</v>
      </c>
      <c r="C142" s="6" t="str">
        <f aca="false">HYPERLINK("https://partner.tcgplayer.com/c/6278691/1780961/21018?u=https%3A%2F%2Fwww.tcgplayer.com%2Fproduct%2F550118%3Futm_source%3Dimpact%26utm_medium%3Daffiliate%26utm_campaign%3Dpoke%2Bcottage","Bellibolt")</f>
        <v>Bellibolt</v>
      </c>
      <c r="D142" s="5" t="s">
        <v>16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HYPERLINK("https://partner.tcgplayer.com/c/6278691/1780961/21018?u=https%3A%2F%2Fwww.tcgplayer.com%2Fproduct%2F550119%3Futm_source%3Dimpact%26utm_medium%3Daffiliate%26utm_campaign%3Dpoke%2Bcottage","Wattrel")</f>
        <v>Wattrel</v>
      </c>
      <c r="D143" s="5" t="s">
        <v>8</v>
      </c>
      <c r="E143" s="5" t="s">
        <v>9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89</v>
      </c>
      <c r="C144" s="6" t="str">
        <f aca="false">HYPERLINK("https://partner.tcgplayer.com/c/6278691/1780961/21018?u=https%3A%2F%2Fwww.tcgplayer.com%2Fproduct%2F550119%3Futm_source%3Dimpact%26utm_medium%3Daffiliate%26utm_campaign%3Dpoke%2Bcottage","Wattrel")</f>
        <v>Wattrel</v>
      </c>
      <c r="D144" s="5" t="s">
        <v>8</v>
      </c>
      <c r="E144" s="5" t="s">
        <v>11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HYPERLINK("https://partner.tcgplayer.com/c/6278691/1780961/21018?u=https%3A%2F%2Fwww.tcgplayer.com%2Fproduct%2F550120%3Futm_source%3Dimpact%26utm_medium%3Daffiliate%26utm_campaign%3Dpoke%2Bcottage","Kilowattrel")</f>
        <v>Kilowattrel</v>
      </c>
      <c r="D145" s="5" t="s">
        <v>16</v>
      </c>
      <c r="E145" s="5" t="s">
        <v>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90</v>
      </c>
      <c r="C146" s="6" t="str">
        <f aca="false">HYPERLINK("https://partner.tcgplayer.com/c/6278691/1780961/21018?u=https%3A%2F%2Fwww.tcgplayer.com%2Fproduct%2F550120%3Futm_source%3Dimpact%26utm_medium%3Daffiliate%26utm_campaign%3Dpoke%2Bcottage","Kilowattrel")</f>
        <v>Kilowattrel</v>
      </c>
      <c r="D146" s="5" t="s">
        <v>16</v>
      </c>
      <c r="E146" s="5" t="s">
        <v>11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HYPERLINK("https://partner.tcgplayer.com/c/6278691/1780961/21018?u=https%3A%2F%2Fwww.tcgplayer.com%2Fproduct%2F550121%3Futm_source%3Dimpact%26utm_medium%3Daffiliate%26utm_campaign%3Dpoke%2Bcottage","Iron Thorns ex")</f>
        <v>Iron Thorns ex</v>
      </c>
      <c r="D147" s="5" t="s">
        <v>37</v>
      </c>
      <c r="E147" s="5" t="s">
        <v>32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HYPERLINK("https://partner.tcgplayer.com/c/6278691/1780961/21018?u=https%3A%2F%2Fwww.tcgplayer.com%2Fproduct%2F550122%3Futm_source%3Dimpact%26utm_medium%3Daffiliate%26utm_campaign%3Dpoke%2Bcottage","Clefairy")</f>
        <v>Clefairy</v>
      </c>
      <c r="D148" s="5" t="s">
        <v>8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HYPERLINK("https://partner.tcgplayer.com/c/6278691/1780961/21018?u=https%3A%2F%2Fwww.tcgplayer.com%2Fproduct%2F550122%3Futm_source%3Dimpact%26utm_medium%3Daffiliate%26utm_campaign%3Dpoke%2Bcottage","Clefairy")</f>
        <v>Clefairy</v>
      </c>
      <c r="D149" s="5" t="s">
        <v>8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HYPERLINK("https://partner.tcgplayer.com/c/6278691/1780961/21018?u=https%3A%2F%2Fwww.tcgplayer.com%2Fproduct%2F550123%3Futm_source%3Dimpact%26utm_medium%3Daffiliate%26utm_campaign%3Dpoke%2Bcottage","Clefable")</f>
        <v>Clefable</v>
      </c>
      <c r="D150" s="5" t="s">
        <v>16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HYPERLINK("https://partner.tcgplayer.com/c/6278691/1780961/21018?u=https%3A%2F%2Fwww.tcgplayer.com%2Fproduct%2F550123%3Futm_source%3Dimpact%26utm_medium%3Daffiliate%26utm_campaign%3Dpoke%2Bcottage","Clefable")</f>
        <v>Clefable</v>
      </c>
      <c r="D151" s="5" t="s">
        <v>16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HYPERLINK("https://partner.tcgplayer.com/c/6278691/1780961/21018?u=https%3A%2F%2Fwww.tcgplayer.com%2Fproduct%2F550124%3Futm_source%3Dimpact%26utm_medium%3Daffiliate%26utm_campaign%3Dpoke%2Bcottage","Abra")</f>
        <v>Abra</v>
      </c>
      <c r="D152" s="5" t="s">
        <v>8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HYPERLINK("https://partner.tcgplayer.com/c/6278691/1780961/21018?u=https%3A%2F%2Fwww.tcgplayer.com%2Fproduct%2F550124%3Futm_source%3Dimpact%26utm_medium%3Daffiliate%26utm_campaign%3Dpoke%2Bcottage","Abra")</f>
        <v>Abra</v>
      </c>
      <c r="D153" s="5" t="s">
        <v>8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HYPERLINK("https://partner.tcgplayer.com/c/6278691/1780961/21018?u=https%3A%2F%2Fwww.tcgplayer.com%2Fproduct%2F550125%3Futm_source%3Dimpact%26utm_medium%3Daffiliate%26utm_campaign%3Dpoke%2Bcottage","Kadabra")</f>
        <v>Kadabra</v>
      </c>
      <c r="D154" s="5" t="s">
        <v>8</v>
      </c>
      <c r="E154" s="5" t="s">
        <v>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95</v>
      </c>
      <c r="C155" s="6" t="str">
        <f aca="false">HYPERLINK("https://partner.tcgplayer.com/c/6278691/1780961/21018?u=https%3A%2F%2Fwww.tcgplayer.com%2Fproduct%2F550125%3Futm_source%3Dimpact%26utm_medium%3Daffiliate%26utm_campaign%3Dpoke%2Bcottage","Kadabra")</f>
        <v>Kadabra</v>
      </c>
      <c r="D155" s="5" t="s">
        <v>8</v>
      </c>
      <c r="E155" s="5" t="s">
        <v>11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HYPERLINK("https://partner.tcgplayer.com/c/6278691/1780961/21018?u=https%3A%2F%2Fwww.tcgplayer.com%2Fproduct%2F550126%3Futm_source%3Dimpact%26utm_medium%3Daffiliate%26utm_campaign%3Dpoke%2Bcottage","Alakazam")</f>
        <v>Alakazam</v>
      </c>
      <c r="D156" s="5" t="s">
        <v>31</v>
      </c>
      <c r="E156" s="5" t="s">
        <v>32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96</v>
      </c>
      <c r="C157" s="6" t="str">
        <f aca="false">HYPERLINK("https://partner.tcgplayer.com/c/6278691/1780961/21018?u=https%3A%2F%2Fwww.tcgplayer.com%2Fproduct%2F550126%3Futm_source%3Dimpact%26utm_medium%3Daffiliate%26utm_campaign%3Dpoke%2Bcottage","Alakazam")</f>
        <v>Alakazam</v>
      </c>
      <c r="D157" s="5" t="s">
        <v>31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HYPERLINK("https://partner.tcgplayer.com/c/6278691/1780961/21018?u=https%3A%2F%2Fwww.tcgplayer.com%2Fproduct%2F550127%3Futm_source%3Dimpact%26utm_medium%3Daffiliate%26utm_campaign%3Dpoke%2Bcottage","Girafarig")</f>
        <v>Girafarig</v>
      </c>
      <c r="D158" s="5" t="s">
        <v>8</v>
      </c>
      <c r="E158" s="5" t="s">
        <v>9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97</v>
      </c>
      <c r="C159" s="6" t="str">
        <f aca="false">HYPERLINK("https://partner.tcgplayer.com/c/6278691/1780961/21018?u=https%3A%2F%2Fwww.tcgplayer.com%2Fproduct%2F550127%3Futm_source%3Dimpact%26utm_medium%3Daffiliate%26utm_campaign%3Dpoke%2Bcottage","Girafarig")</f>
        <v>Girafarig</v>
      </c>
      <c r="D159" s="5" t="s">
        <v>8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HYPERLINK("https://partner.tcgplayer.com/c/6278691/1780961/21018?u=https%3A%2F%2Fwww.tcgplayer.com%2Fproduct%2F550128%3Futm_source%3Dimpact%26utm_medium%3Daffiliate%26utm_campaign%3Dpoke%2Bcottage","Farigiraf")</f>
        <v>Farigiraf</v>
      </c>
      <c r="D160" s="5" t="s">
        <v>16</v>
      </c>
      <c r="E160" s="5" t="s">
        <v>9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98</v>
      </c>
      <c r="C161" s="6" t="str">
        <f aca="false">HYPERLINK("https://partner.tcgplayer.com/c/6278691/1780961/21018?u=https%3A%2F%2Fwww.tcgplayer.com%2Fproduct%2F550128%3Futm_source%3Dimpact%26utm_medium%3Daffiliate%26utm_campaign%3Dpoke%2Bcottage","Farigiraf")</f>
        <v>Farigiraf</v>
      </c>
      <c r="D161" s="5" t="s">
        <v>16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HYPERLINK("https://partner.tcgplayer.com/c/6278691/1780961/21018?u=https%3A%2F%2Fwww.tcgplayer.com%2Fproduct%2F550129%3Futm_source%3Dimpact%26utm_medium%3Daffiliate%26utm_campaign%3Dpoke%2Bcottage","Chimecho")</f>
        <v>Chimecho</v>
      </c>
      <c r="D162" s="5" t="s">
        <v>8</v>
      </c>
      <c r="E162" s="5" t="s">
        <v>9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99</v>
      </c>
      <c r="C163" s="6" t="str">
        <f aca="false">HYPERLINK("https://partner.tcgplayer.com/c/6278691/1780961/21018?u=https%3A%2F%2Fwww.tcgplayer.com%2Fproduct%2F550129%3Futm_source%3Dimpact%26utm_medium%3Daffiliate%26utm_campaign%3Dpoke%2Bcottage","Chimecho")</f>
        <v>Chimecho</v>
      </c>
      <c r="D163" s="5" t="s">
        <v>8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HYPERLINK("https://partner.tcgplayer.com/c/6278691/1780961/21018?u=https%3A%2F%2Fwww.tcgplayer.com%2Fproduct%2F550130%3Futm_source%3Dimpact%26utm_medium%3Daffiliate%26utm_campaign%3Dpoke%2Bcottage","Flabébé")</f>
        <v>Flabébé</v>
      </c>
      <c r="D164" s="5" t="s">
        <v>8</v>
      </c>
      <c r="E164" s="5" t="s">
        <v>9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100</v>
      </c>
      <c r="C165" s="6" t="str">
        <f aca="false">HYPERLINK("https://partner.tcgplayer.com/c/6278691/1780961/21018?u=https%3A%2F%2Fwww.tcgplayer.com%2Fproduct%2F550130%3Futm_source%3Dimpact%26utm_medium%3Daffiliate%26utm_campaign%3Dpoke%2Bcottage","Flabébé")</f>
        <v>Flabébé</v>
      </c>
      <c r="D165" s="5" t="s">
        <v>8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HYPERLINK("https://partner.tcgplayer.com/c/6278691/1780961/21018?u=https%3A%2F%2Fwww.tcgplayer.com%2Fproduct%2F550131%3Futm_source%3Dimpact%26utm_medium%3Daffiliate%26utm_campaign%3Dpoke%2Bcottage","Floette")</f>
        <v>Floette</v>
      </c>
      <c r="D166" s="5" t="s">
        <v>8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101</v>
      </c>
      <c r="C167" s="6" t="str">
        <f aca="false">HYPERLINK("https://partner.tcgplayer.com/c/6278691/1780961/21018?u=https%3A%2F%2Fwww.tcgplayer.com%2Fproduct%2F550131%3Futm_source%3Dimpact%26utm_medium%3Daffiliate%26utm_campaign%3Dpoke%2Bcottage","Floette")</f>
        <v>Floette</v>
      </c>
      <c r="D167" s="5" t="s">
        <v>8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HYPERLINK("https://partner.tcgplayer.com/c/6278691/1780961/21018?u=https%3A%2F%2Fwww.tcgplayer.com%2Fproduct%2F550132%3Futm_source%3Dimpact%26utm_medium%3Daffiliate%26utm_campaign%3Dpoke%2Bcottage","Florges")</f>
        <v>Florges</v>
      </c>
      <c r="D168" s="5" t="s">
        <v>16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102</v>
      </c>
      <c r="C169" s="6" t="str">
        <f aca="false">HYPERLINK("https://partner.tcgplayer.com/c/6278691/1780961/21018?u=https%3A%2F%2Fwww.tcgplayer.com%2Fproduct%2F550132%3Futm_source%3Dimpact%26utm_medium%3Daffiliate%26utm_campaign%3Dpoke%2Bcottage","Florges")</f>
        <v>Florges</v>
      </c>
      <c r="D169" s="5" t="s">
        <v>16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HYPERLINK("https://partner.tcgplayer.com/c/6278691/1780961/21018?u=https%3A%2F%2Fwww.tcgplayer.com%2Fproduct%2F550133%3Futm_source%3Dimpact%26utm_medium%3Daffiliate%26utm_campaign%3Dpoke%2Bcottage","Swirlix")</f>
        <v>Swirlix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103</v>
      </c>
      <c r="C171" s="6" t="str">
        <f aca="false">HYPERLINK("https://partner.tcgplayer.com/c/6278691/1780961/21018?u=https%3A%2F%2Fwww.tcgplayer.com%2Fproduct%2F550133%3Futm_source%3Dimpact%26utm_medium%3Daffiliate%26utm_campaign%3Dpoke%2Bcottage","Swirlix")</f>
        <v>Swirlix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HYPERLINK("https://partner.tcgplayer.com/c/6278691/1780961/21018?u=https%3A%2F%2Fwww.tcgplayer.com%2Fproduct%2F550134%3Futm_source%3Dimpact%26utm_medium%3Daffiliate%26utm_campaign%3Dpoke%2Bcottage","Slurpuff")</f>
        <v>Slurpuff</v>
      </c>
      <c r="D172" s="5" t="s">
        <v>16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104</v>
      </c>
      <c r="C173" s="6" t="str">
        <f aca="false">HYPERLINK("https://partner.tcgplayer.com/c/6278691/1780961/21018?u=https%3A%2F%2Fwww.tcgplayer.com%2Fproduct%2F550134%3Futm_source%3Dimpact%26utm_medium%3Daffiliate%26utm_campaign%3Dpoke%2Bcottage","Slurpuff")</f>
        <v>Slurpuff</v>
      </c>
      <c r="D173" s="5" t="s">
        <v>16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105</v>
      </c>
      <c r="C174" s="6" t="str">
        <f aca="false">HYPERLINK("https://partner.tcgplayer.com/c/6278691/1780961/21018?u=https%3A%2F%2Fwww.tcgplayer.com%2Fproduct%2F550135%3Futm_source%3Dimpact%26utm_medium%3Daffiliate%26utm_campaign%3Dpoke%2Bcottage","Sandygast")</f>
        <v>Sandygast</v>
      </c>
      <c r="D174" s="5" t="s">
        <v>8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105</v>
      </c>
      <c r="C175" s="6" t="str">
        <f aca="false">HYPERLINK("https://partner.tcgplayer.com/c/6278691/1780961/21018?u=https%3A%2F%2Fwww.tcgplayer.com%2Fproduct%2F550135%3Futm_source%3Dimpact%26utm_medium%3Daffiliate%26utm_campaign%3Dpoke%2Bcottage","Sandygast")</f>
        <v>Sandygast</v>
      </c>
      <c r="D175" s="5" t="s">
        <v>8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106</v>
      </c>
      <c r="C176" s="6" t="str">
        <f aca="false">HYPERLINK("https://partner.tcgplayer.com/c/6278691/1780961/21018?u=https%3A%2F%2Fwww.tcgplayer.com%2Fproduct%2F550136%3Futm_source%3Dimpact%26utm_medium%3Daffiliate%26utm_campaign%3Dpoke%2Bcottage","Palossand")</f>
        <v>Palossand</v>
      </c>
      <c r="D176" s="5" t="s">
        <v>8</v>
      </c>
      <c r="E176" s="5" t="s">
        <v>9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106</v>
      </c>
      <c r="C177" s="6" t="str">
        <f aca="false">HYPERLINK("https://partner.tcgplayer.com/c/6278691/1780961/21018?u=https%3A%2F%2Fwww.tcgplayer.com%2Fproduct%2F550136%3Futm_source%3Dimpact%26utm_medium%3Daffiliate%26utm_campaign%3Dpoke%2Bcottage","Palossand")</f>
        <v>Palossand</v>
      </c>
      <c r="D177" s="5" t="s">
        <v>8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107</v>
      </c>
      <c r="C178" s="6" t="str">
        <f aca="false">HYPERLINK("https://partner.tcgplayer.com/c/6278691/1780961/21018?u=https%3A%2F%2Fwww.tcgplayer.com%2Fproduct%2F550137%3Futm_source%3Dimpact%26utm_medium%3Daffiliate%26utm_campaign%3Dpoke%2Bcottage","Enamorus")</f>
        <v>Enamorus</v>
      </c>
      <c r="D178" s="5" t="s">
        <v>31</v>
      </c>
      <c r="E178" s="5" t="s">
        <v>32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107</v>
      </c>
      <c r="C179" s="6" t="str">
        <f aca="false">HYPERLINK("https://partner.tcgplayer.com/c/6278691/1780961/21018?u=https%3A%2F%2Fwww.tcgplayer.com%2Fproduct%2F550137%3Futm_source%3Dimpact%26utm_medium%3Daffiliate%26utm_campaign%3Dpoke%2Bcottage","Enamorus")</f>
        <v>Enamorus</v>
      </c>
      <c r="D179" s="5" t="s">
        <v>31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108</v>
      </c>
      <c r="C180" s="6" t="str">
        <f aca="false">HYPERLINK("https://partner.tcgplayer.com/c/6278691/1780961/21018?u=https%3A%2F%2Fwww.tcgplayer.com%2Fproduct%2F550138%3Futm_source%3Dimpact%26utm_medium%3Daffiliate%26utm_campaign%3Dpoke%2Bcottage","Scream Tail ex")</f>
        <v>Scream Tail ex</v>
      </c>
      <c r="D180" s="5" t="s">
        <v>37</v>
      </c>
      <c r="E180" s="5" t="s">
        <v>32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109</v>
      </c>
      <c r="C181" s="6" t="str">
        <f aca="false">HYPERLINK("https://partner.tcgplayer.com/c/6278691/1780961/21018?u=https%3A%2F%2Fwww.tcgplayer.com%2Fproduct%2F550139%3Futm_source%3Dimpact%26utm_medium%3Daffiliate%26utm_campaign%3Dpoke%2Bcottage","Munkidori")</f>
        <v>Munkidori</v>
      </c>
      <c r="D181" s="5" t="s">
        <v>31</v>
      </c>
      <c r="E181" s="5" t="s">
        <v>32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109</v>
      </c>
      <c r="C182" s="6" t="str">
        <f aca="false">HYPERLINK("https://partner.tcgplayer.com/c/6278691/1780961/21018?u=https%3A%2F%2Fwww.tcgplayer.com%2Fproduct%2F550139%3Futm_source%3Dimpact%26utm_medium%3Daffiliate%26utm_campaign%3Dpoke%2Bcottage","Munkidori")</f>
        <v>Munkidori</v>
      </c>
      <c r="D182" s="5" t="s">
        <v>31</v>
      </c>
      <c r="E182" s="5" t="s">
        <v>11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110</v>
      </c>
      <c r="C183" s="6" t="str">
        <f aca="false">HYPERLINK("https://partner.tcgplayer.com/c/6278691/1780961/21018?u=https%3A%2F%2Fwww.tcgplayer.com%2Fproduct%2F550140%3Futm_source%3Dimpact%26utm_medium%3Daffiliate%26utm_campaign%3Dpoke%2Bcottage","Fezandipiti")</f>
        <v>Fezandipiti</v>
      </c>
      <c r="D183" s="5" t="s">
        <v>31</v>
      </c>
      <c r="E183" s="5" t="s">
        <v>32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110</v>
      </c>
      <c r="C184" s="6" t="str">
        <f aca="false">HYPERLINK("https://partner.tcgplayer.com/c/6278691/1780961/21018?u=https%3A%2F%2Fwww.tcgplayer.com%2Fproduct%2F550140%3Futm_source%3Dimpact%26utm_medium%3Daffiliate%26utm_campaign%3Dpoke%2Bcottage","Fezandipiti")</f>
        <v>Fezandipiti</v>
      </c>
      <c r="D184" s="5" t="s">
        <v>31</v>
      </c>
      <c r="E184" s="5" t="s">
        <v>11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111</v>
      </c>
      <c r="C185" s="6" t="str">
        <f aca="false">HYPERLINK("https://partner.tcgplayer.com/c/6278691/1780961/21018?u=https%3A%2F%2Fwww.tcgplayer.com%2Fproduct%2F550141%3Futm_source%3Dimpact%26utm_medium%3Daffiliate%26utm_campaign%3Dpoke%2Bcottage","Sandshrew")</f>
        <v>Sandshrew</v>
      </c>
      <c r="D185" s="5" t="s">
        <v>8</v>
      </c>
      <c r="E185" s="5" t="s">
        <v>9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111</v>
      </c>
      <c r="C186" s="6" t="str">
        <f aca="false">HYPERLINK("https://partner.tcgplayer.com/c/6278691/1780961/21018?u=https%3A%2F%2Fwww.tcgplayer.com%2Fproduct%2F550141%3Futm_source%3Dimpact%26utm_medium%3Daffiliate%26utm_campaign%3Dpoke%2Bcottage","Sandshrew")</f>
        <v>Sandshrew</v>
      </c>
      <c r="D186" s="5" t="s">
        <v>8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112</v>
      </c>
      <c r="C187" s="6" t="str">
        <f aca="false">HYPERLINK("https://partner.tcgplayer.com/c/6278691/1780961/21018?u=https%3A%2F%2Fwww.tcgplayer.com%2Fproduct%2F550142%3Futm_source%3Dimpact%26utm_medium%3Daffiliate%26utm_campaign%3Dpoke%2Bcottage","Sandslash")</f>
        <v>Sandslash</v>
      </c>
      <c r="D187" s="5" t="s">
        <v>16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112</v>
      </c>
      <c r="C188" s="6" t="str">
        <f aca="false">HYPERLINK("https://partner.tcgplayer.com/c/6278691/1780961/21018?u=https%3A%2F%2Fwww.tcgplayer.com%2Fproduct%2F550142%3Futm_source%3Dimpact%26utm_medium%3Daffiliate%26utm_campaign%3Dpoke%2Bcottage","Sandslash")</f>
        <v>Sandslash</v>
      </c>
      <c r="D188" s="5" t="s">
        <v>16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113</v>
      </c>
      <c r="C189" s="6" t="str">
        <f aca="false">HYPERLINK("https://partner.tcgplayer.com/c/6278691/1780961/21018?u=https%3A%2F%2Fwww.tcgplayer.com%2Fproduct%2F550143%3Futm_source%3Dimpact%26utm_medium%3Daffiliate%26utm_campaign%3Dpoke%2Bcottage","Hisuian Growlithe")</f>
        <v>Hisuian Growlithe</v>
      </c>
      <c r="D189" s="5" t="s">
        <v>8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113</v>
      </c>
      <c r="C190" s="6" t="str">
        <f aca="false">HYPERLINK("https://partner.tcgplayer.com/c/6278691/1780961/21018?u=https%3A%2F%2Fwww.tcgplayer.com%2Fproduct%2F550143%3Futm_source%3Dimpact%26utm_medium%3Daffiliate%26utm_campaign%3Dpoke%2Bcottage","Hisuian Growlithe")</f>
        <v>Hisuian Growlithe</v>
      </c>
      <c r="D190" s="5" t="s">
        <v>8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114</v>
      </c>
      <c r="C191" s="6" t="str">
        <f aca="false">HYPERLINK("https://partner.tcgplayer.com/c/6278691/1780961/21018?u=https%3A%2F%2Fwww.tcgplayer.com%2Fproduct%2F550144%3Futm_source%3Dimpact%26utm_medium%3Daffiliate%26utm_campaign%3Dpoke%2Bcottage","Hisuian Arcanine")</f>
        <v>Hisuian Arcanine</v>
      </c>
      <c r="D191" s="5" t="s">
        <v>31</v>
      </c>
      <c r="E191" s="5" t="s">
        <v>32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114</v>
      </c>
      <c r="C192" s="6" t="str">
        <f aca="false">HYPERLINK("https://partner.tcgplayer.com/c/6278691/1780961/21018?u=https%3A%2F%2Fwww.tcgplayer.com%2Fproduct%2F550144%3Futm_source%3Dimpact%26utm_medium%3Daffiliate%26utm_campaign%3Dpoke%2Bcottage","Hisuian Arcanine")</f>
        <v>Hisuian Arcanine</v>
      </c>
      <c r="D192" s="5" t="s">
        <v>31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115</v>
      </c>
      <c r="C193" s="6" t="str">
        <f aca="false">HYPERLINK("https://partner.tcgplayer.com/c/6278691/1780961/21018?u=https%3A%2F%2Fwww.tcgplayer.com%2Fproduct%2F550145%3Futm_source%3Dimpact%26utm_medium%3Daffiliate%26utm_campaign%3Dpoke%2Bcottage","Nosepass")</f>
        <v>Nosepass</v>
      </c>
      <c r="D193" s="5" t="s">
        <v>8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115</v>
      </c>
      <c r="C194" s="6" t="str">
        <f aca="false">HYPERLINK("https://partner.tcgplayer.com/c/6278691/1780961/21018?u=https%3A%2F%2Fwww.tcgplayer.com%2Fproduct%2F550145%3Futm_source%3Dimpact%26utm_medium%3Daffiliate%26utm_campaign%3Dpoke%2Bcottage","Nosepass")</f>
        <v>Nosepass</v>
      </c>
      <c r="D194" s="5" t="s">
        <v>8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116</v>
      </c>
      <c r="C195" s="6" t="str">
        <f aca="false">HYPERLINK("https://partner.tcgplayer.com/c/6278691/1780961/21018?u=https%3A%2F%2Fwww.tcgplayer.com%2Fproduct%2F550146%3Futm_source%3Dimpact%26utm_medium%3Daffiliate%26utm_campaign%3Dpoke%2Bcottage","Probopass")</f>
        <v>Probopass</v>
      </c>
      <c r="D195" s="5" t="s">
        <v>16</v>
      </c>
      <c r="E195" s="5" t="s">
        <v>9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116</v>
      </c>
      <c r="C196" s="6" t="str">
        <f aca="false">HYPERLINK("https://partner.tcgplayer.com/c/6278691/1780961/21018?u=https%3A%2F%2Fwww.tcgplayer.com%2Fproduct%2F550146%3Futm_source%3Dimpact%26utm_medium%3Daffiliate%26utm_campaign%3Dpoke%2Bcottage","Probopass")</f>
        <v>Probopass</v>
      </c>
      <c r="D196" s="5" t="s">
        <v>16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117</v>
      </c>
      <c r="C197" s="6" t="str">
        <f aca="false">HYPERLINK("https://partner.tcgplayer.com/c/6278691/1780961/21018?u=https%3A%2F%2Fwww.tcgplayer.com%2Fproduct%2F550147%3Futm_source%3Dimpact%26utm_medium%3Daffiliate%26utm_campaign%3Dpoke%2Bcottage","Timburr")</f>
        <v>Timburr</v>
      </c>
      <c r="D197" s="5" t="s">
        <v>8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117</v>
      </c>
      <c r="C198" s="6" t="str">
        <f aca="false">HYPERLINK("https://partner.tcgplayer.com/c/6278691/1780961/21018?u=https%3A%2F%2Fwww.tcgplayer.com%2Fproduct%2F550147%3Futm_source%3Dimpact%26utm_medium%3Daffiliate%26utm_campaign%3Dpoke%2Bcottage","Timburr")</f>
        <v>Timburr</v>
      </c>
      <c r="D198" s="5" t="s">
        <v>8</v>
      </c>
      <c r="E198" s="5" t="s">
        <v>11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118</v>
      </c>
      <c r="C199" s="6" t="str">
        <f aca="false">HYPERLINK("https://partner.tcgplayer.com/c/6278691/1780961/21018?u=https%3A%2F%2Fwww.tcgplayer.com%2Fproduct%2F550148%3Futm_source%3Dimpact%26utm_medium%3Daffiliate%26utm_campaign%3Dpoke%2Bcottage","Gurdurr")</f>
        <v>Gurdurr</v>
      </c>
      <c r="D199" s="5" t="s">
        <v>8</v>
      </c>
      <c r="E199" s="5" t="s">
        <v>9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118</v>
      </c>
      <c r="C200" s="6" t="str">
        <f aca="false">HYPERLINK("https://partner.tcgplayer.com/c/6278691/1780961/21018?u=https%3A%2F%2Fwww.tcgplayer.com%2Fproduct%2F550148%3Futm_source%3Dimpact%26utm_medium%3Daffiliate%26utm_campaign%3Dpoke%2Bcottage","Gurdurr")</f>
        <v>Gurdurr</v>
      </c>
      <c r="D200" s="5" t="s">
        <v>8</v>
      </c>
      <c r="E200" s="5" t="s">
        <v>11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119</v>
      </c>
      <c r="C201" s="6" t="str">
        <f aca="false">HYPERLINK("https://partner.tcgplayer.com/c/6278691/1780961/21018?u=https%3A%2F%2Fwww.tcgplayer.com%2Fproduct%2F550149%3Futm_source%3Dimpact%26utm_medium%3Daffiliate%26utm_campaign%3Dpoke%2Bcottage","Conkeldurr")</f>
        <v>Conkeldurr</v>
      </c>
      <c r="D201" s="5" t="s">
        <v>16</v>
      </c>
      <c r="E201" s="5" t="s">
        <v>9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119</v>
      </c>
      <c r="C202" s="6" t="str">
        <f aca="false">HYPERLINK("https://partner.tcgplayer.com/c/6278691/1780961/21018?u=https%3A%2F%2Fwww.tcgplayer.com%2Fproduct%2F550149%3Futm_source%3Dimpact%26utm_medium%3Daffiliate%26utm_campaign%3Dpoke%2Bcottage","Conkeldurr")</f>
        <v>Conkeldurr</v>
      </c>
      <c r="D202" s="5" t="s">
        <v>16</v>
      </c>
      <c r="E202" s="5" t="s">
        <v>11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120</v>
      </c>
      <c r="C203" s="6" t="str">
        <f aca="false">HYPERLINK("https://partner.tcgplayer.com/c/6278691/1780961/21018?u=https%3A%2F%2Fwww.tcgplayer.com%2Fproduct%2F550150%3Futm_source%3Dimpact%26utm_medium%3Daffiliate%26utm_campaign%3Dpoke%2Bcottage","Greninja ex")</f>
        <v>Greninja ex</v>
      </c>
      <c r="D203" s="5" t="s">
        <v>37</v>
      </c>
      <c r="E203" s="5" t="s">
        <v>32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HYPERLINK("https://partner.tcgplayer.com/c/6278691/1780961/21018?u=https%3A%2F%2Fwww.tcgplayer.com%2Fproduct%2F550151%3Futm_source%3Dimpact%26utm_medium%3Daffiliate%26utm_campaign%3Dpoke%2Bcottage","Hawlucha")</f>
        <v>Hawlucha</v>
      </c>
      <c r="D204" s="5" t="s">
        <v>8</v>
      </c>
      <c r="E204" s="5" t="s">
        <v>9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121</v>
      </c>
      <c r="C205" s="6" t="str">
        <f aca="false">HYPERLINK("https://partner.tcgplayer.com/c/6278691/1780961/21018?u=https%3A%2F%2Fwww.tcgplayer.com%2Fproduct%2F550151%3Futm_source%3Dimpact%26utm_medium%3Daffiliate%26utm_campaign%3Dpoke%2Bcottage","Hawlucha")</f>
        <v>Hawlucha</v>
      </c>
      <c r="D205" s="5" t="s">
        <v>8</v>
      </c>
      <c r="E205" s="5" t="s">
        <v>11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HYPERLINK("https://partner.tcgplayer.com/c/6278691/1780961/21018?u=https%3A%2F%2Fwww.tcgplayer.com%2Fproduct%2F550152%3Futm_source%3Dimpact%26utm_medium%3Daffiliate%26utm_campaign%3Dpoke%2Bcottage","Glimmet")</f>
        <v>Glimmet</v>
      </c>
      <c r="D206" s="5" t="s">
        <v>8</v>
      </c>
      <c r="E206" s="5" t="s">
        <v>9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122</v>
      </c>
      <c r="C207" s="6" t="str">
        <f aca="false">HYPERLINK("https://partner.tcgplayer.com/c/6278691/1780961/21018?u=https%3A%2F%2Fwww.tcgplayer.com%2Fproduct%2F550152%3Futm_source%3Dimpact%26utm_medium%3Daffiliate%26utm_campaign%3Dpoke%2Bcottage","Glimmet")</f>
        <v>Glimmet</v>
      </c>
      <c r="D207" s="5" t="s">
        <v>8</v>
      </c>
      <c r="E207" s="5" t="s">
        <v>11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HYPERLINK("https://partner.tcgplayer.com/c/6278691/1780961/21018?u=https%3A%2F%2Fwww.tcgplayer.com%2Fproduct%2F550153%3Futm_source%3Dimpact%26utm_medium%3Daffiliate%26utm_campaign%3Dpoke%2Bcottage","Glimmora")</f>
        <v>Glimmora</v>
      </c>
      <c r="D208" s="5" t="s">
        <v>16</v>
      </c>
      <c r="E208" s="5" t="s">
        <v>9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123</v>
      </c>
      <c r="C209" s="6" t="str">
        <f aca="false">HYPERLINK("https://partner.tcgplayer.com/c/6278691/1780961/21018?u=https%3A%2F%2Fwww.tcgplayer.com%2Fproduct%2F550153%3Futm_source%3Dimpact%26utm_medium%3Daffiliate%26utm_campaign%3Dpoke%2Bcottage","Glimmora")</f>
        <v>Glimmora</v>
      </c>
      <c r="D209" s="5" t="s">
        <v>16</v>
      </c>
      <c r="E209" s="5" t="s">
        <v>11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HYPERLINK("https://partner.tcgplayer.com/c/6278691/1780961/21018?u=https%3A%2F%2Fwww.tcgplayer.com%2Fproduct%2F550154%3Futm_source%3Dimpact%26utm_medium%3Daffiliate%26utm_campaign%3Dpoke%2Bcottage","Ting-Lu")</f>
        <v>Ting-Lu</v>
      </c>
      <c r="D210" s="5" t="s">
        <v>31</v>
      </c>
      <c r="E210" s="5" t="s">
        <v>32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124</v>
      </c>
      <c r="C211" s="6" t="str">
        <f aca="false">HYPERLINK("https://partner.tcgplayer.com/c/6278691/1780961/21018?u=https%3A%2F%2Fwww.tcgplayer.com%2Fproduct%2F550154%3Futm_source%3Dimpact%26utm_medium%3Daffiliate%26utm_campaign%3Dpoke%2Bcottage","Ting-Lu")</f>
        <v>Ting-Lu</v>
      </c>
      <c r="D211" s="5" t="s">
        <v>31</v>
      </c>
      <c r="E211" s="5" t="s">
        <v>11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125</v>
      </c>
      <c r="C212" s="6" t="str">
        <f aca="false">HYPERLINK("https://partner.tcgplayer.com/c/6278691/1780961/21018?u=https%3A%2F%2Fwww.tcgplayer.com%2Fproduct%2F550155%3Futm_source%3Dimpact%26utm_medium%3Daffiliate%26utm_campaign%3Dpoke%2Bcottage","Okidogi")</f>
        <v>Okidogi</v>
      </c>
      <c r="D212" s="5" t="s">
        <v>31</v>
      </c>
      <c r="E212" s="5" t="s">
        <v>32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125</v>
      </c>
      <c r="C213" s="6" t="str">
        <f aca="false">HYPERLINK("https://partner.tcgplayer.com/c/6278691/1780961/21018?u=https%3A%2F%2Fwww.tcgplayer.com%2Fproduct%2F550155%3Futm_source%3Dimpact%26utm_medium%3Daffiliate%26utm_campaign%3Dpoke%2Bcottage","Okidogi")</f>
        <v>Okidogi</v>
      </c>
      <c r="D213" s="5" t="s">
        <v>31</v>
      </c>
      <c r="E213" s="5" t="s">
        <v>11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126</v>
      </c>
      <c r="C214" s="6" t="str">
        <f aca="false">HYPERLINK("https://partner.tcgplayer.com/c/6278691/1780961/21018?u=https%3A%2F%2Fwww.tcgplayer.com%2Fproduct%2F550156%3Futm_source%3Dimpact%26utm_medium%3Daffiliate%26utm_campaign%3Dpoke%2Bcottage","Cornerstone Mask Ogerpon ex")</f>
        <v>Cornerstone Mask Ogerpon ex</v>
      </c>
      <c r="D214" s="5" t="s">
        <v>37</v>
      </c>
      <c r="E214" s="5" t="s">
        <v>32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127</v>
      </c>
      <c r="C215" s="6" t="str">
        <f aca="false">HYPERLINK("https://partner.tcgplayer.com/c/6278691/1780961/21018?u=https%3A%2F%2Fwww.tcgplayer.com%2Fproduct%2F550157%3Futm_source%3Dimpact%26utm_medium%3Daffiliate%26utm_campaign%3Dpoke%2Bcottage","Poochyena")</f>
        <v>Poochyena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127</v>
      </c>
      <c r="C216" s="6" t="str">
        <f aca="false">HYPERLINK("https://partner.tcgplayer.com/c/6278691/1780961/21018?u=https%3A%2F%2Fwww.tcgplayer.com%2Fproduct%2F550157%3Futm_source%3Dimpact%26utm_medium%3Daffiliate%26utm_campaign%3Dpoke%2Bcottage","Poochyena")</f>
        <v>Poochyena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128</v>
      </c>
      <c r="C217" s="6" t="str">
        <f aca="false">HYPERLINK("https://partner.tcgplayer.com/c/6278691/1780961/21018?u=https%3A%2F%2Fwww.tcgplayer.com%2Fproduct%2F550158%3Futm_source%3Dimpact%26utm_medium%3Daffiliate%26utm_campaign%3Dpoke%2Bcottage","Mightyena")</f>
        <v>Mightyena</v>
      </c>
      <c r="D217" s="5" t="s">
        <v>16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128</v>
      </c>
      <c r="C218" s="6" t="str">
        <f aca="false">HYPERLINK("https://partner.tcgplayer.com/c/6278691/1780961/21018?u=https%3A%2F%2Fwww.tcgplayer.com%2Fproduct%2F550158%3Futm_source%3Dimpact%26utm_medium%3Daffiliate%26utm_campaign%3Dpoke%2Bcottage","Mightyena")</f>
        <v>Mightyena</v>
      </c>
      <c r="D218" s="5" t="s">
        <v>16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129</v>
      </c>
      <c r="C219" s="6" t="str">
        <f aca="false">HYPERLINK("https://partner.tcgplayer.com/c/6278691/1780961/21018?u=https%3A%2F%2Fwww.tcgplayer.com%2Fproduct%2F550159%3Futm_source%3Dimpact%26utm_medium%3Daffiliate%26utm_campaign%3Dpoke%2Bcottage","Venipede")</f>
        <v>Venipede</v>
      </c>
      <c r="D219" s="5" t="s">
        <v>8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129</v>
      </c>
      <c r="C220" s="6" t="str">
        <f aca="false">HYPERLINK("https://partner.tcgplayer.com/c/6278691/1780961/21018?u=https%3A%2F%2Fwww.tcgplayer.com%2Fproduct%2F550159%3Futm_source%3Dimpact%26utm_medium%3Daffiliate%26utm_campaign%3Dpoke%2Bcottage","Venipede")</f>
        <v>Venipede</v>
      </c>
      <c r="D220" s="5" t="s">
        <v>8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130</v>
      </c>
      <c r="C221" s="6" t="str">
        <f aca="false">HYPERLINK("https://partner.tcgplayer.com/c/6278691/1780961/21018?u=https%3A%2F%2Fwww.tcgplayer.com%2Fproduct%2F550160%3Futm_source%3Dimpact%26utm_medium%3Daffiliate%26utm_campaign%3Dpoke%2Bcottage","Whirlipede")</f>
        <v>Whirlipede</v>
      </c>
      <c r="D221" s="5" t="s">
        <v>8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130</v>
      </c>
      <c r="C222" s="6" t="str">
        <f aca="false">HYPERLINK("https://partner.tcgplayer.com/c/6278691/1780961/21018?u=https%3A%2F%2Fwww.tcgplayer.com%2Fproduct%2F550160%3Futm_source%3Dimpact%26utm_medium%3Daffiliate%26utm_campaign%3Dpoke%2Bcottage","Whirlipede")</f>
        <v>Whirlipede</v>
      </c>
      <c r="D222" s="5" t="s">
        <v>8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131</v>
      </c>
      <c r="C223" s="6" t="str">
        <f aca="false">HYPERLINK("https://partner.tcgplayer.com/c/6278691/1780961/21018?u=https%3A%2F%2Fwww.tcgplayer.com%2Fproduct%2F550161%3Futm_source%3Dimpact%26utm_medium%3Daffiliate%26utm_campaign%3Dpoke%2Bcottage","Scolipede")</f>
        <v>Scolipede</v>
      </c>
      <c r="D223" s="5" t="s">
        <v>16</v>
      </c>
      <c r="E223" s="5" t="s">
        <v>9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131</v>
      </c>
      <c r="C224" s="6" t="str">
        <f aca="false">HYPERLINK("https://partner.tcgplayer.com/c/6278691/1780961/21018?u=https%3A%2F%2Fwww.tcgplayer.com%2Fproduct%2F550161%3Futm_source%3Dimpact%26utm_medium%3Daffiliate%26utm_campaign%3Dpoke%2Bcottage","Scolipede")</f>
        <v>Scolipede</v>
      </c>
      <c r="D224" s="5" t="s">
        <v>16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132</v>
      </c>
      <c r="C225" s="6" t="str">
        <f aca="false">HYPERLINK("https://partner.tcgplayer.com/c/6278691/1780961/21018?u=https%3A%2F%2Fwww.tcgplayer.com%2Fproduct%2F550162%3Futm_source%3Dimpact%26utm_medium%3Daffiliate%26utm_campaign%3Dpoke%2Bcottage","Brute Bonnet")</f>
        <v>Brute Bonnet</v>
      </c>
      <c r="D225" s="5" t="s">
        <v>16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132</v>
      </c>
      <c r="C226" s="6" t="str">
        <f aca="false">HYPERLINK("https://partner.tcgplayer.com/c/6278691/1780961/21018?u=https%3A%2F%2Fwww.tcgplayer.com%2Fproduct%2F550162%3Futm_source%3Dimpact%26utm_medium%3Daffiliate%26utm_campaign%3Dpoke%2Bcottage","Brute Bonnet")</f>
        <v>Brute Bonnet</v>
      </c>
      <c r="D226" s="5" t="s">
        <v>16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133</v>
      </c>
      <c r="C227" s="6" t="str">
        <f aca="false">HYPERLINK("https://partner.tcgplayer.com/c/6278691/1780961/21018?u=https%3A%2F%2Fwww.tcgplayer.com%2Fproduct%2F550163%3Futm_source%3Dimpact%26utm_medium%3Daffiliate%26utm_campaign%3Dpoke%2Bcottage","Skarmory")</f>
        <v>Skarmory</v>
      </c>
      <c r="D227" s="5" t="s">
        <v>8</v>
      </c>
      <c r="E227" s="5" t="s">
        <v>9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133</v>
      </c>
      <c r="C228" s="6" t="str">
        <f aca="false">HYPERLINK("https://partner.tcgplayer.com/c/6278691/1780961/21018?u=https%3A%2F%2Fwww.tcgplayer.com%2Fproduct%2F550163%3Futm_source%3Dimpact%26utm_medium%3Daffiliate%26utm_campaign%3Dpoke%2Bcottage","Skarmory")</f>
        <v>Skarmory</v>
      </c>
      <c r="D228" s="5" t="s">
        <v>8</v>
      </c>
      <c r="E228" s="5" t="s">
        <v>11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134</v>
      </c>
      <c r="C229" s="6" t="str">
        <f aca="false">HYPERLINK("https://partner.tcgplayer.com/c/6278691/1780961/21018?u=https%3A%2F%2Fwww.tcgplayer.com%2Fproduct%2F550164%3Futm_source%3Dimpact%26utm_medium%3Daffiliate%26utm_campaign%3Dpoke%2Bcottage","Aron")</f>
        <v>Aron</v>
      </c>
      <c r="D229" s="5" t="s">
        <v>8</v>
      </c>
      <c r="E229" s="5" t="s">
        <v>9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134</v>
      </c>
      <c r="C230" s="6" t="str">
        <f aca="false">HYPERLINK("https://partner.tcgplayer.com/c/6278691/1780961/21018?u=https%3A%2F%2Fwww.tcgplayer.com%2Fproduct%2F550164%3Futm_source%3Dimpact%26utm_medium%3Daffiliate%26utm_campaign%3Dpoke%2Bcottage","Aron")</f>
        <v>Aron</v>
      </c>
      <c r="D230" s="5" t="s">
        <v>8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135</v>
      </c>
      <c r="C231" s="6" t="str">
        <f aca="false">HYPERLINK("https://partner.tcgplayer.com/c/6278691/1780961/21018?u=https%3A%2F%2Fwww.tcgplayer.com%2Fproduct%2F550165%3Futm_source%3Dimpact%26utm_medium%3Daffiliate%26utm_campaign%3Dpoke%2Bcottage","Lairon")</f>
        <v>Lairon</v>
      </c>
      <c r="D231" s="5" t="s">
        <v>8</v>
      </c>
      <c r="E231" s="5" t="s">
        <v>9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135</v>
      </c>
      <c r="C232" s="6" t="str">
        <f aca="false">HYPERLINK("https://partner.tcgplayer.com/c/6278691/1780961/21018?u=https%3A%2F%2Fwww.tcgplayer.com%2Fproduct%2F550165%3Futm_source%3Dimpact%26utm_medium%3Daffiliate%26utm_campaign%3Dpoke%2Bcottage","Lairon")</f>
        <v>Lairon</v>
      </c>
      <c r="D232" s="5" t="s">
        <v>8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136</v>
      </c>
      <c r="C233" s="6" t="str">
        <f aca="false">HYPERLINK("https://partner.tcgplayer.com/c/6278691/1780961/21018?u=https%3A%2F%2Fwww.tcgplayer.com%2Fproduct%2F550166%3Futm_source%3Dimpact%26utm_medium%3Daffiliate%26utm_campaign%3Dpoke%2Bcottage","Aggron")</f>
        <v>Aggron</v>
      </c>
      <c r="D233" s="5" t="s">
        <v>16</v>
      </c>
      <c r="E233" s="5" t="s">
        <v>9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136</v>
      </c>
      <c r="C234" s="6" t="str">
        <f aca="false">HYPERLINK("https://partner.tcgplayer.com/c/6278691/1780961/21018?u=https%3A%2F%2Fwww.tcgplayer.com%2Fproduct%2F550166%3Futm_source%3Dimpact%26utm_medium%3Daffiliate%26utm_campaign%3Dpoke%2Bcottage","Aggron")</f>
        <v>Aggron</v>
      </c>
      <c r="D234" s="5" t="s">
        <v>16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137</v>
      </c>
      <c r="C235" s="6" t="str">
        <f aca="false">HYPERLINK("https://partner.tcgplayer.com/c/6278691/1780961/21018?u=https%3A%2F%2Fwww.tcgplayer.com%2Fproduct%2F550167%3Futm_source%3Dimpact%26utm_medium%3Daffiliate%26utm_campaign%3Dpoke%2Bcottage","Heatran")</f>
        <v>Heatran</v>
      </c>
      <c r="D235" s="5" t="s">
        <v>31</v>
      </c>
      <c r="E235" s="5" t="s">
        <v>32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137</v>
      </c>
      <c r="C236" s="6" t="str">
        <f aca="false">HYPERLINK("https://partner.tcgplayer.com/c/6278691/1780961/21018?u=https%3A%2F%2Fwww.tcgplayer.com%2Fproduct%2F550167%3Futm_source%3Dimpact%26utm_medium%3Daffiliate%26utm_campaign%3Dpoke%2Bcottage","Heatran")</f>
        <v>Heatran</v>
      </c>
      <c r="D236" s="5" t="s">
        <v>31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138</v>
      </c>
      <c r="C237" s="6" t="str">
        <f aca="false">HYPERLINK("https://partner.tcgplayer.com/c/6278691/1780961/21018?u=https%3A%2F%2Fwww.tcgplayer.com%2Fproduct%2F550168%3Futm_source%3Dimpact%26utm_medium%3Daffiliate%26utm_campaign%3Dpoke%2Bcottage","Varoom")</f>
        <v>Varoom</v>
      </c>
      <c r="D237" s="5" t="s">
        <v>8</v>
      </c>
      <c r="E237" s="5" t="s">
        <v>9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138</v>
      </c>
      <c r="C238" s="6" t="str">
        <f aca="false">HYPERLINK("https://partner.tcgplayer.com/c/6278691/1780961/21018?u=https%3A%2F%2Fwww.tcgplayer.com%2Fproduct%2F550168%3Futm_source%3Dimpact%26utm_medium%3Daffiliate%26utm_campaign%3Dpoke%2Bcottage","Varoom")</f>
        <v>Varoom</v>
      </c>
      <c r="D238" s="5" t="s">
        <v>8</v>
      </c>
      <c r="E238" s="5" t="s">
        <v>11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139</v>
      </c>
      <c r="C239" s="6" t="str">
        <f aca="false">HYPERLINK("https://partner.tcgplayer.com/c/6278691/1780961/21018?u=https%3A%2F%2Fwww.tcgplayer.com%2Fproduct%2F550169%3Futm_source%3Dimpact%26utm_medium%3Daffiliate%26utm_campaign%3Dpoke%2Bcottage","Revavroom")</f>
        <v>Revavroom</v>
      </c>
      <c r="D239" s="5" t="s">
        <v>16</v>
      </c>
      <c r="E239" s="5" t="s">
        <v>9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139</v>
      </c>
      <c r="C240" s="6" t="str">
        <f aca="false">HYPERLINK("https://partner.tcgplayer.com/c/6278691/1780961/21018?u=https%3A%2F%2Fwww.tcgplayer.com%2Fproduct%2F550169%3Futm_source%3Dimpact%26utm_medium%3Daffiliate%26utm_campaign%3Dpoke%2Bcottage","Revavroom")</f>
        <v>Revavroom</v>
      </c>
      <c r="D240" s="5" t="s">
        <v>16</v>
      </c>
      <c r="E240" s="5" t="s">
        <v>11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140</v>
      </c>
      <c r="C241" s="6" t="str">
        <f aca="false">HYPERLINK("https://partner.tcgplayer.com/c/6278691/1780961/21018?u=https%3A%2F%2Fwww.tcgplayer.com%2Fproduct%2F550170%3Futm_source%3Dimpact%26utm_medium%3Daffiliate%26utm_campaign%3Dpoke%2Bcottage","Applin")</f>
        <v>Applin</v>
      </c>
      <c r="D241" s="5" t="s">
        <v>8</v>
      </c>
      <c r="E241" s="5" t="s">
        <v>9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140</v>
      </c>
      <c r="C242" s="6" t="str">
        <f aca="false">HYPERLINK("https://partner.tcgplayer.com/c/6278691/1780961/21018?u=https%3A%2F%2Fwww.tcgplayer.com%2Fproduct%2F550170%3Futm_source%3Dimpact%26utm_medium%3Daffiliate%26utm_campaign%3Dpoke%2Bcottage","Applin")</f>
        <v>Applin</v>
      </c>
      <c r="D242" s="5" t="s">
        <v>8</v>
      </c>
      <c r="E242" s="5" t="s">
        <v>11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141</v>
      </c>
      <c r="C243" s="6" t="str">
        <f aca="false">HYPERLINK("https://partner.tcgplayer.com/c/6278691/1780961/21018?u=https%3A%2F%2Fwww.tcgplayer.com%2Fproduct%2F550171%3Futm_source%3Dimpact%26utm_medium%3Daffiliate%26utm_campaign%3Dpoke%2Bcottage","Dipplin")</f>
        <v>Dipplin</v>
      </c>
      <c r="D243" s="5" t="s">
        <v>16</v>
      </c>
      <c r="E243" s="5" t="s">
        <v>9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141</v>
      </c>
      <c r="C244" s="6" t="str">
        <f aca="false">HYPERLINK("https://partner.tcgplayer.com/c/6278691/1780961/21018?u=https%3A%2F%2Fwww.tcgplayer.com%2Fproduct%2F550171%3Futm_source%3Dimpact%26utm_medium%3Daffiliate%26utm_campaign%3Dpoke%2Bcottage","Dipplin")</f>
        <v>Dipplin</v>
      </c>
      <c r="D244" s="5" t="s">
        <v>16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142</v>
      </c>
      <c r="C245" s="6" t="str">
        <f aca="false">HYPERLINK("https://partner.tcgplayer.com/c/6278691/1780961/21018?u=https%3A%2F%2Fwww.tcgplayer.com%2Fproduct%2F550172%3Futm_source%3Dimpact%26utm_medium%3Daffiliate%26utm_campaign%3Dpoke%2Bcottage","Dreepy")</f>
        <v>Dreepy</v>
      </c>
      <c r="D245" s="5" t="s">
        <v>8</v>
      </c>
      <c r="E245" s="5" t="s">
        <v>9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142</v>
      </c>
      <c r="C246" s="6" t="str">
        <f aca="false">HYPERLINK("https://partner.tcgplayer.com/c/6278691/1780961/21018?u=https%3A%2F%2Fwww.tcgplayer.com%2Fproduct%2F550172%3Futm_source%3Dimpact%26utm_medium%3Daffiliate%26utm_campaign%3Dpoke%2Bcottage","Dreepy")</f>
        <v>Dreepy</v>
      </c>
      <c r="D246" s="5" t="s">
        <v>8</v>
      </c>
      <c r="E246" s="5" t="s">
        <v>11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143</v>
      </c>
      <c r="C247" s="6" t="str">
        <f aca="false">HYPERLINK("https://partner.tcgplayer.com/c/6278691/1780961/21018?u=https%3A%2F%2Fwww.tcgplayer.com%2Fproduct%2F550173%3Futm_source%3Dimpact%26utm_medium%3Daffiliate%26utm_campaign%3Dpoke%2Bcottage","Drakloak")</f>
        <v>Drakloak</v>
      </c>
      <c r="D247" s="5" t="s">
        <v>8</v>
      </c>
      <c r="E247" s="5" t="s">
        <v>9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143</v>
      </c>
      <c r="C248" s="6" t="str">
        <f aca="false">HYPERLINK("https://partner.tcgplayer.com/c/6278691/1780961/21018?u=https%3A%2F%2Fwww.tcgplayer.com%2Fproduct%2F550173%3Futm_source%3Dimpact%26utm_medium%3Daffiliate%26utm_campaign%3Dpoke%2Bcottage","Drakloak")</f>
        <v>Drakloak</v>
      </c>
      <c r="D248" s="5" t="s">
        <v>8</v>
      </c>
      <c r="E248" s="5" t="s">
        <v>11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144</v>
      </c>
      <c r="C249" s="6" t="str">
        <f aca="false">HYPERLINK("https://partner.tcgplayer.com/c/6278691/1780961/21018?u=https%3A%2F%2Fwww.tcgplayer.com%2Fproduct%2F550174%3Futm_source%3Dimpact%26utm_medium%3Daffiliate%26utm_campaign%3Dpoke%2Bcottage","Dragapult ex")</f>
        <v>Dragapult ex</v>
      </c>
      <c r="D249" s="5" t="s">
        <v>37</v>
      </c>
      <c r="E249" s="5" t="s">
        <v>32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145</v>
      </c>
      <c r="C250" s="6" t="str">
        <f aca="false">HYPERLINK("https://partner.tcgplayer.com/c/6278691/1780961/21018?u=https%3A%2F%2Fwww.tcgplayer.com%2Fproduct%2F550175%3Futm_source%3Dimpact%26utm_medium%3Daffiliate%26utm_campaign%3Dpoke%2Bcottage","Tatsugiri")</f>
        <v>Tatsugiri</v>
      </c>
      <c r="D250" s="5" t="s">
        <v>16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145</v>
      </c>
      <c r="C251" s="6" t="str">
        <f aca="false">HYPERLINK("https://partner.tcgplayer.com/c/6278691/1780961/21018?u=https%3A%2F%2Fwww.tcgplayer.com%2Fproduct%2F550175%3Futm_source%3Dimpact%26utm_medium%3Daffiliate%26utm_campaign%3Dpoke%2Bcottage","Tatsugiri")</f>
        <v>Tatsugiri</v>
      </c>
      <c r="D251" s="5" t="s">
        <v>16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146</v>
      </c>
      <c r="C252" s="6" t="str">
        <f aca="false">HYPERLINK("https://partner.tcgplayer.com/c/6278691/1780961/21018?u=https%3A%2F%2Fwww.tcgplayer.com%2Fproduct%2F550176%3Futm_source%3Dimpact%26utm_medium%3Daffiliate%26utm_campaign%3Dpoke%2Bcottage","Farfetch'd")</f>
        <v>Farfetch'd</v>
      </c>
      <c r="D252" s="5" t="s">
        <v>8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146</v>
      </c>
      <c r="C253" s="6" t="str">
        <f aca="false">HYPERLINK("https://partner.tcgplayer.com/c/6278691/1780961/21018?u=https%3A%2F%2Fwww.tcgplayer.com%2Fproduct%2F550176%3Futm_source%3Dimpact%26utm_medium%3Daffiliate%26utm_campaign%3Dpoke%2Bcottage","Farfetch'd")</f>
        <v>Farfetch'd</v>
      </c>
      <c r="D253" s="5" t="s">
        <v>8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147</v>
      </c>
      <c r="C254" s="6" t="str">
        <f aca="false">HYPERLINK("https://partner.tcgplayer.com/c/6278691/1780961/21018?u=https%3A%2F%2Fwww.tcgplayer.com%2Fproduct%2F550177%3Futm_source%3Dimpact%26utm_medium%3Daffiliate%26utm_campaign%3Dpoke%2Bcottage","Chansey")</f>
        <v>Chansey</v>
      </c>
      <c r="D254" s="5" t="s">
        <v>8</v>
      </c>
      <c r="E254" s="5" t="s">
        <v>9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147</v>
      </c>
      <c r="C255" s="6" t="str">
        <f aca="false">HYPERLINK("https://partner.tcgplayer.com/c/6278691/1780961/21018?u=https%3A%2F%2Fwww.tcgplayer.com%2Fproduct%2F550177%3Futm_source%3Dimpact%26utm_medium%3Daffiliate%26utm_campaign%3Dpoke%2Bcottage","Chansey")</f>
        <v>Chansey</v>
      </c>
      <c r="D255" s="5" t="s">
        <v>8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148</v>
      </c>
      <c r="C256" s="6" t="str">
        <f aca="false">HYPERLINK("https://partner.tcgplayer.com/c/6278691/1780961/21018?u=https%3A%2F%2Fwww.tcgplayer.com%2Fproduct%2F550178%3Futm_source%3Dimpact%26utm_medium%3Daffiliate%26utm_campaign%3Dpoke%2Bcottage","Blissey ex")</f>
        <v>Blissey ex</v>
      </c>
      <c r="D256" s="5" t="s">
        <v>37</v>
      </c>
      <c r="E256" s="5" t="s">
        <v>32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149</v>
      </c>
      <c r="C257" s="6" t="str">
        <f aca="false">HYPERLINK("https://partner.tcgplayer.com/c/6278691/1780961/21018?u=https%3A%2F%2Fwww.tcgplayer.com%2Fproduct%2F550179%3Futm_source%3Dimpact%26utm_medium%3Daffiliate%26utm_campaign%3Dpoke%2Bcottage","Eevee")</f>
        <v>Eevee</v>
      </c>
      <c r="D257" s="5" t="s">
        <v>8</v>
      </c>
      <c r="E257" s="5" t="s">
        <v>9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149</v>
      </c>
      <c r="C258" s="6" t="str">
        <f aca="false">HYPERLINK("https://partner.tcgplayer.com/c/6278691/1780961/21018?u=https%3A%2F%2Fwww.tcgplayer.com%2Fproduct%2F550179%3Futm_source%3Dimpact%26utm_medium%3Daffiliate%26utm_campaign%3Dpoke%2Bcottage","Eevee")</f>
        <v>Eevee</v>
      </c>
      <c r="D258" s="5" t="s">
        <v>8</v>
      </c>
      <c r="E258" s="5" t="s">
        <v>11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150</v>
      </c>
      <c r="C259" s="6" t="str">
        <f aca="false">HYPERLINK("https://partner.tcgplayer.com/c/6278691/1780961/21018?u=https%3A%2F%2Fwww.tcgplayer.com%2Fproduct%2F550180%3Futm_source%3Dimpact%26utm_medium%3Daffiliate%26utm_campaign%3Dpoke%2Bcottage","Snorlax")</f>
        <v>Snorlax</v>
      </c>
      <c r="D259" s="5" t="s">
        <v>16</v>
      </c>
      <c r="E259" s="5" t="s">
        <v>9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150</v>
      </c>
      <c r="C260" s="6" t="str">
        <f aca="false">HYPERLINK("https://partner.tcgplayer.com/c/6278691/1780961/21018?u=https%3A%2F%2Fwww.tcgplayer.com%2Fproduct%2F550180%3Futm_source%3Dimpact%26utm_medium%3Daffiliate%26utm_campaign%3Dpoke%2Bcottage","Snorlax")</f>
        <v>Snorlax</v>
      </c>
      <c r="D260" s="5" t="s">
        <v>16</v>
      </c>
      <c r="E260" s="5" t="s">
        <v>11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151</v>
      </c>
      <c r="C261" s="6" t="str">
        <f aca="false">HYPERLINK("https://partner.tcgplayer.com/c/6278691/1780961/21018?u=https%3A%2F%2Fwww.tcgplayer.com%2Fproduct%2F550181%3Futm_source%3Dimpact%26utm_medium%3Daffiliate%26utm_campaign%3Dpoke%2Bcottage","Aipom")</f>
        <v>Aipom</v>
      </c>
      <c r="D261" s="5" t="s">
        <v>8</v>
      </c>
      <c r="E261" s="5" t="s">
        <v>9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151</v>
      </c>
      <c r="C262" s="6" t="str">
        <f aca="false">HYPERLINK("https://partner.tcgplayer.com/c/6278691/1780961/21018?u=https%3A%2F%2Fwww.tcgplayer.com%2Fproduct%2F550181%3Futm_source%3Dimpact%26utm_medium%3Daffiliate%26utm_campaign%3Dpoke%2Bcottage","Aipom")</f>
        <v>Aipom</v>
      </c>
      <c r="D262" s="5" t="s">
        <v>8</v>
      </c>
      <c r="E262" s="5" t="s">
        <v>11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152</v>
      </c>
      <c r="C263" s="6" t="str">
        <f aca="false">HYPERLINK("https://partner.tcgplayer.com/c/6278691/1780961/21018?u=https%3A%2F%2Fwww.tcgplayer.com%2Fproduct%2F550182%3Futm_source%3Dimpact%26utm_medium%3Daffiliate%26utm_campaign%3Dpoke%2Bcottage","Ambipom")</f>
        <v>Ambipom</v>
      </c>
      <c r="D263" s="5" t="s">
        <v>16</v>
      </c>
      <c r="E263" s="5" t="s">
        <v>9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152</v>
      </c>
      <c r="C264" s="6" t="str">
        <f aca="false">HYPERLINK("https://partner.tcgplayer.com/c/6278691/1780961/21018?u=https%3A%2F%2Fwww.tcgplayer.com%2Fproduct%2F550182%3Futm_source%3Dimpact%26utm_medium%3Daffiliate%26utm_campaign%3Dpoke%2Bcottage","Ambipom")</f>
        <v>Ambipom</v>
      </c>
      <c r="D264" s="5" t="s">
        <v>16</v>
      </c>
      <c r="E264" s="5" t="s">
        <v>11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153</v>
      </c>
      <c r="C265" s="6" t="str">
        <f aca="false">HYPERLINK("https://partner.tcgplayer.com/c/6278691/1780961/21018?u=https%3A%2F%2Fwww.tcgplayer.com%2Fproduct%2F550183%3Futm_source%3Dimpact%26utm_medium%3Daffiliate%26utm_campaign%3Dpoke%2Bcottage","Ducklett")</f>
        <v>Ducklett</v>
      </c>
      <c r="D265" s="5" t="s">
        <v>8</v>
      </c>
      <c r="E265" s="5" t="s">
        <v>9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153</v>
      </c>
      <c r="C266" s="6" t="str">
        <f aca="false">HYPERLINK("https://partner.tcgplayer.com/c/6278691/1780961/21018?u=https%3A%2F%2Fwww.tcgplayer.com%2Fproduct%2F550183%3Futm_source%3Dimpact%26utm_medium%3Daffiliate%26utm_campaign%3Dpoke%2Bcottage","Ducklett")</f>
        <v>Ducklett</v>
      </c>
      <c r="D266" s="5" t="s">
        <v>8</v>
      </c>
      <c r="E266" s="5" t="s">
        <v>11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154</v>
      </c>
      <c r="C267" s="6" t="str">
        <f aca="false">HYPERLINK("https://partner.tcgplayer.com/c/6278691/1780961/21018?u=https%3A%2F%2Fwww.tcgplayer.com%2Fproduct%2F550184%3Futm_source%3Dimpact%26utm_medium%3Daffiliate%26utm_campaign%3Dpoke%2Bcottage","Swanna")</f>
        <v>Swanna</v>
      </c>
      <c r="D267" s="5" t="s">
        <v>16</v>
      </c>
      <c r="E267" s="5" t="s">
        <v>9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154</v>
      </c>
      <c r="C268" s="6" t="str">
        <f aca="false">HYPERLINK("https://partner.tcgplayer.com/c/6278691/1780961/21018?u=https%3A%2F%2Fwww.tcgplayer.com%2Fproduct%2F550184%3Futm_source%3Dimpact%26utm_medium%3Daffiliate%26utm_campaign%3Dpoke%2Bcottage","Swanna")</f>
        <v>Swanna</v>
      </c>
      <c r="D268" s="5" t="s">
        <v>16</v>
      </c>
      <c r="E268" s="5" t="s">
        <v>11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155</v>
      </c>
      <c r="C269" s="6" t="str">
        <f aca="false">HYPERLINK("https://partner.tcgplayer.com/c/6278691/1780961/21018?u=https%3A%2F%2Fwww.tcgplayer.com%2Fproduct%2F550185%3Futm_source%3Dimpact%26utm_medium%3Daffiliate%26utm_campaign%3Dpoke%2Bcottage","Bloodmoon Ursaluna ex")</f>
        <v>Bloodmoon Ursaluna ex</v>
      </c>
      <c r="D269" s="5" t="s">
        <v>37</v>
      </c>
      <c r="E269" s="5" t="s">
        <v>32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156</v>
      </c>
      <c r="C270" s="6" t="str">
        <f aca="false">HYPERLINK("https://partner.tcgplayer.com/c/6278691/1780961/21018?u=https%3A%2F%2Fwww.tcgplayer.com%2Fproduct%2F550186%3Futm_source%3Dimpact%26utm_medium%3Daffiliate%26utm_campaign%3Dpoke%2Bcottage","Accompanying Flute")</f>
        <v>Accompanying Flute</v>
      </c>
      <c r="D270" s="5" t="s">
        <v>16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156</v>
      </c>
      <c r="C271" s="6" t="str">
        <f aca="false">HYPERLINK("https://partner.tcgplayer.com/c/6278691/1780961/21018?u=https%3A%2F%2Fwww.tcgplayer.com%2Fproduct%2F550186%3Futm_source%3Dimpact%26utm_medium%3Daffiliate%26utm_campaign%3Dpoke%2Bcottage","Accompanying Flute")</f>
        <v>Accompanying Flute</v>
      </c>
      <c r="D271" s="5" t="s">
        <v>16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157</v>
      </c>
      <c r="C272" s="6" t="str">
        <f aca="false">HYPERLINK("https://partner.tcgplayer.com/c/6278691/1780961/21018?u=https%3A%2F%2Fwww.tcgplayer.com%2Fproduct%2F550187%3Futm_source%3Dimpact%26utm_medium%3Daffiliate%26utm_campaign%3Dpoke%2Bcottage","Bug Catching Set")</f>
        <v>Bug Catching Set</v>
      </c>
      <c r="D272" s="5" t="s">
        <v>16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157</v>
      </c>
      <c r="C273" s="6" t="str">
        <f aca="false">HYPERLINK("https://partner.tcgplayer.com/c/6278691/1780961/21018?u=https%3A%2F%2Fwww.tcgplayer.com%2Fproduct%2F550187%3Futm_source%3Dimpact%26utm_medium%3Daffiliate%26utm_campaign%3Dpoke%2Bcottage","Bug Catching Set")</f>
        <v>Bug Catching Set</v>
      </c>
      <c r="D273" s="5" t="s">
        <v>16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158</v>
      </c>
      <c r="C274" s="6" t="str">
        <f aca="false">HYPERLINK("https://partner.tcgplayer.com/c/6278691/1780961/21018?u=https%3A%2F%2Fwww.tcgplayer.com%2Fproduct%2F550188%3Futm_source%3Dimpact%26utm_medium%3Daffiliate%26utm_campaign%3Dpoke%2Bcottage","Caretaker")</f>
        <v>Caretaker</v>
      </c>
      <c r="D274" s="5" t="s">
        <v>8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158</v>
      </c>
      <c r="C275" s="6" t="str">
        <f aca="false">HYPERLINK("https://partner.tcgplayer.com/c/6278691/1780961/21018?u=https%3A%2F%2Fwww.tcgplayer.com%2Fproduct%2F550188%3Futm_source%3Dimpact%26utm_medium%3Daffiliate%26utm_campaign%3Dpoke%2Bcottage","Caretaker")</f>
        <v>Caretaker</v>
      </c>
      <c r="D275" s="5" t="s">
        <v>8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159</v>
      </c>
      <c r="C276" s="6" t="str">
        <f aca="false">HYPERLINK("https://partner.tcgplayer.com/c/6278691/1780961/21018?u=https%3A%2F%2Fwww.tcgplayer.com%2Fproduct%2F550189%3Futm_source%3Dimpact%26utm_medium%3Daffiliate%26utm_campaign%3Dpoke%2Bcottage","Carmine")</f>
        <v>Carmine</v>
      </c>
      <c r="D276" s="5" t="s">
        <v>16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159</v>
      </c>
      <c r="C277" s="6" t="str">
        <f aca="false">HYPERLINK("https://partner.tcgplayer.com/c/6278691/1780961/21018?u=https%3A%2F%2Fwww.tcgplayer.com%2Fproduct%2F550189%3Futm_source%3Dimpact%26utm_medium%3Daffiliate%26utm_campaign%3Dpoke%2Bcottage","Carmine")</f>
        <v>Carmine</v>
      </c>
      <c r="D277" s="5" t="s">
        <v>16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160</v>
      </c>
      <c r="C278" s="6" t="str">
        <f aca="false">HYPERLINK("https://partner.tcgplayer.com/c/6278691/1780961/21018?u=https%3A%2F%2Fwww.tcgplayer.com%2Fproduct%2F550190%3Futm_source%3Dimpact%26utm_medium%3Daffiliate%26utm_campaign%3Dpoke%2Bcottage","Community Center")</f>
        <v>Community Center</v>
      </c>
      <c r="D278" s="5" t="s">
        <v>16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160</v>
      </c>
      <c r="C279" s="6" t="str">
        <f aca="false">HYPERLINK("https://partner.tcgplayer.com/c/6278691/1780961/21018?u=https%3A%2F%2Fwww.tcgplayer.com%2Fproduct%2F550190%3Futm_source%3Dimpact%26utm_medium%3Daffiliate%26utm_campaign%3Dpoke%2Bcottage","Community Center")</f>
        <v>Community Center</v>
      </c>
      <c r="D279" s="5" t="s">
        <v>16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161</v>
      </c>
      <c r="C280" s="6" t="str">
        <f aca="false">HYPERLINK("https://partner.tcgplayer.com/c/6278691/1780961/21018?u=https%3A%2F%2Fwww.tcgplayer.com%2Fproduct%2F550191%3Futm_source%3Dimpact%26utm_medium%3Daffiliate%26utm_campaign%3Dpoke%2Bcottage","Cook")</f>
        <v>Cook</v>
      </c>
      <c r="D280" s="5" t="s">
        <v>16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161</v>
      </c>
      <c r="C281" s="6" t="str">
        <f aca="false">HYPERLINK("https://partner.tcgplayer.com/c/6278691/1780961/21018?u=https%3A%2F%2Fwww.tcgplayer.com%2Fproduct%2F550191%3Futm_source%3Dimpact%26utm_medium%3Daffiliate%26utm_campaign%3Dpoke%2Bcottage","Cook")</f>
        <v>Cook</v>
      </c>
      <c r="D281" s="5" t="s">
        <v>16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162</v>
      </c>
      <c r="C282" s="6" t="str">
        <f aca="false">HYPERLINK("https://partner.tcgplayer.com/c/6278691/1780961/21018?u=https%3A%2F%2Fwww.tcgplayer.com%2Fproduct%2F550192%3Futm_source%3Dimpact%26utm_medium%3Daffiliate%26utm_campaign%3Dpoke%2Bcottage","Enhanced Hammer")</f>
        <v>Enhanced Hammer</v>
      </c>
      <c r="D282" s="5" t="s">
        <v>16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162</v>
      </c>
      <c r="C283" s="6" t="str">
        <f aca="false">HYPERLINK("https://partner.tcgplayer.com/c/6278691/1780961/21018?u=https%3A%2F%2Fwww.tcgplayer.com%2Fproduct%2F550192%3Futm_source%3Dimpact%26utm_medium%3Daffiliate%26utm_campaign%3Dpoke%2Bcottage","Enhanced Hammer")</f>
        <v>Enhanced Hammer</v>
      </c>
      <c r="D283" s="5" t="s">
        <v>16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163</v>
      </c>
      <c r="C284" s="6" t="str">
        <f aca="false">HYPERLINK("https://partner.tcgplayer.com/c/6278691/1780961/21018?u=https%3A%2F%2Fwww.tcgplayer.com%2Fproduct%2F550193%3Futm_source%3Dimpact%26utm_medium%3Daffiliate%26utm_campaign%3Dpoke%2Bcottage","Festival Grounds")</f>
        <v>Festival Grounds</v>
      </c>
      <c r="D284" s="5" t="s">
        <v>16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163</v>
      </c>
      <c r="C285" s="6" t="str">
        <f aca="false">HYPERLINK("https://partner.tcgplayer.com/c/6278691/1780961/21018?u=https%3A%2F%2Fwww.tcgplayer.com%2Fproduct%2F550193%3Futm_source%3Dimpact%26utm_medium%3Daffiliate%26utm_campaign%3Dpoke%2Bcottage","Festival Grounds")</f>
        <v>Festival Grounds</v>
      </c>
      <c r="D285" s="5" t="s">
        <v>16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164</v>
      </c>
      <c r="C286" s="6" t="str">
        <f aca="false">HYPERLINK("https://partner.tcgplayer.com/c/6278691/1780961/21018?u=https%3A%2F%2Fwww.tcgplayer.com%2Fproduct%2F550194%3Futm_source%3Dimpact%26utm_medium%3Daffiliate%26utm_campaign%3Dpoke%2Bcottage","Handheld Fan")</f>
        <v>Handheld Fan</v>
      </c>
      <c r="D286" s="5" t="s">
        <v>16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164</v>
      </c>
      <c r="C287" s="6" t="str">
        <f aca="false">HYPERLINK("https://partner.tcgplayer.com/c/6278691/1780961/21018?u=https%3A%2F%2Fwww.tcgplayer.com%2Fproduct%2F550194%3Futm_source%3Dimpact%26utm_medium%3Daffiliate%26utm_campaign%3Dpoke%2Bcottage","Handheld Fan")</f>
        <v>Handheld Fan</v>
      </c>
      <c r="D287" s="5" t="s">
        <v>16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165</v>
      </c>
      <c r="C288" s="6" t="str">
        <f aca="false">HYPERLINK("https://partner.tcgplayer.com/c/6278691/1780961/21018?u=https%3A%2F%2Fwww.tcgplayer.com%2Fproduct%2F550195%3Futm_source%3Dimpact%26utm_medium%3Daffiliate%26utm_campaign%3Dpoke%2Bcottage","Hassel")</f>
        <v>Hassel</v>
      </c>
      <c r="D288" s="5" t="s">
        <v>16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165</v>
      </c>
      <c r="C289" s="6" t="str">
        <f aca="false">HYPERLINK("https://partner.tcgplayer.com/c/6278691/1780961/21018?u=https%3A%2F%2Fwww.tcgplayer.com%2Fproduct%2F550195%3Futm_source%3Dimpact%26utm_medium%3Daffiliate%26utm_campaign%3Dpoke%2Bcottage","Hassel")</f>
        <v>Hassel</v>
      </c>
      <c r="D289" s="5" t="s">
        <v>16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166</v>
      </c>
      <c r="C290" s="6" t="str">
        <f aca="false">HYPERLINK("https://partner.tcgplayer.com/c/6278691/1780961/21018?u=https%3A%2F%2Fwww.tcgplayer.com%2Fproduct%2F550196%3Futm_source%3Dimpact%26utm_medium%3Daffiliate%26utm_campaign%3Dpoke%2Bcottage","Hyper Aroma")</f>
        <v>Hyper Aroma</v>
      </c>
      <c r="D290" s="5" t="s">
        <v>167</v>
      </c>
      <c r="E290" s="5" t="s">
        <v>32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168</v>
      </c>
      <c r="C291" s="6" t="str">
        <f aca="false">HYPERLINK("https://partner.tcgplayer.com/c/6278691/1780961/21018?u=https%3A%2F%2Fwww.tcgplayer.com%2Fproduct%2F550197%3Futm_source%3Dimpact%26utm_medium%3Daffiliate%26utm_campaign%3Dpoke%2Bcottage","Jamming Tower")</f>
        <v>Jamming Tower</v>
      </c>
      <c r="D291" s="5" t="s">
        <v>16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HYPERLINK("https://partner.tcgplayer.com/c/6278691/1780961/21018?u=https%3A%2F%2Fwww.tcgplayer.com%2Fproduct%2F550197%3Futm_source%3Dimpact%26utm_medium%3Daffiliate%26utm_campaign%3Dpoke%2Bcottage","Jamming Tower")</f>
        <v>Jamming Tower</v>
      </c>
      <c r="D292" s="5" t="s">
        <v>16</v>
      </c>
      <c r="E292" s="5" t="s">
        <v>11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169</v>
      </c>
      <c r="C293" s="6" t="str">
        <f aca="false">HYPERLINK("https://partner.tcgplayer.com/c/6278691/1780961/21018?u=https%3A%2F%2Fwww.tcgplayer.com%2Fproduct%2F550198%3Futm_source%3Dimpact%26utm_medium%3Daffiliate%26utm_campaign%3Dpoke%2Bcottage","Kieran")</f>
        <v>Kieran</v>
      </c>
      <c r="D293" s="5" t="s">
        <v>16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HYPERLINK("https://partner.tcgplayer.com/c/6278691/1780961/21018?u=https%3A%2F%2Fwww.tcgplayer.com%2Fproduct%2F550198%3Futm_source%3Dimpact%26utm_medium%3Daffiliate%26utm_campaign%3Dpoke%2Bcottage","Kieran")</f>
        <v>Kieran</v>
      </c>
      <c r="D294" s="5" t="s">
        <v>16</v>
      </c>
      <c r="E294" s="5" t="s">
        <v>11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170</v>
      </c>
      <c r="C295" s="6" t="str">
        <f aca="false">HYPERLINK("https://partner.tcgplayer.com/c/6278691/1780961/21018?u=https%3A%2F%2Fwww.tcgplayer.com%2Fproduct%2F550199%3Futm_source%3Dimpact%26utm_medium%3Daffiliate%26utm_campaign%3Dpoke%2Bcottage","Lana's Aid")</f>
        <v>Lana's Aid</v>
      </c>
      <c r="D295" s="5" t="s">
        <v>16</v>
      </c>
      <c r="E295" s="5" t="s">
        <v>9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170</v>
      </c>
      <c r="C296" s="6" t="str">
        <f aca="false">HYPERLINK("https://partner.tcgplayer.com/c/6278691/1780961/21018?u=https%3A%2F%2Fwww.tcgplayer.com%2Fproduct%2F550199%3Futm_source%3Dimpact%26utm_medium%3Daffiliate%26utm_campaign%3Dpoke%2Bcottage","Lana's Aid")</f>
        <v>Lana's Aid</v>
      </c>
      <c r="D296" s="5" t="s">
        <v>16</v>
      </c>
      <c r="E296" s="5" t="s">
        <v>11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171</v>
      </c>
      <c r="C297" s="6" t="str">
        <f aca="false">HYPERLINK("https://partner.tcgplayer.com/c/6278691/1780961/21018?u=https%3A%2F%2Fwww.tcgplayer.com%2Fproduct%2F550200%3Futm_source%3Dimpact%26utm_medium%3Daffiliate%26utm_campaign%3Dpoke%2Bcottage","Love Ball")</f>
        <v>Love Ball</v>
      </c>
      <c r="D297" s="5" t="s">
        <v>16</v>
      </c>
      <c r="E297" s="5" t="s">
        <v>9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171</v>
      </c>
      <c r="C298" s="6" t="str">
        <f aca="false">HYPERLINK("https://partner.tcgplayer.com/c/6278691/1780961/21018?u=https%3A%2F%2Fwww.tcgplayer.com%2Fproduct%2F550200%3Futm_source%3Dimpact%26utm_medium%3Daffiliate%26utm_campaign%3Dpoke%2Bcottage","Love Ball")</f>
        <v>Love Ball</v>
      </c>
      <c r="D298" s="5" t="s">
        <v>16</v>
      </c>
      <c r="E298" s="5" t="s">
        <v>11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172</v>
      </c>
      <c r="C299" s="6" t="str">
        <f aca="false">HYPERLINK("https://partner.tcgplayer.com/c/6278691/1780961/21018?u=https%3A%2F%2Fwww.tcgplayer.com%2Fproduct%2F550201%3Futm_source%3Dimpact%26utm_medium%3Daffiliate%26utm_campaign%3Dpoke%2Bcottage","Lucian")</f>
        <v>Lucian</v>
      </c>
      <c r="D299" s="5" t="s">
        <v>16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172</v>
      </c>
      <c r="C300" s="6" t="str">
        <f aca="false">HYPERLINK("https://partner.tcgplayer.com/c/6278691/1780961/21018?u=https%3A%2F%2Fwww.tcgplayer.com%2Fproduct%2F550201%3Futm_source%3Dimpact%26utm_medium%3Daffiliate%26utm_campaign%3Dpoke%2Bcottage","Lucian")</f>
        <v>Lucian</v>
      </c>
      <c r="D300" s="5" t="s">
        <v>16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173</v>
      </c>
      <c r="C301" s="6" t="str">
        <f aca="false">HYPERLINK("https://partner.tcgplayer.com/c/6278691/1780961/21018?u=https%3A%2F%2Fwww.tcgplayer.com%2Fproduct%2F550202%3Futm_source%3Dimpact%26utm_medium%3Daffiliate%26utm_campaign%3Dpoke%2Bcottage","Lucky Helmet")</f>
        <v>Lucky Helmet</v>
      </c>
      <c r="D301" s="5" t="s">
        <v>16</v>
      </c>
      <c r="E301" s="5" t="s">
        <v>9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173</v>
      </c>
      <c r="C302" s="6" t="str">
        <f aca="false">HYPERLINK("https://partner.tcgplayer.com/c/6278691/1780961/21018?u=https%3A%2F%2Fwww.tcgplayer.com%2Fproduct%2F550202%3Futm_source%3Dimpact%26utm_medium%3Daffiliate%26utm_campaign%3Dpoke%2Bcottage","Lucky Helmet")</f>
        <v>Lucky Helmet</v>
      </c>
      <c r="D302" s="5" t="s">
        <v>16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174</v>
      </c>
      <c r="C303" s="6" t="str">
        <f aca="false">HYPERLINK("https://partner.tcgplayer.com/c/6278691/1780961/21018?u=https%3A%2F%2Fwww.tcgplayer.com%2Fproduct%2F550203%3Futm_source%3Dimpact%26utm_medium%3Daffiliate%26utm_campaign%3Dpoke%2Bcottage","Ogre's Mask")</f>
        <v>Ogre's Mask</v>
      </c>
      <c r="D303" s="5" t="s">
        <v>16</v>
      </c>
      <c r="E303" s="5" t="s">
        <v>9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174</v>
      </c>
      <c r="C304" s="6" t="str">
        <f aca="false">HYPERLINK("https://partner.tcgplayer.com/c/6278691/1780961/21018?u=https%3A%2F%2Fwww.tcgplayer.com%2Fproduct%2F550203%3Futm_source%3Dimpact%26utm_medium%3Daffiliate%26utm_campaign%3Dpoke%2Bcottage","Ogre's Mask")</f>
        <v>Ogre's Mask</v>
      </c>
      <c r="D304" s="5" t="s">
        <v>16</v>
      </c>
      <c r="E304" s="5" t="s">
        <v>11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175</v>
      </c>
      <c r="C305" s="6" t="str">
        <f aca="false">HYPERLINK("https://partner.tcgplayer.com/c/6278691/1780961/21018?u=https%3A%2F%2Fwww.tcgplayer.com%2Fproduct%2F550204%3Futm_source%3Dimpact%26utm_medium%3Daffiliate%26utm_campaign%3Dpoke%2Bcottage","Perrin")</f>
        <v>Perrin</v>
      </c>
      <c r="D305" s="5" t="s">
        <v>16</v>
      </c>
      <c r="E305" s="5" t="s">
        <v>9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175</v>
      </c>
      <c r="C306" s="6" t="str">
        <f aca="false">HYPERLINK("https://partner.tcgplayer.com/c/6278691/1780961/21018?u=https%3A%2F%2Fwww.tcgplayer.com%2Fproduct%2F550204%3Futm_source%3Dimpact%26utm_medium%3Daffiliate%26utm_campaign%3Dpoke%2Bcottage","Perrin")</f>
        <v>Perrin</v>
      </c>
      <c r="D306" s="5" t="s">
        <v>16</v>
      </c>
      <c r="E306" s="5" t="s">
        <v>11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176</v>
      </c>
      <c r="C307" s="6" t="str">
        <f aca="false">HYPERLINK("https://partner.tcgplayer.com/c/6278691/1780961/21018?u=https%3A%2F%2Fwww.tcgplayer.com%2Fproduct%2F550205%3Futm_source%3Dimpact%26utm_medium%3Daffiliate%26utm_campaign%3Dpoke%2Bcottage","Raifort")</f>
        <v>Raifort</v>
      </c>
      <c r="D307" s="5" t="s">
        <v>16</v>
      </c>
      <c r="E307" s="5" t="s">
        <v>9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176</v>
      </c>
      <c r="C308" s="6" t="str">
        <f aca="false">HYPERLINK("https://partner.tcgplayer.com/c/6278691/1780961/21018?u=https%3A%2F%2Fwww.tcgplayer.com%2Fproduct%2F550205%3Futm_source%3Dimpact%26utm_medium%3Daffiliate%26utm_campaign%3Dpoke%2Bcottage","Raifort")</f>
        <v>Raifort</v>
      </c>
      <c r="D308" s="5" t="s">
        <v>16</v>
      </c>
      <c r="E308" s="5" t="s">
        <v>11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177</v>
      </c>
      <c r="C309" s="6" t="str">
        <f aca="false">HYPERLINK("https://partner.tcgplayer.com/c/6278691/1780961/21018?u=https%3A%2F%2Fwww.tcgplayer.com%2Fproduct%2F550206%3Futm_source%3Dimpact%26utm_medium%3Daffiliate%26utm_campaign%3Dpoke%2Bcottage","Scoop Up Cyclone")</f>
        <v>Scoop Up Cyclone</v>
      </c>
      <c r="D309" s="5" t="s">
        <v>167</v>
      </c>
      <c r="E309" s="5" t="s">
        <v>32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178</v>
      </c>
      <c r="C310" s="6" t="str">
        <f aca="false">HYPERLINK("https://partner.tcgplayer.com/c/6278691/1780961/21018?u=https%3A%2F%2Fwww.tcgplayer.com%2Fproduct%2F550207%3Futm_source%3Dimpact%26utm_medium%3Daffiliate%26utm_campaign%3Dpoke%2Bcottage","Secret Box")</f>
        <v>Secret Box</v>
      </c>
      <c r="D310" s="5" t="s">
        <v>167</v>
      </c>
      <c r="E310" s="5" t="s">
        <v>32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179</v>
      </c>
      <c r="C311" s="6" t="str">
        <f aca="false">HYPERLINK("https://partner.tcgplayer.com/c/6278691/1780961/21018?u=https%3A%2F%2Fwww.tcgplayer.com%2Fproduct%2F550208%3Futm_source%3Dimpact%26utm_medium%3Daffiliate%26utm_campaign%3Dpoke%2Bcottage","Survival Brace")</f>
        <v>Survival Brace</v>
      </c>
      <c r="D311" s="5" t="s">
        <v>167</v>
      </c>
      <c r="E311" s="5" t="s">
        <v>32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180</v>
      </c>
      <c r="C312" s="6" t="str">
        <f aca="false">HYPERLINK("https://partner.tcgplayer.com/c/6278691/1780961/21018?u=https%3A%2F%2Fwww.tcgplayer.com%2Fproduct%2F550209%3Futm_source%3Dimpact%26utm_medium%3Daffiliate%26utm_campaign%3Dpoke%2Bcottage","Unfair Stamp")</f>
        <v>Unfair Stamp</v>
      </c>
      <c r="D312" s="5" t="s">
        <v>167</v>
      </c>
      <c r="E312" s="5" t="s">
        <v>32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181</v>
      </c>
      <c r="C313" s="6" t="str">
        <f aca="false">HYPERLINK("https://partner.tcgplayer.com/c/6278691/1780961/21018?u=https%3A%2F%2Fwww.tcgplayer.com%2Fproduct%2F550210%3Futm_source%3Dimpact%26utm_medium%3Daffiliate%26utm_campaign%3Dpoke%2Bcottage","Boomerang Energy")</f>
        <v>Boomerang Energy</v>
      </c>
      <c r="D313" s="5" t="s">
        <v>16</v>
      </c>
      <c r="E313" s="5" t="s">
        <v>9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181</v>
      </c>
      <c r="C314" s="6" t="str">
        <f aca="false">HYPERLINK("https://partner.tcgplayer.com/c/6278691/1780961/21018?u=https%3A%2F%2Fwww.tcgplayer.com%2Fproduct%2F550210%3Futm_source%3Dimpact%26utm_medium%3Daffiliate%26utm_campaign%3Dpoke%2Bcottage","Boomerang Energy")</f>
        <v>Boomerang Energy</v>
      </c>
      <c r="D314" s="5" t="s">
        <v>16</v>
      </c>
      <c r="E314" s="5" t="s">
        <v>11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182</v>
      </c>
      <c r="C315" s="6" t="str">
        <f aca="false">HYPERLINK("https://partner.tcgplayer.com/c/6278691/1780961/21018?u=https%3A%2F%2Fwww.tcgplayer.com%2Fproduct%2F550211%3Futm_source%3Dimpact%26utm_medium%3Daffiliate%26utm_campaign%3Dpoke%2Bcottage","Legacy Energy")</f>
        <v>Legacy Energy</v>
      </c>
      <c r="D315" s="5" t="s">
        <v>167</v>
      </c>
      <c r="E315" s="5" t="s">
        <v>32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183</v>
      </c>
      <c r="C316" s="6" t="str">
        <f aca="false">HYPERLINK("https://partner.tcgplayer.com/c/6278691/1780961/21018?u=https%3A%2F%2Fwww.tcgplayer.com%2Fproduct%2F550212%3Futm_source%3Dimpact%26utm_medium%3Daffiliate%26utm_campaign%3Dpoke%2Bcottage","Pinsir")</f>
        <v>Pinsir</v>
      </c>
      <c r="D316" s="5" t="s">
        <v>184</v>
      </c>
      <c r="E316" s="5" t="s">
        <v>32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185</v>
      </c>
      <c r="C317" s="6" t="str">
        <f aca="false">HYPERLINK("https://partner.tcgplayer.com/c/6278691/1780961/21018?u=https%3A%2F%2Fwww.tcgplayer.com%2Fproduct%2F550213%3Futm_source%3Dimpact%26utm_medium%3Daffiliate%26utm_campaign%3Dpoke%2Bcottage","Sunflora")</f>
        <v>Sunflora</v>
      </c>
      <c r="D317" s="5" t="s">
        <v>184</v>
      </c>
      <c r="E317" s="5" t="s">
        <v>32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186</v>
      </c>
      <c r="C318" s="6" t="str">
        <f aca="false">HYPERLINK("https://partner.tcgplayer.com/c/6278691/1780961/21018?u=https%3A%2F%2Fwww.tcgplayer.com%2Fproduct%2F550214%3Futm_source%3Dimpact%26utm_medium%3Daffiliate%26utm_campaign%3Dpoke%2Bcottage","Dipplin")</f>
        <v>Dipplin</v>
      </c>
      <c r="D318" s="5" t="s">
        <v>184</v>
      </c>
      <c r="E318" s="5" t="s">
        <v>32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187</v>
      </c>
      <c r="C319" s="6" t="str">
        <f aca="false">HYPERLINK("https://partner.tcgplayer.com/c/6278691/1780961/21018?u=https%3A%2F%2Fwww.tcgplayer.com%2Fproduct%2F550215%3Futm_source%3Dimpact%26utm_medium%3Daffiliate%26utm_campaign%3Dpoke%2Bcottage","Poltchageist")</f>
        <v>Poltchageist</v>
      </c>
      <c r="D319" s="5" t="s">
        <v>184</v>
      </c>
      <c r="E319" s="5" t="s">
        <v>32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188</v>
      </c>
      <c r="C320" s="6" t="str">
        <f aca="false">HYPERLINK("https://partner.tcgplayer.com/c/6278691/1780961/21018?u=https%3A%2F%2Fwww.tcgplayer.com%2Fproduct%2F550216%3Futm_source%3Dimpact%26utm_medium%3Daffiliate%26utm_campaign%3Dpoke%2Bcottage","Torkoal")</f>
        <v>Torkoal</v>
      </c>
      <c r="D320" s="5" t="s">
        <v>184</v>
      </c>
      <c r="E320" s="5" t="s">
        <v>32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189</v>
      </c>
      <c r="C321" s="6" t="str">
        <f aca="false">HYPERLINK("https://partner.tcgplayer.com/c/6278691/1780961/21018?u=https%3A%2F%2Fwww.tcgplayer.com%2Fproduct%2F550217%3Futm_source%3Dimpact%26utm_medium%3Daffiliate%26utm_campaign%3Dpoke%2Bcottage","Infernape")</f>
        <v>Infernape</v>
      </c>
      <c r="D321" s="5" t="s">
        <v>184</v>
      </c>
      <c r="E321" s="5" t="s">
        <v>32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190</v>
      </c>
      <c r="C322" s="6" t="str">
        <f aca="false">HYPERLINK("https://partner.tcgplayer.com/c/6278691/1780961/21018?u=https%3A%2F%2Fwww.tcgplayer.com%2Fproduct%2F550218%3Futm_source%3Dimpact%26utm_medium%3Daffiliate%26utm_campaign%3Dpoke%2Bcottage","Froslass")</f>
        <v>Froslass</v>
      </c>
      <c r="D322" s="5" t="s">
        <v>184</v>
      </c>
      <c r="E322" s="5" t="s">
        <v>32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191</v>
      </c>
      <c r="C323" s="6" t="str">
        <f aca="false">HYPERLINK("https://partner.tcgplayer.com/c/6278691/1780961/21018?u=https%3A%2F%2Fwww.tcgplayer.com%2Fproduct%2F550219%3Futm_source%3Dimpact%26utm_medium%3Daffiliate%26utm_campaign%3Dpoke%2Bcottage","Phione")</f>
        <v>Phione</v>
      </c>
      <c r="D323" s="5" t="s">
        <v>184</v>
      </c>
      <c r="E323" s="5" t="s">
        <v>32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192</v>
      </c>
      <c r="C324" s="6" t="str">
        <f aca="false">HYPERLINK("https://partner.tcgplayer.com/c/6278691/1780961/21018?u=https%3A%2F%2Fwww.tcgplayer.com%2Fproduct%2F550220%3Futm_source%3Dimpact%26utm_medium%3Daffiliate%26utm_campaign%3Dpoke%2Bcottage","Cramorant")</f>
        <v>Cramorant</v>
      </c>
      <c r="D324" s="5" t="s">
        <v>184</v>
      </c>
      <c r="E324" s="5" t="s">
        <v>32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193</v>
      </c>
      <c r="C325" s="6" t="str">
        <f aca="false">HYPERLINK("https://partner.tcgplayer.com/c/6278691/1780961/21018?u=https%3A%2F%2Fwww.tcgplayer.com%2Fproduct%2F550221%3Futm_source%3Dimpact%26utm_medium%3Daffiliate%26utm_campaign%3Dpoke%2Bcottage","Heliolisk")</f>
        <v>Heliolisk</v>
      </c>
      <c r="D325" s="5" t="s">
        <v>184</v>
      </c>
      <c r="E325" s="5" t="s">
        <v>32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194</v>
      </c>
      <c r="C326" s="6" t="str">
        <f aca="false">HYPERLINK("https://partner.tcgplayer.com/c/6278691/1780961/21018?u=https%3A%2F%2Fwww.tcgplayer.com%2Fproduct%2F550222%3Futm_source%3Dimpact%26utm_medium%3Daffiliate%26utm_campaign%3Dpoke%2Bcottage","Wattrel")</f>
        <v>Wattrel</v>
      </c>
      <c r="D326" s="5" t="s">
        <v>184</v>
      </c>
      <c r="E326" s="5" t="s">
        <v>32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195</v>
      </c>
      <c r="C327" s="6" t="str">
        <f aca="false">HYPERLINK("https://partner.tcgplayer.com/c/6278691/1780961/21018?u=https%3A%2F%2Fwww.tcgplayer.com%2Fproduct%2F550223%3Futm_source%3Dimpact%26utm_medium%3Daffiliate%26utm_campaign%3Dpoke%2Bcottage","Chimecho")</f>
        <v>Chimecho</v>
      </c>
      <c r="D327" s="5" t="s">
        <v>184</v>
      </c>
      <c r="E327" s="5" t="s">
        <v>32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196</v>
      </c>
      <c r="C328" s="6" t="str">
        <f aca="false">HYPERLINK("https://partner.tcgplayer.com/c/6278691/1780961/21018?u=https%3A%2F%2Fwww.tcgplayer.com%2Fproduct%2F550224%3Futm_source%3Dimpact%26utm_medium%3Daffiliate%26utm_campaign%3Dpoke%2Bcottage","Enamorus")</f>
        <v>Enamorus</v>
      </c>
      <c r="D328" s="5" t="s">
        <v>184</v>
      </c>
      <c r="E328" s="5" t="s">
        <v>32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197</v>
      </c>
      <c r="C329" s="6" t="str">
        <f aca="false">HYPERLINK("https://partner.tcgplayer.com/c/6278691/1780961/21018?u=https%3A%2F%2Fwww.tcgplayer.com%2Fproduct%2F550225%3Futm_source%3Dimpact%26utm_medium%3Daffiliate%26utm_campaign%3Dpoke%2Bcottage","Hisuian Growlithe")</f>
        <v>Hisuian Growlithe</v>
      </c>
      <c r="D329" s="5" t="s">
        <v>184</v>
      </c>
      <c r="E329" s="5" t="s">
        <v>32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198</v>
      </c>
      <c r="C330" s="6" t="str">
        <f aca="false">HYPERLINK("https://partner.tcgplayer.com/c/6278691/1780961/21018?u=https%3A%2F%2Fwww.tcgplayer.com%2Fproduct%2F550226%3Futm_source%3Dimpact%26utm_medium%3Daffiliate%26utm_campaign%3Dpoke%2Bcottage","Probopass")</f>
        <v>Probopass</v>
      </c>
      <c r="D330" s="5" t="s">
        <v>184</v>
      </c>
      <c r="E330" s="5" t="s">
        <v>32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199</v>
      </c>
      <c r="C331" s="6" t="str">
        <f aca="false">HYPERLINK("https://partner.tcgplayer.com/c/6278691/1780961/21018?u=https%3A%2F%2Fwww.tcgplayer.com%2Fproduct%2F550227%3Futm_source%3Dimpact%26utm_medium%3Daffiliate%26utm_campaign%3Dpoke%2Bcottage","Timburr")</f>
        <v>Timburr</v>
      </c>
      <c r="D331" s="5" t="s">
        <v>184</v>
      </c>
      <c r="E331" s="5" t="s">
        <v>32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200</v>
      </c>
      <c r="C332" s="6" t="str">
        <f aca="false">HYPERLINK("https://partner.tcgplayer.com/c/6278691/1780961/21018?u=https%3A%2F%2Fwww.tcgplayer.com%2Fproduct%2F550228%3Futm_source%3Dimpact%26utm_medium%3Daffiliate%26utm_campaign%3Dpoke%2Bcottage","Lairon")</f>
        <v>Lairon</v>
      </c>
      <c r="D332" s="5" t="s">
        <v>184</v>
      </c>
      <c r="E332" s="5" t="s">
        <v>32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201</v>
      </c>
      <c r="C333" s="6" t="str">
        <f aca="false">HYPERLINK("https://partner.tcgplayer.com/c/6278691/1780961/21018?u=https%3A%2F%2Fwww.tcgplayer.com%2Fproduct%2F550229%3Futm_source%3Dimpact%26utm_medium%3Daffiliate%26utm_campaign%3Dpoke%2Bcottage","Applin")</f>
        <v>Applin</v>
      </c>
      <c r="D333" s="5" t="s">
        <v>184</v>
      </c>
      <c r="E333" s="5" t="s">
        <v>32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202</v>
      </c>
      <c r="C334" s="6" t="str">
        <f aca="false">HYPERLINK("https://partner.tcgplayer.com/c/6278691/1780961/21018?u=https%3A%2F%2Fwww.tcgplayer.com%2Fproduct%2F550230%3Futm_source%3Dimpact%26utm_medium%3Daffiliate%26utm_campaign%3Dpoke%2Bcottage","Tatsugiri")</f>
        <v>Tatsugiri</v>
      </c>
      <c r="D334" s="5" t="s">
        <v>184</v>
      </c>
      <c r="E334" s="5" t="s">
        <v>32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203</v>
      </c>
      <c r="C335" s="6" t="str">
        <f aca="false">HYPERLINK("https://partner.tcgplayer.com/c/6278691/1780961/21018?u=https%3A%2F%2Fwww.tcgplayer.com%2Fproduct%2F550231%3Futm_source%3Dimpact%26utm_medium%3Daffiliate%26utm_campaign%3Dpoke%2Bcottage","Chansey")</f>
        <v>Chansey</v>
      </c>
      <c r="D335" s="5" t="s">
        <v>184</v>
      </c>
      <c r="E335" s="5" t="s">
        <v>32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204</v>
      </c>
      <c r="C336" s="6" t="str">
        <f aca="false">HYPERLINK("https://partner.tcgplayer.com/c/6278691/1780961/21018?u=https%3A%2F%2Fwww.tcgplayer.com%2Fproduct%2F550232%3Futm_source%3Dimpact%26utm_medium%3Daffiliate%26utm_campaign%3Dpoke%2Bcottage","Eevee")</f>
        <v>Eevee</v>
      </c>
      <c r="D336" s="5" t="s">
        <v>184</v>
      </c>
      <c r="E336" s="5" t="s">
        <v>32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205</v>
      </c>
      <c r="C337" s="6" t="str">
        <f aca="false">HYPERLINK("https://partner.tcgplayer.com/c/6278691/1780961/21018?u=https%3A%2F%2Fwww.tcgplayer.com%2Fproduct%2F550233%3Futm_source%3Dimpact%26utm_medium%3Daffiliate%26utm_campaign%3Dpoke%2Bcottage","Sinistcha ex")</f>
        <v>Sinistcha ex</v>
      </c>
      <c r="D337" s="5" t="s">
        <v>206</v>
      </c>
      <c r="E337" s="5" t="s">
        <v>32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207</v>
      </c>
      <c r="C338" s="6" t="str">
        <f aca="false">HYPERLINK("https://partner.tcgplayer.com/c/6278691/1780961/21018?u=https%3A%2F%2Fwww.tcgplayer.com%2Fproduct%2F550234%3Futm_source%3Dimpact%26utm_medium%3Daffiliate%26utm_campaign%3Dpoke%2Bcottage","Teal Mask Ogerpon ex")</f>
        <v>Teal Mask Ogerpon ex</v>
      </c>
      <c r="D338" s="5" t="s">
        <v>206</v>
      </c>
      <c r="E338" s="5" t="s">
        <v>32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208</v>
      </c>
      <c r="C339" s="6" t="str">
        <f aca="false">HYPERLINK("https://partner.tcgplayer.com/c/6278691/1780961/21018?u=https%3A%2F%2Fwww.tcgplayer.com%2Fproduct%2F550235%3Futm_source%3Dimpact%26utm_medium%3Daffiliate%26utm_campaign%3Dpoke%2Bcottage","Magcargo ex")</f>
        <v>Magcargo ex</v>
      </c>
      <c r="D339" s="5" t="s">
        <v>206</v>
      </c>
      <c r="E339" s="5" t="s">
        <v>32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209</v>
      </c>
      <c r="C340" s="6" t="str">
        <f aca="false">HYPERLINK("https://partner.tcgplayer.com/c/6278691/1780961/21018?u=https%3A%2F%2Fwww.tcgplayer.com%2Fproduct%2F550236%3Futm_source%3Dimpact%26utm_medium%3Daffiliate%26utm_campaign%3Dpoke%2Bcottage","Hearthflame Mask Ogerpon ex")</f>
        <v>Hearthflame Mask Ogerpon ex</v>
      </c>
      <c r="D340" s="5" t="s">
        <v>206</v>
      </c>
      <c r="E340" s="5" t="s">
        <v>32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210</v>
      </c>
      <c r="C341" s="6" t="str">
        <f aca="false">HYPERLINK("https://partner.tcgplayer.com/c/6278691/1780961/21018?u=https%3A%2F%2Fwww.tcgplayer.com%2Fproduct%2F550237%3Futm_source%3Dimpact%26utm_medium%3Daffiliate%26utm_campaign%3Dpoke%2Bcottage","Palafin ex")</f>
        <v>Palafin ex</v>
      </c>
      <c r="D341" s="5" t="s">
        <v>206</v>
      </c>
      <c r="E341" s="5" t="s">
        <v>32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211</v>
      </c>
      <c r="C342" s="6" t="str">
        <f aca="false">HYPERLINK("https://partner.tcgplayer.com/c/6278691/1780961/21018?u=https%3A%2F%2Fwww.tcgplayer.com%2Fproduct%2F550238%3Futm_source%3Dimpact%26utm_medium%3Daffiliate%26utm_campaign%3Dpoke%2Bcottage","Wellspring Mask Ogerpon ex")</f>
        <v>Wellspring Mask Ogerpon ex</v>
      </c>
      <c r="D342" s="5" t="s">
        <v>206</v>
      </c>
      <c r="E342" s="5" t="s">
        <v>32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212</v>
      </c>
      <c r="C343" s="6" t="str">
        <f aca="false">HYPERLINK("https://partner.tcgplayer.com/c/6278691/1780961/21018?u=https%3A%2F%2Fwww.tcgplayer.com%2Fproduct%2F550239%3Futm_source%3Dimpact%26utm_medium%3Daffiliate%26utm_campaign%3Dpoke%2Bcottage","Luxray ex")</f>
        <v>Luxray ex</v>
      </c>
      <c r="D343" s="5" t="s">
        <v>206</v>
      </c>
      <c r="E343" s="5" t="s">
        <v>32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213</v>
      </c>
      <c r="C344" s="6" t="str">
        <f aca="false">HYPERLINK("https://partner.tcgplayer.com/c/6278691/1780961/21018?u=https%3A%2F%2Fwww.tcgplayer.com%2Fproduct%2F550240%3Futm_source%3Dimpact%26utm_medium%3Daffiliate%26utm_campaign%3Dpoke%2Bcottage","Iron Thorns ex")</f>
        <v>Iron Thorns ex</v>
      </c>
      <c r="D344" s="5" t="s">
        <v>206</v>
      </c>
      <c r="E344" s="5" t="s">
        <v>32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214</v>
      </c>
      <c r="C345" s="6" t="str">
        <f aca="false">HYPERLINK("https://partner.tcgplayer.com/c/6278691/1780961/21018?u=https%3A%2F%2Fwww.tcgplayer.com%2Fproduct%2F550241%3Futm_source%3Dimpact%26utm_medium%3Daffiliate%26utm_campaign%3Dpoke%2Bcottage","Scream Tail ex")</f>
        <v>Scream Tail ex</v>
      </c>
      <c r="D345" s="5" t="s">
        <v>206</v>
      </c>
      <c r="E345" s="5" t="s">
        <v>32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215</v>
      </c>
      <c r="C346" s="6" t="str">
        <f aca="false">HYPERLINK("https://partner.tcgplayer.com/c/6278691/1780961/21018?u=https%3A%2F%2Fwww.tcgplayer.com%2Fproduct%2F550242%3Futm_source%3Dimpact%26utm_medium%3Daffiliate%26utm_campaign%3Dpoke%2Bcottage","Greninja ex")</f>
        <v>Greninja ex</v>
      </c>
      <c r="D346" s="5" t="s">
        <v>206</v>
      </c>
      <c r="E346" s="5" t="s">
        <v>32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216</v>
      </c>
      <c r="C347" s="6" t="str">
        <f aca="false">HYPERLINK("https://partner.tcgplayer.com/c/6278691/1780961/21018?u=https%3A%2F%2Fwww.tcgplayer.com%2Fproduct%2F550243%3Futm_source%3Dimpact%26utm_medium%3Daffiliate%26utm_campaign%3Dpoke%2Bcottage","Cornerstone Mask Ogerpon ex")</f>
        <v>Cornerstone Mask Ogerpon ex</v>
      </c>
      <c r="D347" s="5" t="s">
        <v>206</v>
      </c>
      <c r="E347" s="5" t="s">
        <v>32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217</v>
      </c>
      <c r="C348" s="6" t="str">
        <f aca="false">HYPERLINK("https://partner.tcgplayer.com/c/6278691/1780961/21018?u=https%3A%2F%2Fwww.tcgplayer.com%2Fproduct%2F550244%3Futm_source%3Dimpact%26utm_medium%3Daffiliate%26utm_campaign%3Dpoke%2Bcottage","Dragapult ex")</f>
        <v>Dragapult ex</v>
      </c>
      <c r="D348" s="5" t="s">
        <v>206</v>
      </c>
      <c r="E348" s="5" t="s">
        <v>32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218</v>
      </c>
      <c r="C349" s="6" t="str">
        <f aca="false">HYPERLINK("https://partner.tcgplayer.com/c/6278691/1780961/21018?u=https%3A%2F%2Fwww.tcgplayer.com%2Fproduct%2F550245%3Futm_source%3Dimpact%26utm_medium%3Daffiliate%26utm_campaign%3Dpoke%2Bcottage","Blissey ex")</f>
        <v>Blissey ex</v>
      </c>
      <c r="D349" s="5" t="s">
        <v>206</v>
      </c>
      <c r="E349" s="5" t="s">
        <v>32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219</v>
      </c>
      <c r="C350" s="6" t="str">
        <f aca="false">HYPERLINK("https://partner.tcgplayer.com/c/6278691/1780961/21018?u=https%3A%2F%2Fwww.tcgplayer.com%2Fproduct%2F550246%3Futm_source%3Dimpact%26utm_medium%3Daffiliate%26utm_campaign%3Dpoke%2Bcottage","Bloodmoon Ursaluna ex")</f>
        <v>Bloodmoon Ursaluna ex</v>
      </c>
      <c r="D350" s="5" t="s">
        <v>206</v>
      </c>
      <c r="E350" s="5" t="s">
        <v>32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220</v>
      </c>
      <c r="C351" s="6" t="str">
        <f aca="false">HYPERLINK("https://partner.tcgplayer.com/c/6278691/1780961/21018?u=https%3A%2F%2Fwww.tcgplayer.com%2Fproduct%2F550247%3Futm_source%3Dimpact%26utm_medium%3Daffiliate%26utm_campaign%3Dpoke%2Bcottage","Caretaker")</f>
        <v>Caretaker</v>
      </c>
      <c r="D351" s="5" t="s">
        <v>206</v>
      </c>
      <c r="E351" s="5" t="s">
        <v>32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221</v>
      </c>
      <c r="C352" s="6" t="str">
        <f aca="false">HYPERLINK("https://partner.tcgplayer.com/c/6278691/1780961/21018?u=https%3A%2F%2Fwww.tcgplayer.com%2Fproduct%2F550248%3Futm_source%3Dimpact%26utm_medium%3Daffiliate%26utm_campaign%3Dpoke%2Bcottage","Carmine")</f>
        <v>Carmine</v>
      </c>
      <c r="D352" s="5" t="s">
        <v>206</v>
      </c>
      <c r="E352" s="5" t="s">
        <v>32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222</v>
      </c>
      <c r="C353" s="6" t="str">
        <f aca="false">HYPERLINK("https://partner.tcgplayer.com/c/6278691/1780961/21018?u=https%3A%2F%2Fwww.tcgplayer.com%2Fproduct%2F550249%3Futm_source%3Dimpact%26utm_medium%3Daffiliate%26utm_campaign%3Dpoke%2Bcottage","Hassel")</f>
        <v>Hassel</v>
      </c>
      <c r="D353" s="5" t="s">
        <v>206</v>
      </c>
      <c r="E353" s="5" t="s">
        <v>32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223</v>
      </c>
      <c r="C354" s="6" t="str">
        <f aca="false">HYPERLINK("https://partner.tcgplayer.com/c/6278691/1780961/21018?u=https%3A%2F%2Fwww.tcgplayer.com%2Fproduct%2F550250%3Futm_source%3Dimpact%26utm_medium%3Daffiliate%26utm_campaign%3Dpoke%2Bcottage","Kieran")</f>
        <v>Kieran</v>
      </c>
      <c r="D354" s="5" t="s">
        <v>206</v>
      </c>
      <c r="E354" s="5" t="s">
        <v>32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224</v>
      </c>
      <c r="C355" s="6" t="str">
        <f aca="false">HYPERLINK("https://partner.tcgplayer.com/c/6278691/1780961/21018?u=https%3A%2F%2Fwww.tcgplayer.com%2Fproduct%2F550251%3Futm_source%3Dimpact%26utm_medium%3Daffiliate%26utm_campaign%3Dpoke%2Bcottage","Lana's Aid")</f>
        <v>Lana's Aid</v>
      </c>
      <c r="D355" s="5" t="s">
        <v>206</v>
      </c>
      <c r="E355" s="5" t="s">
        <v>32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225</v>
      </c>
      <c r="C356" s="6" t="str">
        <f aca="false">HYPERLINK("https://partner.tcgplayer.com/c/6278691/1780961/21018?u=https%3A%2F%2Fwww.tcgplayer.com%2Fproduct%2F550252%3Futm_source%3Dimpact%26utm_medium%3Daffiliate%26utm_campaign%3Dpoke%2Bcottage","Lucian")</f>
        <v>Lucian</v>
      </c>
      <c r="D356" s="5" t="s">
        <v>206</v>
      </c>
      <c r="E356" s="5" t="s">
        <v>32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226</v>
      </c>
      <c r="C357" s="6" t="str">
        <f aca="false">HYPERLINK("https://partner.tcgplayer.com/c/6278691/1780961/21018?u=https%3A%2F%2Fwww.tcgplayer.com%2Fproduct%2F550253%3Futm_source%3Dimpact%26utm_medium%3Daffiliate%26utm_campaign%3Dpoke%2Bcottage","Perrin")</f>
        <v>Perrin</v>
      </c>
      <c r="D357" s="5" t="s">
        <v>206</v>
      </c>
      <c r="E357" s="5" t="s">
        <v>32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227</v>
      </c>
      <c r="C358" s="6" t="str">
        <f aca="false">HYPERLINK("https://partner.tcgplayer.com/c/6278691/1780961/21018?u=https%3A%2F%2Fwww.tcgplayer.com%2Fproduct%2F550254%3Futm_source%3Dimpact%26utm_medium%3Daffiliate%26utm_campaign%3Dpoke%2Bcottage","Sinistcha ex")</f>
        <v>Sinistcha ex</v>
      </c>
      <c r="D358" s="5" t="s">
        <v>228</v>
      </c>
      <c r="E358" s="5" t="s">
        <v>32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229</v>
      </c>
      <c r="C359" s="6" t="str">
        <f aca="false">HYPERLINK("https://partner.tcgplayer.com/c/6278691/1780961/21018?u=https%3A%2F%2Fwww.tcgplayer.com%2Fproduct%2F550255%3Futm_source%3Dimpact%26utm_medium%3Daffiliate%26utm_campaign%3Dpoke%2Bcottage","Teal Mask Ogerpon ex")</f>
        <v>Teal Mask Ogerpon ex</v>
      </c>
      <c r="D359" s="5" t="s">
        <v>228</v>
      </c>
      <c r="E359" s="5" t="s">
        <v>32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230</v>
      </c>
      <c r="C360" s="6" t="str">
        <f aca="false">HYPERLINK("https://partner.tcgplayer.com/c/6278691/1780961/21018?u=https%3A%2F%2Fwww.tcgplayer.com%2Fproduct%2F550256%3Futm_source%3Dimpact%26utm_medium%3Daffiliate%26utm_campaign%3Dpoke%2Bcottage","Hearthflame Mask Ogerpon ex")</f>
        <v>Hearthflame Mask Ogerpon ex</v>
      </c>
      <c r="D360" s="5" t="s">
        <v>228</v>
      </c>
      <c r="E360" s="5" t="s">
        <v>32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231</v>
      </c>
      <c r="C361" s="6" t="str">
        <f aca="false">HYPERLINK("https://partner.tcgplayer.com/c/6278691/1780961/21018?u=https%3A%2F%2Fwww.tcgplayer.com%2Fproduct%2F550257%3Futm_source%3Dimpact%26utm_medium%3Daffiliate%26utm_campaign%3Dpoke%2Bcottage","Wellspring Mask Ogerpon ex")</f>
        <v>Wellspring Mask Ogerpon ex</v>
      </c>
      <c r="D361" s="5" t="s">
        <v>228</v>
      </c>
      <c r="E361" s="5" t="s">
        <v>32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232</v>
      </c>
      <c r="C362" s="6" t="str">
        <f aca="false">HYPERLINK("https://partner.tcgplayer.com/c/6278691/1780961/21018?u=https%3A%2F%2Fwww.tcgplayer.com%2Fproduct%2F550258%3Futm_source%3Dimpact%26utm_medium%3Daffiliate%26utm_campaign%3Dpoke%2Bcottage","Greninja ex")</f>
        <v>Greninja ex</v>
      </c>
      <c r="D362" s="5" t="s">
        <v>228</v>
      </c>
      <c r="E362" s="5" t="s">
        <v>32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233</v>
      </c>
      <c r="C363" s="6" t="str">
        <f aca="false">HYPERLINK("https://partner.tcgplayer.com/c/6278691/1780961/21018?u=https%3A%2F%2Fwww.tcgplayer.com%2Fproduct%2F550259%3Futm_source%3Dimpact%26utm_medium%3Daffiliate%26utm_campaign%3Dpoke%2Bcottage","Cornerstone Mask Ogerpon ex")</f>
        <v>Cornerstone Mask Ogerpon ex</v>
      </c>
      <c r="D363" s="5" t="s">
        <v>228</v>
      </c>
      <c r="E363" s="5" t="s">
        <v>32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234</v>
      </c>
      <c r="C364" s="6" t="str">
        <f aca="false">HYPERLINK("https://partner.tcgplayer.com/c/6278691/1780961/21018?u=https%3A%2F%2Fwww.tcgplayer.com%2Fproduct%2F550260%3Futm_source%3Dimpact%26utm_medium%3Daffiliate%26utm_campaign%3Dpoke%2Bcottage","Bloodmoon Ursaluna ex")</f>
        <v>Bloodmoon Ursaluna ex</v>
      </c>
      <c r="D364" s="5" t="s">
        <v>228</v>
      </c>
      <c r="E364" s="5" t="s">
        <v>32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235</v>
      </c>
      <c r="C365" s="6" t="str">
        <f aca="false">HYPERLINK("https://partner.tcgplayer.com/c/6278691/1780961/21018?u=https%3A%2F%2Fwww.tcgplayer.com%2Fproduct%2F550261%3Futm_source%3Dimpact%26utm_medium%3Daffiliate%26utm_campaign%3Dpoke%2Bcottage","Carmine")</f>
        <v>Carmine</v>
      </c>
      <c r="D365" s="5" t="s">
        <v>228</v>
      </c>
      <c r="E365" s="5" t="s">
        <v>32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236</v>
      </c>
      <c r="C366" s="6" t="str">
        <f aca="false">HYPERLINK("https://partner.tcgplayer.com/c/6278691/1780961/21018?u=https%3A%2F%2Fwww.tcgplayer.com%2Fproduct%2F550262%3Futm_source%3Dimpact%26utm_medium%3Daffiliate%26utm_campaign%3Dpoke%2Bcottage","Kieran")</f>
        <v>Kieran</v>
      </c>
      <c r="D366" s="5" t="s">
        <v>228</v>
      </c>
      <c r="E366" s="5" t="s">
        <v>32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237</v>
      </c>
      <c r="C367" s="6" t="str">
        <f aca="false">HYPERLINK("https://partner.tcgplayer.com/c/6278691/1780961/21018?u=https%3A%2F%2Fwww.tcgplayer.com%2Fproduct%2F550263%3Futm_source%3Dimpact%26utm_medium%3Daffiliate%26utm_campaign%3Dpoke%2Bcottage","Lana's Aid")</f>
        <v>Lana's Aid</v>
      </c>
      <c r="D367" s="5" t="s">
        <v>228</v>
      </c>
      <c r="E367" s="5" t="s">
        <v>32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238</v>
      </c>
      <c r="C368" s="6" t="str">
        <f aca="false">HYPERLINK("https://partner.tcgplayer.com/c/6278691/1780961/21018?u=https%3A%2F%2Fwww.tcgplayer.com%2Fproduct%2F550264%3Futm_source%3Dimpact%26utm_medium%3Daffiliate%26utm_campaign%3Dpoke%2Bcottage","Perrin")</f>
        <v>Perrin</v>
      </c>
      <c r="D368" s="5" t="s">
        <v>228</v>
      </c>
      <c r="E368" s="5" t="s">
        <v>32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239</v>
      </c>
      <c r="C369" s="6" t="str">
        <f aca="false">HYPERLINK("https://partner.tcgplayer.com/c/6278691/1780961/21018?u=https%3A%2F%2Fwww.tcgplayer.com%2Fproduct%2F550265%3Futm_source%3Dimpact%26utm_medium%3Daffiliate%26utm_campaign%3Dpoke%2Bcottage","Teal Mask Ogerpon ex")</f>
        <v>Teal Mask Ogerpon ex</v>
      </c>
      <c r="D369" s="5" t="s">
        <v>240</v>
      </c>
      <c r="E369" s="5" t="s">
        <v>32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241</v>
      </c>
      <c r="C370" s="6" t="str">
        <f aca="false">HYPERLINK("https://partner.tcgplayer.com/c/6278691/1780961/21018?u=https%3A%2F%2Fwww.tcgplayer.com%2Fproduct%2F550266%3Futm_source%3Dimpact%26utm_medium%3Daffiliate%26utm_campaign%3Dpoke%2Bcottage","Bloodmoon Ursaluna ex")</f>
        <v>Bloodmoon Ursaluna ex</v>
      </c>
      <c r="D370" s="5" t="s">
        <v>240</v>
      </c>
      <c r="E370" s="5" t="s">
        <v>32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242</v>
      </c>
      <c r="C371" s="6" t="str">
        <f aca="false">HYPERLINK("https://partner.tcgplayer.com/c/6278691/1780961/21018?u=https%3A%2F%2Fwww.tcgplayer.com%2Fproduct%2F550267%3Futm_source%3Dimpact%26utm_medium%3Daffiliate%26utm_campaign%3Dpoke%2Bcottage","Buddy-Buddy Poffin")</f>
        <v>Buddy-Buddy Poffin</v>
      </c>
      <c r="D371" s="5" t="s">
        <v>240</v>
      </c>
      <c r="E371" s="5" t="s">
        <v>32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243</v>
      </c>
      <c r="C372" s="6" t="str">
        <f aca="false">HYPERLINK("https://partner.tcgplayer.com/c/6278691/1780961/21018?u=https%3A%2F%2Fwww.tcgplayer.com%2Fproduct%2F550268%3Futm_source%3Dimpact%26utm_medium%3Daffiliate%26utm_campaign%3Dpoke%2Bcottage","Enhanced Hammer")</f>
        <v>Enhanced Hammer</v>
      </c>
      <c r="D372" s="5" t="s">
        <v>240</v>
      </c>
      <c r="E372" s="5" t="s">
        <v>32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244</v>
      </c>
      <c r="C373" s="6" t="str">
        <f aca="false">HYPERLINK("https://partner.tcgplayer.com/c/6278691/1780961/21018?u=https%3A%2F%2Fwww.tcgplayer.com%2Fproduct%2F550269%3Futm_source%3Dimpact%26utm_medium%3Daffiliate%26utm_campaign%3Dpoke%2Bcottage","Rescue Board")</f>
        <v>Rescue Board</v>
      </c>
      <c r="D373" s="5" t="s">
        <v>240</v>
      </c>
      <c r="E373" s="5" t="s">
        <v>32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245</v>
      </c>
      <c r="C374" s="6" t="str">
        <f aca="false">HYPERLINK("https://partner.tcgplayer.com/c/6278691/1780961/21018?u=https%3A%2F%2Fwww.tcgplayer.com%2Fproduct%2F550270%3Futm_source%3Dimpact%26utm_medium%3Daffiliate%26utm_campaign%3Dpoke%2Bcottage","Luminous Energy")</f>
        <v>Luminous Energy</v>
      </c>
      <c r="D374" s="5" t="s">
        <v>240</v>
      </c>
      <c r="E374" s="5" t="s">
        <v>32</v>
      </c>
      <c r="F374" s="5"/>
      <c r="G374" s="5"/>
      <c r="H374" s="7"/>
    </row>
    <row r="375" customFormat="false" ht="32" hidden="false" customHeight="true" outlineLevel="0" collapsed="false">
      <c r="A375" s="1" t="s">
        <v>246</v>
      </c>
      <c r="B375" s="1"/>
      <c r="C375" s="1"/>
      <c r="D375" s="1"/>
      <c r="E375" s="1"/>
      <c r="F375" s="1"/>
      <c r="G375" s="1"/>
      <c r="H375" s="1"/>
    </row>
    <row r="376" customFormat="false" ht="30" hidden="false" customHeight="true" outlineLevel="0" collapsed="false">
      <c r="A376" s="4" t="s">
        <v>6</v>
      </c>
      <c r="B376" s="5" t="s">
        <v>247</v>
      </c>
      <c r="C376" s="6" t="str">
        <f aca="false">HYPERLINK("https://partner.tcgplayer.com/c/6278691/1780961/21018?u=https%3A%2F%2Fwww.tcgplayer.com%2Fproduct%2F551688%3Futm_source%3Dimpact%26utm_medium%3Daffiliate%26utm_campaign%3Dpoke%2Bcottage","Thwackey")</f>
        <v>Thwackey</v>
      </c>
      <c r="D376" s="5" t="s">
        <v>248</v>
      </c>
      <c r="E376" s="5"/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247</v>
      </c>
      <c r="C377" s="6" t="str">
        <f aca="false">HYPERLINK("https://partner.tcgplayer.com/c/6278691/1780961/21018?u=https%3A%2F%2Fwww.tcgplayer.com%2Fproduct%2F563315%3Futm_source%3Dimpact%26utm_medium%3Daffiliate%26utm_campaign%3Dpoke%2Bcottage","Thwackey - Staff")</f>
        <v>Thwackey - Staff</v>
      </c>
      <c r="D377" s="5" t="s">
        <v>249</v>
      </c>
      <c r="E377" s="5"/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250</v>
      </c>
      <c r="C378" s="6" t="str">
        <f aca="false">HYPERLINK("https://partner.tcgplayer.com/c/6278691/1780961/21018?u=https%3A%2F%2Fwww.tcgplayer.com%2Fproduct%2F551689%3Futm_source%3Dimpact%26utm_medium%3Daffiliate%26utm_campaign%3Dpoke%2Bcottage","Infernape")</f>
        <v>Infernape</v>
      </c>
      <c r="D378" s="5" t="s">
        <v>248</v>
      </c>
      <c r="E378" s="5"/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250</v>
      </c>
      <c r="C379" s="6" t="str">
        <f aca="false">HYPERLINK("https://partner.tcgplayer.com/c/6278691/1780961/21018?u=https%3A%2F%2Fwww.tcgplayer.com%2Fproduct%2F563316%3Futm_source%3Dimpact%26utm_medium%3Daffiliate%26utm_campaign%3Dpoke%2Bcottage","Infernape - Staff")</f>
        <v>Infernape - Staff</v>
      </c>
      <c r="D379" s="5" t="s">
        <v>249</v>
      </c>
      <c r="E379" s="5"/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251</v>
      </c>
      <c r="C380" s="6" t="str">
        <f aca="false">HYPERLINK("https://partner.tcgplayer.com/c/6278691/1780961/21018?u=https%3A%2F%2Fwww.tcgplayer.com%2Fproduct%2F551691%3Futm_source%3Dimpact%26utm_medium%3Daffiliate%26utm_campaign%3Dpoke%2Bcottage","Froslass")</f>
        <v>Froslass</v>
      </c>
      <c r="D380" s="5" t="s">
        <v>248</v>
      </c>
      <c r="E380" s="5"/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251</v>
      </c>
      <c r="C381" s="6" t="str">
        <f aca="false">HYPERLINK("https://partner.tcgplayer.com/c/6278691/1780961/21018?u=https%3A%2F%2Fwww.tcgplayer.com%2Fproduct%2F563317%3Futm_source%3Dimpact%26utm_medium%3Daffiliate%26utm_campaign%3Dpoke%2Bcottage","Froslass - Staff")</f>
        <v>Froslass - Staff</v>
      </c>
      <c r="D381" s="5" t="s">
        <v>249</v>
      </c>
      <c r="E381" s="5"/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252</v>
      </c>
      <c r="C382" s="6" t="str">
        <f aca="false">HYPERLINK("https://partner.tcgplayer.com/c/6278691/1780961/21018?u=https%3A%2F%2Fwww.tcgplayer.com%2Fproduct%2F551692%3Futm_source%3Dimpact%26utm_medium%3Daffiliate%26utm_campaign%3Dpoke%2Bcottage","Tatsugiri")</f>
        <v>Tatsugiri</v>
      </c>
      <c r="D382" s="5" t="s">
        <v>248</v>
      </c>
      <c r="E382" s="5"/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252</v>
      </c>
      <c r="C383" s="6" t="str">
        <f aca="false">HYPERLINK("https://partner.tcgplayer.com/c/6278691/1780961/21018?u=https%3A%2F%2Fwww.tcgplayer.com%2Fproduct%2F563318%3Futm_source%3Dimpact%26utm_medium%3Daffiliate%26utm_campaign%3Dpoke%2Bcottage","Tatsugiri - Staff")</f>
        <v>Tatsugiri - Staff</v>
      </c>
      <c r="D383" s="5" t="s">
        <v>249</v>
      </c>
      <c r="E383" s="5"/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253</v>
      </c>
      <c r="C384" s="6" t="str">
        <f aca="false">HYPERLINK("https://partner.tcgplayer.com/c/6278691/1780961/21018?u=https%3A%2F%2Fwww.tcgplayer.com%2Fproduct%2F554293%3Futm_source%3Dimpact%26utm_medium%3Daffiliate%26utm_campaign%3Dpoke%2Bcottage","Toxel")</f>
        <v>Toxel</v>
      </c>
      <c r="D384" s="5" t="s">
        <v>254</v>
      </c>
      <c r="E384" s="5"/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255</v>
      </c>
      <c r="C385" s="6" t="str">
        <f aca="false">HYPERLINK("https://partner.tcgplayer.com/c/6278691/1780961/21018?u=https%3A%2F%2Fwww.tcgplayer.com%2Fproduct%2F554189%3Futm_source%3Dimpact%26utm_medium%3Daffiliate%26utm_campaign%3Dpoke%2Bcottage","Pupitar")</f>
        <v>Pupitar</v>
      </c>
      <c r="D385" s="5" t="s">
        <v>254</v>
      </c>
      <c r="E385" s="5"/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256</v>
      </c>
      <c r="C386" s="6" t="str">
        <f aca="false">HYPERLINK("https://partner.tcgplayer.com/c/6278691/1780961/21018?u=https%3A%2F%2Fwww.tcgplayer.com%2Fproduct%2F554296%3Futm_source%3Dimpact%26utm_medium%3Daffiliate%26utm_campaign%3Dpoke%2Bcottage","Revavroom")</f>
        <v>Revavroom</v>
      </c>
      <c r="D386" s="5" t="s">
        <v>257</v>
      </c>
      <c r="E386" s="5"/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258</v>
      </c>
      <c r="C387" s="6" t="str">
        <f aca="false">HYPERLINK("https://partner.tcgplayer.com/c/6278691/1780961/21018?u=https%3A%2F%2Fwww.tcgplayer.com%2Fproduct%2F554297%3Futm_source%3Dimpact%26utm_medium%3Daffiliate%26utm_campaign%3Dpoke%2Bcottage","Snorlax")</f>
        <v>Snorlax</v>
      </c>
      <c r="D387" s="5" t="s">
        <v>257</v>
      </c>
      <c r="E387" s="5"/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259</v>
      </c>
      <c r="C388" s="6" t="str">
        <f aca="false">HYPERLINK("https://partner.tcgplayer.com/c/6278691/1780961/21018?u=https%3A%2F%2Fwww.tcgplayer.com%2Fproduct%2F552785%3Futm_source%3Dimpact%26utm_medium%3Daffiliate%26utm_campaign%3Dpoke%2Bcottage","Teal Mask Ogerpon")</f>
        <v>Teal Mask Ogerpon</v>
      </c>
      <c r="D388" s="5" t="s">
        <v>260</v>
      </c>
      <c r="E388" s="5"/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259</v>
      </c>
      <c r="C389" s="6" t="str">
        <f aca="false">HYPERLINK("https://partner.tcgplayer.com/c/6278691/1780961/21018?u=https%3A%2F%2Fwww.tcgplayer.com%2Fproduct%2F552786%3Futm_source%3Dimpact%26utm_medium%3Daffiliate%26utm_campaign%3Dpoke%2Bcottage","Teal Mask Ogerpon - Pokemon Center Stamp")</f>
        <v>Teal Mask Ogerpon - Pokemon Center Stamp</v>
      </c>
      <c r="D389" s="5" t="s">
        <v>261</v>
      </c>
      <c r="E389" s="5"/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262</v>
      </c>
      <c r="C390" s="6" t="str">
        <f aca="false">HYPERLINK("https://partner.tcgplayer.com/c/6278691/1780961/21018?u=https%3A%2F%2Fwww.tcgplayer.com%2Fproduct%2F556449%3Futm_source%3Dimpact%26utm_medium%3Daffiliate%26utm_campaign%3Dpoke%2Bcottage","Palafin ex")</f>
        <v>Palafin ex</v>
      </c>
      <c r="D390" s="5" t="s">
        <v>263</v>
      </c>
      <c r="E390" s="5"/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23</v>
      </c>
      <c r="C391" s="6" t="str">
        <f aca="false">HYPERLINK("https://partner.tcgplayer.com/c/6278691/1780961/21018?u=https%3A%2F%2Fwww.tcgplayer.com%2Fproduct%2F570363%3Futm_source%3Dimpact%26utm_medium%3Daffiliate%26utm_campaign%3Dpoke%2Bcottage","Phantump")</f>
        <v>Phantump</v>
      </c>
      <c r="D391" s="5" t="s">
        <v>264</v>
      </c>
      <c r="E391" s="5"/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24</v>
      </c>
      <c r="C392" s="6" t="str">
        <f aca="false">HYPERLINK("https://partner.tcgplayer.com/c/6278691/1780961/21018?u=https%3A%2F%2Fwww.tcgplayer.com%2Fproduct%2F570364%3Futm_source%3Dimpact%26utm_medium%3Daffiliate%26utm_campaign%3Dpoke%2Bcottage","Trevenant")</f>
        <v>Trevenant</v>
      </c>
      <c r="D392" s="5" t="s">
        <v>264</v>
      </c>
      <c r="E392" s="5"/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29</v>
      </c>
      <c r="C393" s="6" t="str">
        <f aca="false">HYPERLINK("https://partner.tcgplayer.com/c/6278691/1780961/21018?u=https%3A%2F%2Fwww.tcgplayer.com%2Fproduct%2F599655%3Futm_source%3Dimpact%26utm_medium%3Daffiliate%26utm_campaign%3Dpoke%2Bcottage","Dipplin")</f>
        <v>Dipplin</v>
      </c>
      <c r="D393" s="5" t="s">
        <v>265</v>
      </c>
      <c r="E393" s="5"/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34</v>
      </c>
      <c r="C394" s="6" t="str">
        <f aca="false">HYPERLINK("https://partner.tcgplayer.com/c/6278691/1780961/21018?u=https%3A%2F%2Fwww.tcgplayer.com%2Fproduct%2F570365%3Futm_source%3Dimpact%26utm_medium%3Daffiliate%26utm_campaign%3Dpoke%2Bcottage","Poltchageist")</f>
        <v>Poltchageist</v>
      </c>
      <c r="D394" s="5" t="s">
        <v>264</v>
      </c>
      <c r="E394" s="5"/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35</v>
      </c>
      <c r="C395" s="6" t="str">
        <f aca="false">HYPERLINK("https://partner.tcgplayer.com/c/6278691/1780961/21018?u=https%3A%2F%2Fwww.tcgplayer.com%2Fproduct%2F616155%3Futm_source%3Dimpact%26utm_medium%3Daffiliate%26utm_campaign%3Dpoke%2Bcottage","Sinistcha")</f>
        <v>Sinistcha</v>
      </c>
      <c r="D395" s="5" t="s">
        <v>265</v>
      </c>
      <c r="E395" s="5"/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35</v>
      </c>
      <c r="C396" s="6" t="str">
        <f aca="false">HYPERLINK("https://partner.tcgplayer.com/c/6278691/1780961/21018?u=https%3A%2F%2Fwww.tcgplayer.com%2Fproduct%2F553715%3Futm_source%3Dimpact%26utm_medium%3Daffiliate%26utm_campaign%3Dpoke%2Bcottage","Sinistcha")</f>
        <v>Sinistcha</v>
      </c>
      <c r="D396" s="5" t="s">
        <v>266</v>
      </c>
      <c r="E396" s="5"/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35</v>
      </c>
      <c r="C397" s="6" t="str">
        <f aca="false">HYPERLINK("https://partner.tcgplayer.com/c/6278691/1780961/21018?u=https%3A%2F%2Fwww.tcgplayer.com%2Fproduct%2F570462%3Futm_source%3Dimpact%26utm_medium%3Daffiliate%26utm_campaign%3Dpoke%2Bcottage","Sinistcha")</f>
        <v>Sinistcha</v>
      </c>
      <c r="D397" s="5" t="s">
        <v>264</v>
      </c>
      <c r="E397" s="5"/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38</v>
      </c>
      <c r="C398" s="5" t="s">
        <v>267</v>
      </c>
      <c r="D398" s="5" t="s">
        <v>265</v>
      </c>
      <c r="E398" s="5"/>
      <c r="F398" s="5" t="str">
        <f aca="false">HYPERLINK("https://www.ebay.com/sch/i.html?_nkw=Teal+Mask+Ogerpon+Cosmos+Holo+Twilight+Masquerade+24+pokemon+card&amp;_sacat=0&amp;_from=R40&amp;_trksid=p4624852.m570.l1313&amp;mkcid=1&amp;mkrid=711-53200-19255-0&amp;siteid=0&amp;campid=5339158445&amp;customid=pokecottage&amp;toolid=10001&amp;mkevt=1","FIND ON EBAY")</f>
        <v>FIND ON EBAY</v>
      </c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38</v>
      </c>
      <c r="C399" s="5" t="s">
        <v>267</v>
      </c>
      <c r="D399" s="5" t="s">
        <v>268</v>
      </c>
      <c r="E399" s="5"/>
      <c r="F399" s="5" t="str">
        <f aca="false">HYPERLINK("https://www.ebay.com/sch/i.html?_nkw=Teal+Mask+Ogerpon+EB+Games+Twilight+Masquerade+24+pokemon+card&amp;_sacat=0&amp;_from=R40&amp;_trksid=p4624852.m570.l1313&amp;mkcid=1&amp;mkrid=711-53200-19255-0&amp;siteid=0&amp;campid=5339158445&amp;customid=pokecottage&amp;toolid=10001&amp;mkevt=1","FIND ON EBAY")</f>
        <v>FIND ON EBAY</v>
      </c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38</v>
      </c>
      <c r="C400" s="6" t="str">
        <f aca="false">HYPERLINK("https://partner.tcgplayer.com/c/6278691/1780961/21018?u=https%3A%2F%2Fwww.tcgplayer.com%2Fproduct%2F646871%3Futm_source%3Dimpact%26utm_medium%3Daffiliate%26utm_campaign%3Dpoke%2Bcottage","Teal Mask Ogerpon")</f>
        <v>Teal Mask Ogerpon</v>
      </c>
      <c r="D400" s="5" t="s">
        <v>266</v>
      </c>
      <c r="E400" s="5"/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38</v>
      </c>
      <c r="C401" s="6" t="str">
        <f aca="false">HYPERLINK("https://partner.tcgplayer.com/c/6278691/1780961/21018?u=https%3A%2F%2Fwww.tcgplayer.com%2Fproduct%2F558552%3Futm_source%3Dimpact%26utm_medium%3Daffiliate%26utm_campaign%3Dpoke%2Bcottage","Teal Mask Ogerpon")</f>
        <v>Teal Mask Ogerpon</v>
      </c>
      <c r="D401" s="5" t="s">
        <v>269</v>
      </c>
      <c r="E401" s="5"/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38</v>
      </c>
      <c r="C402" s="6" t="str">
        <f aca="false">HYPERLINK("https://partner.tcgplayer.com/c/6278691/1780961/21018?u=https%3A%2F%2Fwww.tcgplayer.com%2Fproduct%2F570463%3Futm_source%3Dimpact%26utm_medium%3Daffiliate%26utm_campaign%3Dpoke%2Bcottage","Teal Mask Ogerpon")</f>
        <v>Teal Mask Ogerpon</v>
      </c>
      <c r="D402" s="5" t="s">
        <v>264</v>
      </c>
      <c r="E402" s="5"/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39</v>
      </c>
      <c r="C403" s="5" t="s">
        <v>270</v>
      </c>
      <c r="D403" s="5" t="s">
        <v>271</v>
      </c>
      <c r="E403" s="5"/>
      <c r="F403" s="5" t="str">
        <f aca="false">HYPERLINK("https://www.ebay.com/sch/i.html?_nkw=Teal+Mask+Ogerpon+ex+Play%21+Pokemon+Twilight+Masquerade+25+pokemon+card&amp;_sacat=0&amp;_from=R40&amp;_trksid=p4624852.m570.l1313&amp;mkcid=1&amp;mkrid=711-53200-19255-0&amp;siteid=0&amp;campid=5339158445&amp;customid=pokecottage&amp;toolid=10001&amp;mkevt=1","FIND ON EBAY")</f>
        <v>FIND ON EBAY</v>
      </c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39</v>
      </c>
      <c r="C404" s="5" t="s">
        <v>270</v>
      </c>
      <c r="D404" s="5" t="s">
        <v>272</v>
      </c>
      <c r="E404" s="5"/>
      <c r="F404" s="5" t="str">
        <f aca="false">HYPERLINK("https://www.ebay.com/sch/i.html?_nkw=Teal+Mask+Ogerpon+ex+Play%21+Pokemon+Alternate+Placement+Twilight+Masquerade+25+pokemon+card&amp;_sacat=0&amp;_from=R40&amp;_trksid=p4624852.m570.l1313&amp;mkcid=1&amp;mkrid=711-53200-19255-0&amp;siteid=0&amp;campid=5339158445&amp;customid=pokecottage&amp;toolid=10001&amp;mkevt=1","FIND ON EBAY")</f>
        <v>FIND ON EBAY</v>
      </c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39</v>
      </c>
      <c r="C405" s="6" t="str">
        <f aca="false">HYPERLINK("https://partner.tcgplayer.com/c/6278691/1780961/21018?u=https%3A%2F%2Fwww.tcgplayer.com%2Fproduct%2F637581%3Futm_source%3Dimpact%26utm_medium%3Daffiliate%26utm_campaign%3Dpoke%2Bcottage","Teal Mask Ogerpon ex")</f>
        <v>Teal Mask Ogerpon ex</v>
      </c>
      <c r="D405" s="5" t="s">
        <v>273</v>
      </c>
      <c r="E405" s="5"/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39</v>
      </c>
      <c r="C406" s="5" t="s">
        <v>270</v>
      </c>
      <c r="D406" s="5" t="s">
        <v>274</v>
      </c>
      <c r="E406" s="5"/>
      <c r="F406" s="5" t="str">
        <f aca="false">HYPERLINK("https://www.ebay.com/sch/i.html?_nkw=Teal+Mask+Ogerpon+ex+World+Championships+Deck+2025+JP+Raging+Bolt+by+Yuya+Okita+Twilight+Masquerade+25+pokemon+card&amp;_sacat=0&amp;_from=R40&amp;_trksid=p4624852.m570.l1313&amp;mkcid=1&amp;mkrid=711-53200-19255-0&amp;siteid=0&amp;campid=5339158445&amp;customid=pokecottage&amp;toolid=10001&amp;mkevt=1","FIND ON EBAY")</f>
        <v>FIND ON EBAY</v>
      </c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47</v>
      </c>
      <c r="C407" s="6" t="str">
        <f aca="false">HYPERLINK("https://partner.tcgplayer.com/c/6278691/1780961/21018?u=https%3A%2F%2Fwww.tcgplayer.com%2Fproduct%2F619131%3Futm_source%3Dimpact%26utm_medium%3Daffiliate%26utm_campaign%3Dpoke%2Bcottage","Infernape")</f>
        <v>Infernape</v>
      </c>
      <c r="D407" s="5" t="s">
        <v>271</v>
      </c>
      <c r="E407" s="5"/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47</v>
      </c>
      <c r="C408" s="6" t="str">
        <f aca="false">HYPERLINK("https://partner.tcgplayer.com/c/6278691/1780961/21018?u=https%3A%2F%2Fwww.tcgplayer.com%2Fproduct%2F551684%2Fpokemon-deck-exclusives-infernape-033-167%3Futm_source%3Dimpact%26utm_medium%3Daffiliate%26utm_campaign%3Dpoke%2Bcottage","Infernape")</f>
        <v>Infernape</v>
      </c>
      <c r="D408" s="5" t="s">
        <v>275</v>
      </c>
      <c r="E408" s="5"/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50</v>
      </c>
      <c r="C409" s="6" t="str">
        <f aca="false">HYPERLINK("https://partner.tcgplayer.com/c/6278691/1780961/21018?u=https%3A%2F%2Fwww.tcgplayer.com%2Fproduct%2F570563%3Futm_source%3Dimpact%26utm_medium%3Daffiliate%26utm_campaign%3Dpoke%2Bcottage","Litwick")</f>
        <v>Litwick</v>
      </c>
      <c r="D409" s="5" t="s">
        <v>264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51</v>
      </c>
      <c r="C410" s="6" t="str">
        <f aca="false">HYPERLINK("https://partner.tcgplayer.com/c/6278691/1780961/21018?u=https%3A%2F%2Fwww.tcgplayer.com%2Fproduct%2F570564%3Futm_source%3Dimpact%26utm_medium%3Daffiliate%26utm_campaign%3Dpoke%2Bcottage","Lampent")</f>
        <v>Lampent</v>
      </c>
      <c r="D410" s="5" t="s">
        <v>264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52</v>
      </c>
      <c r="C411" s="6" t="str">
        <f aca="false">HYPERLINK("https://partner.tcgplayer.com/c/6278691/1780961/21018?u=https%3A%2F%2Fwww.tcgplayer.com%2Fproduct%2F625238%3Futm_source%3Dimpact%26utm_medium%3Daffiliate%26utm_campaign%3Dpoke%2Bcottage","Chandelure")</f>
        <v>Chandelure</v>
      </c>
      <c r="D411" s="5" t="s">
        <v>265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52</v>
      </c>
      <c r="C412" s="6" t="str">
        <f aca="false">HYPERLINK("https://partner.tcgplayer.com/c/6278691/1780961/21018?u=https%3A%2F%2Fwww.tcgplayer.com%2Fproduct%2F570565%3Futm_source%3Dimpact%26utm_medium%3Daffiliate%26utm_campaign%3Dpoke%2Bcottage","Chandelure")</f>
        <v>Chandelure</v>
      </c>
      <c r="D412" s="5" t="s">
        <v>264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54</v>
      </c>
      <c r="C413" s="6" t="str">
        <f aca="false">HYPERLINK("https://partner.tcgplayer.com/c/6278691/1780961/21018?u=https%3A%2F%2Fwww.tcgplayer.com%2Fproduct%2F619125%3Futm_source%3Dimpact%26utm_medium%3Daffiliate%26utm_campaign%3Dpoke%2Bcottage","Hearthflame Mask Ogerpon ex")</f>
        <v>Hearthflame Mask Ogerpon ex</v>
      </c>
      <c r="D413" s="5" t="s">
        <v>271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54</v>
      </c>
      <c r="C414" s="6" t="str">
        <f aca="false">HYPERLINK("https://partner.tcgplayer.com/c/6278691/1780961/21018?u=https%3A%2F%2Fwww.tcgplayer.com%2Fproduct%2F645458%3Futm_source%3Dimpact%26utm_medium%3Daffiliate%26utm_campaign%3Dpoke%2Bcottage","Hearthflame Mask Ogerpon ex")</f>
        <v>Hearthflame Mask Ogerpon ex</v>
      </c>
      <c r="D414" s="5" t="s">
        <v>266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54</v>
      </c>
      <c r="C415" s="6" t="str">
        <f aca="false">HYPERLINK("https://partner.tcgplayer.com/c/6278691/1780961/21018?u=https%3A%2F%2Fwww.tcgplayer.com%2Fproduct%2F648459%3Futm_source%3Dimpact%26utm_medium%3Daffiliate%26utm_campaign%3Dpoke%2Bcottage","Hearthflame Mask Ogerpon ex")</f>
        <v>Hearthflame Mask Ogerpon ex</v>
      </c>
      <c r="D415" s="5" t="s">
        <v>276</v>
      </c>
      <c r="E415" s="5"/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67</v>
      </c>
      <c r="C416" s="6" t="str">
        <f aca="false">HYPERLINK("https://partner.tcgplayer.com/c/6278691/1780961/21018?u=https%3A%2F%2Fwww.tcgplayer.com%2Fproduct%2F619100%3Futm_source%3Dimpact%26utm_medium%3Daffiliate%26utm_campaign%3Dpoke%2Bcottage","Froslass")</f>
        <v>Froslass</v>
      </c>
      <c r="D416" s="5" t="s">
        <v>271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67</v>
      </c>
      <c r="C417" s="5" t="s">
        <v>277</v>
      </c>
      <c r="D417" s="5" t="s">
        <v>275</v>
      </c>
      <c r="E417" s="5"/>
      <c r="F417" s="5" t="str">
        <f aca="false">HYPERLINK("https://www.ebay.com/sch/i.html?_nkw=Froslass+Build+%26+Battle+Deck+Twilight+Masquerade+53+pokemon+card&amp;_sacat=0&amp;_from=R40&amp;_trksid=p4624852.m570.l1313&amp;mkcid=1&amp;mkrid=711-53200-19255-0&amp;siteid=0&amp;campid=5339158445&amp;customid=pokecottage&amp;toolid=10001&amp;mkevt=1","FIND ON EBAY")</f>
        <v>FIND ON EBAY</v>
      </c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73</v>
      </c>
      <c r="C418" s="6" t="str">
        <f aca="false">HYPERLINK("https://partner.tcgplayer.com/c/6278691/1780961/21018?u=https%3A%2F%2Fwww.tcgplayer.com%2Fproduct%2F560090%3Futm_source%3Dimpact%26utm_medium%3Daffiliate%26utm_campaign%3Dpoke%2Bcottage","Finizen")</f>
        <v>Finizen</v>
      </c>
      <c r="D418" s="5" t="s">
        <v>265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74</v>
      </c>
      <c r="C419" s="6" t="str">
        <f aca="false">HYPERLINK("https://partner.tcgplayer.com/c/6278691/1780961/21018?u=https%3A%2F%2Fwww.tcgplayer.com%2Fproduct%2F560091%3Futm_source%3Dimpact%26utm_medium%3Daffiliate%26utm_campaign%3Dpoke%2Bcottage","Palafin")</f>
        <v>Palafin</v>
      </c>
      <c r="D419" s="5" t="s">
        <v>265</v>
      </c>
      <c r="E419" s="5"/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76</v>
      </c>
      <c r="C420" s="6" t="str">
        <f aca="false">HYPERLINK("https://partner.tcgplayer.com/c/6278691/1780961/21018?u=https%3A%2F%2Fwww.tcgplayer.com%2Fproduct%2F565434%3Futm_source%3Dimpact%26utm_medium%3Daffiliate%26utm_campaign%3Dpoke%2Bcottage","Iron Bundle")</f>
        <v>Iron Bundle</v>
      </c>
      <c r="D420" s="5" t="s">
        <v>278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78</v>
      </c>
      <c r="C421" s="6" t="str">
        <f aca="false">HYPERLINK("https://partner.tcgplayer.com/c/6278691/1780961/21018?u=https%3A%2F%2Fwww.tcgplayer.com%2Fproduct%2F619175%3Futm_source%3Dimpact%26utm_medium%3Daffiliate%26utm_campaign%3Dpoke%2Bcottage","Wellspring Mask Ogerpon ex")</f>
        <v>Wellspring Mask Ogerpon ex</v>
      </c>
      <c r="D421" s="5" t="s">
        <v>271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78</v>
      </c>
      <c r="C422" s="6" t="str">
        <f aca="false">HYPERLINK("https://partner.tcgplayer.com/c/6278691/1780961/21018?u=https%3A%2F%2Fwww.tcgplayer.com%2Fproduct%2F645415%3Futm_source%3Dimpact%26utm_medium%3Daffiliate%26utm_campaign%3Dpoke%2Bcottage","Wellspring Mask Ogerpon ex")</f>
        <v>Wellspring Mask Ogerpon ex</v>
      </c>
      <c r="D422" s="5" t="s">
        <v>266</v>
      </c>
      <c r="E422" s="5"/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82</v>
      </c>
      <c r="C423" s="6" t="str">
        <f aca="false">HYPERLINK("https://partner.tcgplayer.com/c/6278691/1780961/21018?u=https%3A%2F%2Fwww.tcgplayer.com%2Fproduct%2F599965%3Futm_source%3Dimpact%26utm_medium%3Daffiliate%26utm_campaign%3Dpoke%2Bcottage","Luxray ex")</f>
        <v>Luxray ex</v>
      </c>
      <c r="D423" s="5" t="s">
        <v>279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86</v>
      </c>
      <c r="C424" s="6" t="str">
        <f aca="false">HYPERLINK("https://partner.tcgplayer.com/c/6278691/1780961/21018?u=https%3A%2F%2Fwww.tcgplayer.com%2Fproduct%2F619142%3Futm_source%3Dimpact%26utm_medium%3Daffiliate%26utm_campaign%3Dpoke%2Bcottage","Morpeko")</f>
        <v>Morpeko</v>
      </c>
      <c r="D424" s="5" t="s">
        <v>271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91</v>
      </c>
      <c r="C425" s="6" t="str">
        <f aca="false">HYPERLINK("https://partner.tcgplayer.com/c/6278691/1780961/21018?u=https%3A%2F%2Fwww.tcgplayer.com%2Fproduct%2F619133%3Futm_source%3Dimpact%26utm_medium%3Daffiliate%26utm_campaign%3Dpoke%2Bcottage","Iron Thorns ex")</f>
        <v>Iron Thorns ex</v>
      </c>
      <c r="D425" s="5" t="s">
        <v>271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91</v>
      </c>
      <c r="C426" s="5" t="s">
        <v>280</v>
      </c>
      <c r="D426" s="5" t="s">
        <v>281</v>
      </c>
      <c r="E426" s="5"/>
      <c r="F426" s="5" t="str">
        <f aca="false">HYPERLINK("https://www.ebay.com/sch/i.html?_nkw=Iron+Thorns+ex+Pokemon+TCG+Gym+Twilight+Masquerade+77+pokemon+card&amp;_sacat=0&amp;_from=R40&amp;_trksid=p4624852.m570.l1313&amp;mkcid=1&amp;mkrid=711-53200-19255-0&amp;siteid=0&amp;campid=5339158445&amp;customid=pokecottage&amp;toolid=10001&amp;mkevt=1","FIND ON EBAY")</f>
        <v>FIND ON EBAY</v>
      </c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91</v>
      </c>
      <c r="C427" s="6" t="str">
        <f aca="false">HYPERLINK("https://partner.tcgplayer.com/c/6278691/1780961/21018?u=https%3A%2F%2Fwww.tcgplayer.com%2Fproduct%2F637584%3Futm_source%3Dimpact%26utm_medium%3Daffiliate%26utm_campaign%3Dpoke%2Bcottage","Iron Thorns ex")</f>
        <v>Iron Thorns ex</v>
      </c>
      <c r="D427" s="5" t="s">
        <v>282</v>
      </c>
      <c r="E427" s="5"/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91</v>
      </c>
      <c r="C428" s="6" t="str">
        <f aca="false">HYPERLINK("https://partner.tcgplayer.com/c/6278691/1780961/21018?u=https%3A%2F%2Fwww.tcgplayer.com%2Fproduct%2F642093%3Futm_source%3Dimpact%26utm_medium%3Daffiliate%26utm_campaign%3Dpoke%2Bcottage","Iron Thorns ex")</f>
        <v>Iron Thorns ex</v>
      </c>
      <c r="D428" s="5" t="s">
        <v>283</v>
      </c>
      <c r="E428" s="5"/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96</v>
      </c>
      <c r="C429" s="6" t="str">
        <f aca="false">HYPERLINK("https://partner.tcgplayer.com/c/6278691/1780961/21018?u=https%3A%2F%2Fwww.tcgplayer.com%2Fproduct%2F620227%3Futm_source%3Dimpact%26utm_medium%3Daffiliate%26utm_campaign%3Dpoke%2Bcottage","Alakazam")</f>
        <v>Alakazam</v>
      </c>
      <c r="D429" s="5" t="s">
        <v>265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98</v>
      </c>
      <c r="C430" s="6" t="str">
        <f aca="false">HYPERLINK("https://partner.tcgplayer.com/c/6278691/1780961/21018?u=https%3A%2F%2Fwww.tcgplayer.com%2Fproduct%2F619093%3Futm_source%3Dimpact%26utm_medium%3Daffiliate%26utm_campaign%3Dpoke%2Bcottage","Farigiraf")</f>
        <v>Farigiraf</v>
      </c>
      <c r="D430" s="5" t="s">
        <v>271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109</v>
      </c>
      <c r="C431" s="6" t="str">
        <f aca="false">HYPERLINK("https://partner.tcgplayer.com/c/6278691/1780961/21018?u=https%3A%2F%2Fwww.tcgplayer.com%2Fproduct%2F619143%3Futm_source%3Dimpact%26utm_medium%3Daffiliate%26utm_campaign%3Dpoke%2Bcottage","Munkidori")</f>
        <v>Munkidori</v>
      </c>
      <c r="D431" s="5" t="s">
        <v>271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109</v>
      </c>
      <c r="C432" s="5" t="s">
        <v>284</v>
      </c>
      <c r="D432" s="5" t="s">
        <v>275</v>
      </c>
      <c r="E432" s="5"/>
      <c r="F432" s="5" t="str">
        <f aca="false">HYPERLINK("https://www.ebay.com/sch/i.html?_nkw=Munkidori+Build+%26+Battle+Deck+Twilight+Masquerade+95+pokemon+card&amp;_sacat=0&amp;_from=R40&amp;_trksid=p4624852.m570.l1313&amp;mkcid=1&amp;mkrid=711-53200-19255-0&amp;siteid=0&amp;campid=5339158445&amp;customid=pokecottage&amp;toolid=10001&amp;mkevt=1","FIND ON EBAY")</f>
        <v>FIND ON EBAY</v>
      </c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109</v>
      </c>
      <c r="C433" s="5" t="s">
        <v>284</v>
      </c>
      <c r="D433" s="5" t="s">
        <v>281</v>
      </c>
      <c r="E433" s="5"/>
      <c r="F433" s="5" t="str">
        <f aca="false">HYPERLINK("https://www.ebay.com/sch/i.html?_nkw=Munkidori+Pokemon+TCG+Gym+Twilight+Masquerade+95+pokemon+card&amp;_sacat=0&amp;_from=R40&amp;_trksid=p4624852.m570.l1313&amp;mkcid=1&amp;mkrid=711-53200-19255-0&amp;siteid=0&amp;campid=5339158445&amp;customid=pokecottage&amp;toolid=10001&amp;mkevt=1","FIND ON EBAY")</f>
        <v>FIND ON EBAY</v>
      </c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109</v>
      </c>
      <c r="C434" s="6" t="str">
        <f aca="false">HYPERLINK("https://partner.tcgplayer.com/c/6278691/1780961/21018?u=https%3A%2F%2Fwww.tcgplayer.com%2Fproduct%2F570567%3Futm_source%3Dimpact%26utm_medium%3Daffiliate%26utm_campaign%3Dpoke%2Bcottage","Munkidori")</f>
        <v>Munkidori</v>
      </c>
      <c r="D434" s="5" t="s">
        <v>264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109</v>
      </c>
      <c r="C435" s="5" t="s">
        <v>284</v>
      </c>
      <c r="D435" s="5" t="s">
        <v>285</v>
      </c>
      <c r="E435" s="5"/>
      <c r="F435" s="5" t="str">
        <f aca="false">HYPERLINK("https://www.ebay.com/sch/i.html?_nkw=Munkidori+World+Championships+Deck+2025+Flutter+Devo+Gardevoir+by+Riley+McKay+Twilight+Masquerade+95+pokemon+card&amp;_sacat=0&amp;_from=R40&amp;_trksid=p4624852.m570.l1313&amp;mkcid=1&amp;mkrid=711-53200-19255-0&amp;siteid=0&amp;campid=5339158445&amp;customid=pokecottage&amp;toolid=10001&amp;mkevt=1","FIND ON EBAY")</f>
        <v>FIND ON EBAY</v>
      </c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109</v>
      </c>
      <c r="C436" s="5" t="s">
        <v>284</v>
      </c>
      <c r="D436" s="5" t="s">
        <v>286</v>
      </c>
      <c r="E436" s="5"/>
      <c r="F436" s="5" t="str">
        <f aca="false">HYPERLINK("https://www.ebay.com/sch/i.html?_nkw=Munkidori+World+Championships+Deck+2025+Pult+Bomb+by+Jose+Cruz+Galindo-Resendiz+Twilight+Masquerade+95+pokemon+card&amp;_sacat=0&amp;_from=R40&amp;_trksid=p4624852.m570.l1313&amp;mkcid=1&amp;mkrid=711-53200-19255-0&amp;siteid=0&amp;campid=5339158445&amp;customid=pokecottage&amp;toolid=10001&amp;mkevt=1","FIND ON EBAY")</f>
        <v>FIND ON EBAY</v>
      </c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110</v>
      </c>
      <c r="C437" s="6" t="str">
        <f aca="false">HYPERLINK("https://partner.tcgplayer.com/c/6278691/1780961/21018?u=https%3A%2F%2Fwww.tcgplayer.com%2Fproduct%2F619096%3Futm_source%3Dimpact%26utm_medium%3Daffiliate%26utm_campaign%3Dpoke%2Bcottage","Fezandipiti")</f>
        <v>Fezandipiti</v>
      </c>
      <c r="D437" s="5" t="s">
        <v>271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110</v>
      </c>
      <c r="C438" s="5" t="s">
        <v>287</v>
      </c>
      <c r="D438" s="5" t="s">
        <v>275</v>
      </c>
      <c r="E438" s="5"/>
      <c r="F438" s="5" t="str">
        <f aca="false">HYPERLINK("https://www.ebay.com/sch/i.html?_nkw=Fezandipiti+Build+%26+Battle+Deck+Twilight+Masquerade+96+pokemon+card&amp;_sacat=0&amp;_from=R40&amp;_trksid=p4624852.m570.l1313&amp;mkcid=1&amp;mkrid=711-53200-19255-0&amp;siteid=0&amp;campid=5339158445&amp;customid=pokecottage&amp;toolid=10001&amp;mkevt=1","FIND ON EBAY")</f>
        <v>FIND ON EBAY</v>
      </c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110</v>
      </c>
      <c r="C439" s="6" t="str">
        <f aca="false">HYPERLINK("https://partner.tcgplayer.com/c/6278691/1780961/21018?u=https%3A%2F%2Fwww.tcgplayer.com%2Fproduct%2F570568%3Futm_source%3Dimpact%26utm_medium%3Daffiliate%26utm_campaign%3Dpoke%2Bcottage","Fezandipiti")</f>
        <v>Fezandipiti</v>
      </c>
      <c r="D439" s="5" t="s">
        <v>264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114</v>
      </c>
      <c r="C440" s="5" t="s">
        <v>288</v>
      </c>
      <c r="D440" s="5" t="s">
        <v>265</v>
      </c>
      <c r="E440" s="5"/>
      <c r="F440" s="5" t="str">
        <f aca="false">HYPERLINK("https://www.ebay.com/sch/i.html?_nkw=Hisuian+Arcanine+Cosmos+Holo+Twilight+Masquerade+100+pokemon+card&amp;_sacat=0&amp;_from=R40&amp;_trksid=p4624852.m570.l1313&amp;mkcid=1&amp;mkrid=711-53200-19255-0&amp;siteid=0&amp;campid=5339158445&amp;customid=pokecottage&amp;toolid=10001&amp;mkevt=1","FIND ON EBAY")</f>
        <v>FIND ON EBAY</v>
      </c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114</v>
      </c>
      <c r="C441" s="5" t="s">
        <v>288</v>
      </c>
      <c r="D441" s="5" t="s">
        <v>289</v>
      </c>
      <c r="E441" s="5"/>
      <c r="F441" s="5" t="str">
        <f aca="false">HYPERLINK("https://www.ebay.com/sch/i.html?_nkw=Hisuian+Arcanine+Q2+2026+League+Kit+Twilight+Masquerade+100+pokemon+card&amp;_sacat=0&amp;_from=R40&amp;_trksid=p4624852.m570.l1313&amp;mkcid=1&amp;mkrid=711-53200-19255-0&amp;siteid=0&amp;campid=5339158445&amp;customid=pokecottage&amp;toolid=10001&amp;mkevt=1","FIND ON EBAY")</f>
        <v>FIND ON EBAY</v>
      </c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119</v>
      </c>
      <c r="C442" s="6" t="str">
        <f aca="false">HYPERLINK("https://partner.tcgplayer.com/c/6278691/1780961/21018?u=https%3A%2F%2Fwww.tcgplayer.com%2Fproduct%2F648337%3Futm_source%3Dimpact%26utm_medium%3Daffiliate%26utm_campaign%3Dpoke%2Bcottage","Conkeldurr")</f>
        <v>Conkeldurr</v>
      </c>
      <c r="D442" s="5" t="s">
        <v>290</v>
      </c>
      <c r="E442" s="5"/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120</v>
      </c>
      <c r="C443" s="6" t="str">
        <f aca="false">HYPERLINK("https://partner.tcgplayer.com/c/6278691/1780961/21018?u=https%3A%2F%2Fwww.tcgplayer.com%2Fproduct%2F648648%3Futm_source%3Dimpact%26utm_medium%3Daffiliate%26utm_campaign%3Dpoke%2Bcottage","Greninja ex")</f>
        <v>Greninja ex</v>
      </c>
      <c r="D443" s="5" t="s">
        <v>271</v>
      </c>
      <c r="E443" s="5"/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120</v>
      </c>
      <c r="C444" s="5" t="s">
        <v>291</v>
      </c>
      <c r="D444" s="5" t="s">
        <v>292</v>
      </c>
      <c r="E444" s="5"/>
      <c r="F444" s="5" t="str">
        <f aca="false">HYPERLINK("https://www.ebay.com/sch/i.html?_nkw=Greninja+ex+Metal+Card+Twilight+Masquerade+106+pokemon+card&amp;_sacat=0&amp;_from=R40&amp;_trksid=p4624852.m570.l1313&amp;mkcid=1&amp;mkrid=711-53200-19255-0&amp;siteid=0&amp;campid=5339158445&amp;customid=pokecottage&amp;toolid=10001&amp;mkevt=1","FIND ON EBAY")</f>
        <v>FIND ON EBAY</v>
      </c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125</v>
      </c>
      <c r="C445" s="6" t="str">
        <f aca="false">HYPERLINK("https://partner.tcgplayer.com/c/6278691/1780961/21018?u=https%3A%2F%2Fwww.tcgplayer.com%2Fproduct%2F619153%3Futm_source%3Dimpact%26utm_medium%3Daffiliate%26utm_campaign%3Dpoke%2Bcottage","Okidogi")</f>
        <v>Okidogi</v>
      </c>
      <c r="D445" s="5" t="s">
        <v>271</v>
      </c>
      <c r="E445" s="5"/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125</v>
      </c>
      <c r="C446" s="5" t="s">
        <v>293</v>
      </c>
      <c r="D446" s="5" t="s">
        <v>275</v>
      </c>
      <c r="E446" s="5"/>
      <c r="F446" s="5" t="str">
        <f aca="false">HYPERLINK("https://www.ebay.com/sch/i.html?_nkw=Okidogi+Build+%26+Battle+Deck+Twilight+Masquerade+111+pokemon+card&amp;_sacat=0&amp;_from=R40&amp;_trksid=p4624852.m570.l1313&amp;mkcid=1&amp;mkrid=711-53200-19255-0&amp;siteid=0&amp;campid=5339158445&amp;customid=pokecottage&amp;toolid=10001&amp;mkevt=1","FIND ON EBAY")</f>
        <v>FIND ON EBAY</v>
      </c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125</v>
      </c>
      <c r="C447" s="6" t="str">
        <f aca="false">HYPERLINK("https://partner.tcgplayer.com/c/6278691/1780961/21018?u=https%3A%2F%2Fwww.tcgplayer.com%2Fproduct%2F570569%3Futm_source%3Dimpact%26utm_medium%3Daffiliate%26utm_campaign%3Dpoke%2Bcottage","Okidogi")</f>
        <v>Okidogi</v>
      </c>
      <c r="D447" s="5" t="s">
        <v>264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126</v>
      </c>
      <c r="C448" s="6" t="str">
        <f aca="false">HYPERLINK("https://partner.tcgplayer.com/c/6278691/1780961/21018?u=https%3A%2F%2Fwww.tcgplayer.com%2Fproduct%2F619076%3Futm_source%3Dimpact%26utm_medium%3Daffiliate%26utm_campaign%3Dpoke%2Bcottage","Cornerstone Mask Ogerpon ex")</f>
        <v>Cornerstone Mask Ogerpon ex</v>
      </c>
      <c r="D448" s="5" t="s">
        <v>271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137</v>
      </c>
      <c r="C449" s="6" t="str">
        <f aca="false">HYPERLINK("https://partner.tcgplayer.com/c/6278691/1780961/21018?u=https%3A%2F%2Fwww.tcgplayer.com%2Fproduct%2F619126%3Futm_source%3Dimpact%26utm_medium%3Daffiliate%26utm_campaign%3Dpoke%2Bcottage","Heatran")</f>
        <v>Heatran</v>
      </c>
      <c r="D449" s="5" t="s">
        <v>290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142</v>
      </c>
      <c r="C450" s="5" t="s">
        <v>294</v>
      </c>
      <c r="D450" s="5" t="s">
        <v>286</v>
      </c>
      <c r="E450" s="5"/>
      <c r="F450" s="5" t="str">
        <f aca="false">HYPERLINK("https://www.ebay.com/sch/i.html?_nkw=Dreepy+World+Championships+Deck+2025+Pult+Bomb+by+Jose+Cruz+Galindo-Resendiz+Twilight+Masquerade+128+pokemon+card&amp;_sacat=0&amp;_from=R40&amp;_trksid=p4624852.m570.l1313&amp;mkcid=1&amp;mkrid=711-53200-19255-0&amp;siteid=0&amp;campid=5339158445&amp;customid=pokecottage&amp;toolid=10001&amp;mkevt=1","FIND ON EBAY")</f>
        <v>FIND ON EBAY</v>
      </c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143</v>
      </c>
      <c r="C451" s="5" t="s">
        <v>295</v>
      </c>
      <c r="D451" s="5" t="s">
        <v>296</v>
      </c>
      <c r="E451" s="5"/>
      <c r="F451" s="5" t="str">
        <f aca="false">HYPERLINK("https://www.ebay.com/sch/i.html?_nkw=Drakloak+Play%21+Pokemon+Mirror+Holo+Twilight+Masquerade+129+pokemon+card&amp;_sacat=0&amp;_from=R40&amp;_trksid=p4624852.m570.l1313&amp;mkcid=1&amp;mkrid=711-53200-19255-0&amp;siteid=0&amp;campid=5339158445&amp;customid=pokecottage&amp;toolid=10001&amp;mkevt=1","FIND ON EBAY")</f>
        <v>FIND ON EBAY</v>
      </c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143</v>
      </c>
      <c r="C452" s="5" t="s">
        <v>295</v>
      </c>
      <c r="D452" s="5" t="s">
        <v>290</v>
      </c>
      <c r="E452" s="5"/>
      <c r="F452" s="5" t="str">
        <f aca="false">HYPERLINK("https://www.ebay.com/sch/i.html?_nkw=Drakloak+Play%21+Pokemon+Cosmos+Holo+Twilight+Masquerade+129+pokemon+card&amp;_sacat=0&amp;_from=R40&amp;_trksid=p4624852.m570.l1313&amp;mkcid=1&amp;mkrid=711-53200-19255-0&amp;siteid=0&amp;campid=5339158445&amp;customid=pokecottage&amp;toolid=10001&amp;mkevt=1","FIND ON EBAY")</f>
        <v>FIND ON EBAY</v>
      </c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143</v>
      </c>
      <c r="C453" s="5" t="s">
        <v>295</v>
      </c>
      <c r="D453" s="5" t="s">
        <v>286</v>
      </c>
      <c r="E453" s="5"/>
      <c r="F453" s="5" t="str">
        <f aca="false">HYPERLINK("https://www.ebay.com/sch/i.html?_nkw=Drakloak+World+Championships+Deck+2025+Pult+Bomb+by+Jose+Cruz+Galindo-Resendiz+Twilight+Masquerade+129+pokemon+card&amp;_sacat=0&amp;_from=R40&amp;_trksid=p4624852.m570.l1313&amp;mkcid=1&amp;mkrid=711-53200-19255-0&amp;siteid=0&amp;campid=5339158445&amp;customid=pokecottage&amp;toolid=10001&amp;mkevt=1","FIND ON EBAY")</f>
        <v>FIND ON EBAY</v>
      </c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144</v>
      </c>
      <c r="C454" s="6" t="str">
        <f aca="false">HYPERLINK("https://partner.tcgplayer.com/c/6278691/1780961/21018?u=https%3A%2F%2Fwww.tcgplayer.com%2Fproduct%2F619078%3Futm_source%3Dimpact%26utm_medium%3Daffiliate%26utm_campaign%3Dpoke%2Bcottage","Dragapult ex")</f>
        <v>Dragapult ex</v>
      </c>
      <c r="D454" s="5" t="s">
        <v>271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144</v>
      </c>
      <c r="C455" s="6" t="str">
        <f aca="false">HYPERLINK("https://partner.tcgplayer.com/c/6278691/1780961/21018?u=https%3A%2F%2Fwww.tcgplayer.com%2Fproduct%2F637582%3Futm_source%3Dimpact%26utm_medium%3Daffiliate%26utm_campaign%3Dpoke%2Bcottage","Dragapult ex")</f>
        <v>Dragapult ex</v>
      </c>
      <c r="D455" s="5" t="s">
        <v>273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144</v>
      </c>
      <c r="C456" s="6" t="str">
        <f aca="false">HYPERLINK("https://partner.tcgplayer.com/c/6278691/1780961/21018?u=https%3A%2F%2Fwww.tcgplayer.com%2Fproduct%2F690480%3Futm_source%3Dimpact%26utm_medium%3Daffiliate%26utm_campaign%3Dpoke%2Bcottage","Dragapult ex")</f>
        <v>Dragapult ex</v>
      </c>
      <c r="D456" s="5" t="s">
        <v>286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144</v>
      </c>
      <c r="C457" s="5" t="s">
        <v>297</v>
      </c>
      <c r="D457" s="5" t="s">
        <v>298</v>
      </c>
      <c r="E457" s="5"/>
      <c r="F457" s="5" t="str">
        <f aca="false">HYPERLINK("https://www.ebay.com/sch/i.html?_nkw=Dragapult+ex+World+Championships+Deck+2025+Pult+Bomb+by+Jose+Cruz+Galindo-Resendiz+Gold+Signature+Twilight+Masquerade+130+pokemon+card&amp;_sacat=0&amp;_from=R40&amp;_trksid=p4624852.m570.l1313&amp;mkcid=1&amp;mkrid=711-53200-19255-0&amp;siteid=0&amp;campid=5339158445&amp;customid=pokecottage&amp;toolid=10001&amp;mkevt=1","FIND ON EBAY")</f>
        <v>FIND ON EBAY</v>
      </c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145</v>
      </c>
      <c r="C458" s="6" t="str">
        <f aca="false">HYPERLINK("https://partner.tcgplayer.com/c/6278691/1780961/21018?u=https%3A%2F%2Fwww.tcgplayer.com%2Fproduct%2F619165%3Futm_source%3Dimpact%26utm_medium%3Daffiliate%26utm_campaign%3Dpoke%2Bcottage","Tatsugiri")</f>
        <v>Tatsugiri</v>
      </c>
      <c r="D458" s="5" t="s">
        <v>271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148</v>
      </c>
      <c r="C459" s="6" t="str">
        <f aca="false">HYPERLINK("https://partner.tcgplayer.com/c/6278691/1780961/21018?u=https%3A%2F%2Fwww.tcgplayer.com%2Fproduct%2F648323%3Futm_source%3Dimpact%26utm_medium%3Daffiliate%26utm_campaign%3Dpoke%2Bcottage","Blissey ex")</f>
        <v>Blissey ex</v>
      </c>
      <c r="D459" s="5" t="s">
        <v>271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148</v>
      </c>
      <c r="C460" s="6" t="str">
        <f aca="false">HYPERLINK("https://partner.tcgplayer.com/c/6278691/1780961/21018?u=https%3A%2F%2Fwww.tcgplayer.com%2Fproduct%2F664088%3Futm_source%3Dimpact%26utm_medium%3Daffiliate%26utm_campaign%3Dpoke%2Bcottage","Blissey ex")</f>
        <v>Blissey ex</v>
      </c>
      <c r="D460" s="5" t="s">
        <v>266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155</v>
      </c>
      <c r="C461" s="6" t="str">
        <f aca="false">HYPERLINK("https://partner.tcgplayer.com/c/6278691/1780961/21018?u=https%3A%2F%2Fwww.tcgplayer.com%2Fproduct%2F619066%3Futm_source%3Dimpact%26utm_medium%3Daffiliate%26utm_campaign%3Dpoke%2Bcottage","Bloodmoon Ursaluna ex")</f>
        <v>Bloodmoon Ursaluna ex</v>
      </c>
      <c r="D461" s="5" t="s">
        <v>271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155</v>
      </c>
      <c r="C462" s="5" t="s">
        <v>299</v>
      </c>
      <c r="D462" s="5" t="s">
        <v>281</v>
      </c>
      <c r="E462" s="5"/>
      <c r="F462" s="5" t="str">
        <f aca="false">HYPERLINK("https://www.ebay.com/sch/i.html?_nkw=Bloodmoon+Ursaluna+ex+Pokemon+TCG+Gym+Twilight+Masquerade+141+pokemon+card&amp;_sacat=0&amp;_from=R40&amp;_trksid=p4624852.m570.l1313&amp;mkcid=1&amp;mkrid=711-53200-19255-0&amp;siteid=0&amp;campid=5339158445&amp;customid=pokecottage&amp;toolid=10001&amp;mkevt=1","FIND ON EBAY")</f>
        <v>FIND ON EBAY</v>
      </c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155</v>
      </c>
      <c r="C463" s="6" t="str">
        <f aca="false">HYPERLINK("https://partner.tcgplayer.com/c/6278691/1780961/21018?u=https%3A%2F%2Fwww.tcgplayer.com%2Fproduct%2F637583%3Futm_source%3Dimpact%26utm_medium%3Daffiliate%26utm_campaign%3Dpoke%2Bcottage","Bloodmoon Ursaluna ex")</f>
        <v>Bloodmoon Ursaluna ex</v>
      </c>
      <c r="D463" s="5" t="s">
        <v>300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157</v>
      </c>
      <c r="C464" s="5" t="s">
        <v>301</v>
      </c>
      <c r="D464" s="5" t="s">
        <v>271</v>
      </c>
      <c r="E464" s="5"/>
      <c r="F464" s="5" t="str">
        <f aca="false">HYPERLINK("https://www.ebay.com/sch/i.html?_nkw=Bug+Catching+Set+Play%21+Pokemon+Twilight+Masquerade+143+pokemon+card&amp;_sacat=0&amp;_from=R40&amp;_trksid=p4624852.m570.l1313&amp;mkcid=1&amp;mkrid=711-53200-19255-0&amp;siteid=0&amp;campid=5339158445&amp;customid=pokecottage&amp;toolid=10001&amp;mkevt=1","FIND ON EBAY")</f>
        <v>FIND ON EBAY</v>
      </c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157</v>
      </c>
      <c r="C465" s="5" t="s">
        <v>301</v>
      </c>
      <c r="D465" s="5" t="s">
        <v>272</v>
      </c>
      <c r="E465" s="5"/>
      <c r="F465" s="5" t="str">
        <f aca="false">HYPERLINK("https://www.ebay.com/sch/i.html?_nkw=Bug+Catching+Set+Play%21+Pokemon+Alternate+Placement+Twilight+Masquerade+143+pokemon+card&amp;_sacat=0&amp;_from=R40&amp;_trksid=p4624852.m570.l1313&amp;mkcid=1&amp;mkrid=711-53200-19255-0&amp;siteid=0&amp;campid=5339158445&amp;customid=pokecottage&amp;toolid=10001&amp;mkevt=1","FIND ON EBAY")</f>
        <v>FIND ON EBAY</v>
      </c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157</v>
      </c>
      <c r="C466" s="5" t="s">
        <v>301</v>
      </c>
      <c r="D466" s="5" t="s">
        <v>281</v>
      </c>
      <c r="E466" s="5"/>
      <c r="F466" s="5" t="str">
        <f aca="false">HYPERLINK("https://www.ebay.com/sch/i.html?_nkw=Bug+Catching+Set+Pokemon+TCG+Gym+Twilight+Masquerade+143+pokemon+card&amp;_sacat=0&amp;_from=R40&amp;_trksid=p4624852.m570.l1313&amp;mkcid=1&amp;mkrid=711-53200-19255-0&amp;siteid=0&amp;campid=5339158445&amp;customid=pokecottage&amp;toolid=10001&amp;mkevt=1","FIND ON EBAY")</f>
        <v>FIND ON EBAY</v>
      </c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159</v>
      </c>
      <c r="C467" s="6" t="str">
        <f aca="false">HYPERLINK("https://partner.tcgplayer.com/c/6278691/1780961/21018?u=https%3A%2F%2Fwww.tcgplayer.com%2Fproduct%2F615010%3Futm_source%3Dimpact%26utm_medium%3Daffiliate%26utm_campaign%3Dpoke%2Bcottage","Carmine")</f>
        <v>Carmine</v>
      </c>
      <c r="D467" s="5" t="s">
        <v>302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159</v>
      </c>
      <c r="C468" s="5" t="s">
        <v>303</v>
      </c>
      <c r="D468" s="5" t="s">
        <v>304</v>
      </c>
      <c r="E468" s="5"/>
      <c r="F468" s="5" t="str">
        <f aca="false">HYPERLINK("https://www.ebay.com/sch/i.html?_nkw=Carmine+Regional+Championships+Staff+Twilight+Masquerade+145+pokemon+card&amp;_sacat=0&amp;_from=R40&amp;_trksid=p4624852.m570.l1313&amp;mkcid=1&amp;mkrid=711-53200-19255-0&amp;siteid=0&amp;campid=5339158445&amp;customid=pokecottage&amp;toolid=10001&amp;mkevt=1","FIND ON EBAY")</f>
        <v>FIND ON EBAY</v>
      </c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159</v>
      </c>
      <c r="C469" s="5" t="s">
        <v>303</v>
      </c>
      <c r="D469" s="5" t="s">
        <v>271</v>
      </c>
      <c r="E469" s="5"/>
      <c r="F469" s="5" t="str">
        <f aca="false">HYPERLINK("https://www.ebay.com/sch/i.html?_nkw=Carmine+Play%21+Pokemon+Twilight+Masquerade+145+pokemon+card&amp;_sacat=0&amp;_from=R40&amp;_trksid=p4624852.m570.l1313&amp;mkcid=1&amp;mkrid=711-53200-19255-0&amp;siteid=0&amp;campid=5339158445&amp;customid=pokecottage&amp;toolid=10001&amp;mkevt=1","FIND ON EBAY")</f>
        <v>FIND ON EBAY</v>
      </c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160</v>
      </c>
      <c r="C470" s="5" t="s">
        <v>305</v>
      </c>
      <c r="D470" s="5" t="s">
        <v>306</v>
      </c>
      <c r="E470" s="5"/>
      <c r="F470" s="5" t="str">
        <f aca="false">HYPERLINK("https://www.ebay.com/sch/i.html?_nkw=Community+Center+Professor+Program+Twilight+Masquerade+146+pokemon+card&amp;_sacat=0&amp;_from=R40&amp;_trksid=p4624852.m570.l1313&amp;mkcid=1&amp;mkrid=711-53200-19255-0&amp;siteid=0&amp;campid=5339158445&amp;customid=pokecottage&amp;toolid=10001&amp;mkevt=1","FIND ON EBAY")</f>
        <v>FIND ON EBAY</v>
      </c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160</v>
      </c>
      <c r="C471" s="5" t="s">
        <v>305</v>
      </c>
      <c r="D471" s="5" t="s">
        <v>307</v>
      </c>
      <c r="E471" s="5"/>
      <c r="F471" s="5" t="str">
        <f aca="false">HYPERLINK("https://www.ebay.com/sch/i.html?_nkw=Community+Center+Professor+Program+Champion+Twilight+Masquerade+146+pokemon+card&amp;_sacat=0&amp;_from=R40&amp;_trksid=p4624852.m570.l1313&amp;mkcid=1&amp;mkrid=711-53200-19255-0&amp;siteid=0&amp;campid=5339158445&amp;customid=pokecottage&amp;toolid=10001&amp;mkevt=1","FIND ON EBAY")</f>
        <v>FIND ON EBAY</v>
      </c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160</v>
      </c>
      <c r="C472" s="5" t="s">
        <v>305</v>
      </c>
      <c r="D472" s="5" t="s">
        <v>308</v>
      </c>
      <c r="E472" s="5"/>
      <c r="F472" s="5" t="str">
        <f aca="false">HYPERLINK("https://www.ebay.com/sch/i.html?_nkw=Community+Center+Professor+Program+Staff+Twilight+Masquerade+146+pokemon+card&amp;_sacat=0&amp;_from=R40&amp;_trksid=p4624852.m570.l1313&amp;mkcid=1&amp;mkrid=711-53200-19255-0&amp;siteid=0&amp;campid=5339158445&amp;customid=pokecottage&amp;toolid=10001&amp;mkevt=1","FIND ON EBAY")</f>
        <v>FIND ON EBAY</v>
      </c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160</v>
      </c>
      <c r="C473" s="5" t="s">
        <v>305</v>
      </c>
      <c r="D473" s="5" t="s">
        <v>309</v>
      </c>
      <c r="E473" s="5"/>
      <c r="F473" s="5" t="str">
        <f aca="false">HYPERLINK("https://www.ebay.com/sch/i.html?_nkw=Community+Center+Professor+Program+Top+4+Twilight+Masquerade+146+pokemon+card&amp;_sacat=0&amp;_from=R40&amp;_trksid=p4624852.m570.l1313&amp;mkcid=1&amp;mkrid=711-53200-19255-0&amp;siteid=0&amp;campid=5339158445&amp;customid=pokecottage&amp;toolid=10001&amp;mkevt=1","FIND ON EBAY")</f>
        <v>FIND ON EBAY</v>
      </c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160</v>
      </c>
      <c r="C474" s="5" t="s">
        <v>305</v>
      </c>
      <c r="D474" s="5" t="s">
        <v>310</v>
      </c>
      <c r="E474" s="5"/>
      <c r="F474" s="5" t="str">
        <f aca="false">HYPERLINK("https://www.ebay.com/sch/i.html?_nkw=Community+Center+Professor+Program+Top+8+Twilight+Masquerade+146+pokemon+card&amp;_sacat=0&amp;_from=R40&amp;_trksid=p4624852.m570.l1313&amp;mkcid=1&amp;mkrid=711-53200-19255-0&amp;siteid=0&amp;campid=5339158445&amp;customid=pokecottage&amp;toolid=10001&amp;mkevt=1","FIND ON EBAY")</f>
        <v>FIND ON EBAY</v>
      </c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162</v>
      </c>
      <c r="C475" s="6" t="str">
        <f aca="false">HYPERLINK("https://partner.tcgplayer.com/c/6278691/1780961/21018?u=https%3A%2F%2Fwww.tcgplayer.com%2Fproduct%2F619090%3Futm_source%3Dimpact%26utm_medium%3Daffiliate%26utm_campaign%3Dpoke%2Bcottage","Enhanced Hammer")</f>
        <v>Enhanced Hammer</v>
      </c>
      <c r="D475" s="5" t="s">
        <v>271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162</v>
      </c>
      <c r="C476" s="5" t="s">
        <v>311</v>
      </c>
      <c r="D476" s="5" t="s">
        <v>281</v>
      </c>
      <c r="E476" s="5"/>
      <c r="F476" s="5" t="str">
        <f aca="false">HYPERLINK("https://www.ebay.com/sch/i.html?_nkw=Enhanced+Hammer+Pokemon+TCG+Gym+Twilight+Masquerade+148+pokemon+card&amp;_sacat=0&amp;_from=R40&amp;_trksid=p4624852.m570.l1313&amp;mkcid=1&amp;mkrid=711-53200-19255-0&amp;siteid=0&amp;campid=5339158445&amp;customid=pokecottage&amp;toolid=10001&amp;mkevt=1","FIND ON EBAY")</f>
        <v>FIND ON EBAY</v>
      </c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163</v>
      </c>
      <c r="C477" s="6" t="str">
        <f aca="false">HYPERLINK("https://partner.tcgplayer.com/c/6278691/1780961/21018?u=https%3A%2F%2Fwww.tcgplayer.com%2Fproduct%2F605075%3Futm_source%3Dimpact%26utm_medium%3Daffiliate%26utm_campaign%3Dpoke%2Bcottage","Festival Grounds")</f>
        <v>Festival Grounds</v>
      </c>
      <c r="D477" s="5" t="s">
        <v>296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166</v>
      </c>
      <c r="C478" s="6" t="str">
        <f aca="false">HYPERLINK("https://partner.tcgplayer.com/c/6278691/1780961/21018?u=https%3A%2F%2Fwww.tcgplayer.com%2Fproduct%2F619129%3Futm_source%3Dimpact%26utm_medium%3Daffiliate%26utm_campaign%3Dpoke%2Bcottage","Hyper Aroma")</f>
        <v>Hyper Aroma</v>
      </c>
      <c r="D478" s="5" t="s">
        <v>271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168</v>
      </c>
      <c r="C479" s="6" t="str">
        <f aca="false">HYPERLINK("https://partner.tcgplayer.com/c/6278691/1780961/21018?u=https%3A%2F%2Fwww.tcgplayer.com%2Fproduct%2F619134%3Futm_source%3Dimpact%26utm_medium%3Daffiliate%26utm_campaign%3Dpoke%2Bcottage","Jamming Tower")</f>
        <v>Jamming Tower</v>
      </c>
      <c r="D479" s="5" t="s">
        <v>271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168</v>
      </c>
      <c r="C480" s="5" t="s">
        <v>312</v>
      </c>
      <c r="D480" s="5" t="s">
        <v>274</v>
      </c>
      <c r="E480" s="5"/>
      <c r="F480" s="5" t="str">
        <f aca="false">HYPERLINK("https://www.ebay.com/sch/i.html?_nkw=Jamming+Tower+World+Championships+Deck+2025+JP+Raging+Bolt+by+Yuya+Okita+Twilight+Masquerade+153+pokemon+card&amp;_sacat=0&amp;_from=R40&amp;_trksid=p4624852.m570.l1313&amp;mkcid=1&amp;mkrid=711-53200-19255-0&amp;siteid=0&amp;campid=5339158445&amp;customid=pokecottage&amp;toolid=10001&amp;mkevt=1","FIND ON EBAY")</f>
        <v>FIND ON EBAY</v>
      </c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168</v>
      </c>
      <c r="C481" s="5" t="s">
        <v>312</v>
      </c>
      <c r="D481" s="5" t="s">
        <v>286</v>
      </c>
      <c r="E481" s="5"/>
      <c r="F481" s="5" t="str">
        <f aca="false">HYPERLINK("https://www.ebay.com/sch/i.html?_nkw=Jamming+Tower+World+Championships+Deck+2025+Pult+Bomb+by+Jose+Cruz+Galindo-Resendiz+Twilight+Masquerade+153+pokemon+card&amp;_sacat=0&amp;_from=R40&amp;_trksid=p4624852.m570.l1313&amp;mkcid=1&amp;mkrid=711-53200-19255-0&amp;siteid=0&amp;campid=5339158445&amp;customid=pokecottage&amp;toolid=10001&amp;mkevt=1","FIND ON EBAY")</f>
        <v>FIND ON EBAY</v>
      </c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174</v>
      </c>
      <c r="C482" s="5" t="s">
        <v>313</v>
      </c>
      <c r="D482" s="5" t="s">
        <v>265</v>
      </c>
      <c r="E482" s="5"/>
      <c r="F482" s="5" t="str">
        <f aca="false">HYPERLINK("https://www.ebay.com/sch/i.html?_nkw=Ogre+s+Mask+Cosmos+Holo+Twilight+Masquerade+159+pokemon+card&amp;_sacat=0&amp;_from=R40&amp;_trksid=p4624852.m570.l1313&amp;mkcid=1&amp;mkrid=711-53200-19255-0&amp;siteid=0&amp;campid=5339158445&amp;customid=pokecottage&amp;toolid=10001&amp;mkevt=1","FIND ON EBAY")</f>
        <v>FIND ON EBAY</v>
      </c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174</v>
      </c>
      <c r="C483" s="6" t="str">
        <f aca="false">HYPERLINK("https://partner.tcgplayer.com/c/6278691/1780961/21018?u=https%3A%2F%2Fwww.tcgplayer.com%2Fproduct%2F619152%3Futm_source%3Dimpact%26utm_medium%3Daffiliate%26utm_campaign%3Dpoke%2Bcottage","Ogre's Mask")</f>
        <v>Ogre's Mask</v>
      </c>
      <c r="D483" s="5" t="s">
        <v>290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177</v>
      </c>
      <c r="C484" s="6" t="str">
        <f aca="false">HYPERLINK("https://partner.tcgplayer.com/c/6278691/1780961/21018?u=https%3A%2F%2Fwww.tcgplayer.com%2Fproduct%2F619160%3Futm_source%3Dimpact%26utm_medium%3Daffiliate%26utm_campaign%3Dpoke%2Bcottage","Scoop Up Cyclone")</f>
        <v>Scoop Up Cyclone</v>
      </c>
      <c r="D484" s="5" t="s">
        <v>271</v>
      </c>
      <c r="E484" s="5"/>
      <c r="F484" s="5"/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178</v>
      </c>
      <c r="C485" s="6" t="str">
        <f aca="false">HYPERLINK("https://partner.tcgplayer.com/c/6278691/1780961/21018?u=https%3A%2F%2Fwww.tcgplayer.com%2Fproduct%2F637580%3Futm_source%3Dimpact%26utm_medium%3Daffiliate%26utm_campaign%3Dpoke%2Bcottage","Secret Box")</f>
        <v>Secret Box</v>
      </c>
      <c r="D485" s="5" t="s">
        <v>314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178</v>
      </c>
      <c r="C486" s="6" t="str">
        <f aca="false">HYPERLINK("https://partner.tcgplayer.com/c/6278691/1780961/21018?u=https%3A%2F%2Fwww.tcgplayer.com%2Fproduct%2F689112%3Futm_source%3Dimpact%26utm_medium%3Daffiliate%26utm_campaign%3Dpoke%2Bcottage","Secret Box")</f>
        <v>Secret Box</v>
      </c>
      <c r="D486" s="5" t="s">
        <v>285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179</v>
      </c>
      <c r="C487" s="6" t="str">
        <f aca="false">HYPERLINK("https://partner.tcgplayer.com/c/6278691/1780961/21018?u=https%3A%2F%2Fwww.tcgplayer.com%2Fproduct%2F619163%3Futm_source%3Dimpact%26utm_medium%3Daffiliate%26utm_campaign%3Dpoke%2Bcottage","Survival Brace")</f>
        <v>Survival Brace</v>
      </c>
      <c r="D487" s="5" t="s">
        <v>271</v>
      </c>
      <c r="E487" s="5"/>
      <c r="F487" s="5"/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180</v>
      </c>
      <c r="C488" s="6" t="str">
        <f aca="false">HYPERLINK("https://partner.tcgplayer.com/c/6278691/1780961/21018?u=https%3A%2F%2Fwww.tcgplayer.com%2Fproduct%2F619174%3Futm_source%3Dimpact%26utm_medium%3Daffiliate%26utm_campaign%3Dpoke%2Bcottage","Unfair Stamp")</f>
        <v>Unfair Stamp</v>
      </c>
      <c r="D488" s="5" t="s">
        <v>271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182</v>
      </c>
      <c r="C489" s="6" t="str">
        <f aca="false">HYPERLINK("https://partner.tcgplayer.com/c/6278691/1780961/21018?u=https%3A%2F%2Fwww.tcgplayer.com%2Fproduct%2F619139%3Futm_source%3Dimpact%26utm_medium%3Daffiliate%26utm_campaign%3Dpoke%2Bcottage","Legacy Energy")</f>
        <v>Legacy Energy</v>
      </c>
      <c r="D489" s="5" t="s">
        <v>271</v>
      </c>
      <c r="E489" s="5"/>
      <c r="F489" s="5"/>
      <c r="G489" s="5"/>
      <c r="H489" s="7"/>
    </row>
    <row r="491" customFormat="false" ht="24" hidden="false" customHeight="true" outlineLevel="0" collapsed="false">
      <c r="A491" s="8" t="s">
        <v>315</v>
      </c>
      <c r="B491" s="8"/>
      <c r="C491" s="8"/>
      <c r="D491" s="8"/>
      <c r="E491" s="8"/>
      <c r="F491" s="8"/>
      <c r="G491" s="8"/>
      <c r="H491" s="8"/>
    </row>
    <row r="492" customFormat="false" ht="24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</row>
  </sheetData>
  <mergeCells count="2">
    <mergeCell ref="A375:H375"/>
    <mergeCell ref="A491:H492"/>
  </mergeCells>
  <dataValidations count="1">
    <dataValidation allowBlank="false" errorStyle="stop" operator="between" showDropDown="false" showErrorMessage="false" showInputMessage="false" sqref="A2:A489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316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HYPERLINK("https://pokecottage.com/twilight-masquerade-master-set-guide","Download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317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318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319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317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318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