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dox Rift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<sst xmlns="http://schemas.openxmlformats.org/spreadsheetml/2006/main" count="2138" uniqueCount="357">
  <si>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</si>
  <si>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</si>
  <si>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</si>
  <si>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</si>
  <si>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</si>
  <si>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</si>
  <si>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</si>
  <si>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001/182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</si>
  <si>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</si>
  <si>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</si>
  <si>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</si>
  <si>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</si>
  <si>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002/182</t>
  </si>
  <si>
    <t xml:space="preserve">Uncommon</t>
  </si>
  <si>
    <t xml:space="preserve">003/182</t>
  </si>
  <si>
    <t xml:space="preserve">Double Rare</t>
  </si>
  <si>
    <t xml:space="preserve">Holo</t>
  </si>
  <si>
    <t xml:space="preserve">004/182</t>
  </si>
  <si>
    <t xml:space="preserve">005/182</t>
  </si>
  <si>
    <t xml:space="preserve">006/182</t>
  </si>
  <si>
    <t xml:space="preserve">007/182</t>
  </si>
  <si>
    <t xml:space="preserve">008/182</t>
  </si>
  <si>
    <t xml:space="preserve">009/182</t>
  </si>
  <si>
    <t xml:space="preserve">010/182</t>
  </si>
  <si>
    <t xml:space="preserve">011/182</t>
  </si>
  <si>
    <t xml:space="preserve">012/182</t>
  </si>
  <si>
    <t xml:space="preserve">013/182</t>
  </si>
  <si>
    <t xml:space="preserve">014/182</t>
  </si>
  <si>
    <t xml:space="preserve">015/182</t>
  </si>
  <si>
    <t xml:space="preserve">016/182</t>
  </si>
  <si>
    <t xml:space="preserve">017/182</t>
  </si>
  <si>
    <t xml:space="preserve">018/182</t>
  </si>
  <si>
    <t xml:space="preserve">Rare</t>
  </si>
  <si>
    <t xml:space="preserve">019/182</t>
  </si>
  <si>
    <t xml:space="preserve">020/182</t>
  </si>
  <si>
    <t xml:space="preserve">021/182</t>
  </si>
  <si>
    <t xml:space="preserve">022/182</t>
  </si>
  <si>
    <t xml:space="preserve">023/182</t>
  </si>
  <si>
    <t xml:space="preserve">024/182</t>
  </si>
  <si>
    <t xml:space="preserve">025/182</t>
  </si>
  <si>
    <t xml:space="preserve">026/182</t>
  </si>
  <si>
    <t xml:space="preserve">027/182</t>
  </si>
  <si>
    <t xml:space="preserve">028/182</t>
  </si>
  <si>
    <t xml:space="preserve">029/182</t>
  </si>
  <si>
    <t xml:space="preserve">030/182</t>
  </si>
  <si>
    <t xml:space="preserve">031/182</t>
  </si>
  <si>
    <t xml:space="preserve">032/182</t>
  </si>
  <si>
    <t xml:space="preserve">033/182</t>
  </si>
  <si>
    <t xml:space="preserve">034/182</t>
  </si>
  <si>
    <t xml:space="preserve">035/182</t>
  </si>
  <si>
    <t xml:space="preserve">036/182</t>
  </si>
  <si>
    <t xml:space="preserve">037/182</t>
  </si>
  <si>
    <t xml:space="preserve">038/182</t>
  </si>
  <si>
    <t xml:space="preserve">039/182</t>
  </si>
  <si>
    <t xml:space="preserve">040/182</t>
  </si>
  <si>
    <t xml:space="preserve">041/182</t>
  </si>
  <si>
    <t xml:space="preserve">042/182</t>
  </si>
  <si>
    <t xml:space="preserve">043/182</t>
  </si>
  <si>
    <t xml:space="preserve">044/182</t>
  </si>
  <si>
    <t xml:space="preserve">045/182</t>
  </si>
  <si>
    <t xml:space="preserve">046/182</t>
  </si>
  <si>
    <t xml:space="preserve">047/182</t>
  </si>
  <si>
    <t xml:space="preserve">048/182</t>
  </si>
  <si>
    <t xml:space="preserve">049/182</t>
  </si>
  <si>
    <t xml:space="preserve">050/182</t>
  </si>
  <si>
    <t xml:space="preserve">051/182</t>
  </si>
  <si>
    <t xml:space="preserve">052/182</t>
  </si>
  <si>
    <t xml:space="preserve">053/182</t>
  </si>
  <si>
    <t xml:space="preserve">054/182</t>
  </si>
  <si>
    <t xml:space="preserve">055/182</t>
  </si>
  <si>
    <t xml:space="preserve">056/182</t>
  </si>
  <si>
    <t xml:space="preserve">057/182</t>
  </si>
  <si>
    <t xml:space="preserve">058/182</t>
  </si>
  <si>
    <t xml:space="preserve">059/182</t>
  </si>
  <si>
    <t xml:space="preserve">060/182</t>
  </si>
  <si>
    <t xml:space="preserve">061/182</t>
  </si>
  <si>
    <t xml:space="preserve">062/182</t>
  </si>
  <si>
    <t xml:space="preserve">063/182</t>
  </si>
  <si>
    <t xml:space="preserve">064/182</t>
  </si>
  <si>
    <t xml:space="preserve">065/182</t>
  </si>
  <si>
    <t xml:space="preserve">066/182</t>
  </si>
  <si>
    <t xml:space="preserve">067/182</t>
  </si>
  <si>
    <t xml:space="preserve">068/182</t>
  </si>
  <si>
    <t xml:space="preserve">069/182</t>
  </si>
  <si>
    <t xml:space="preserve">070/182</t>
  </si>
  <si>
    <t xml:space="preserve">071/182</t>
  </si>
  <si>
    <t xml:space="preserve">072/182</t>
  </si>
  <si>
    <t xml:space="preserve">073/182</t>
  </si>
  <si>
    <t xml:space="preserve">074/182</t>
  </si>
  <si>
    <t xml:space="preserve">075/182</t>
  </si>
  <si>
    <t xml:space="preserve">076/182</t>
  </si>
  <si>
    <t xml:space="preserve">077/182</t>
  </si>
  <si>
    <t xml:space="preserve">078/182</t>
  </si>
  <si>
    <t xml:space="preserve">079/182</t>
  </si>
  <si>
    <t xml:space="preserve">080/182</t>
  </si>
  <si>
    <t xml:space="preserve">081/182</t>
  </si>
  <si>
    <t xml:space="preserve">082/182</t>
  </si>
  <si>
    <t xml:space="preserve">083/182</t>
  </si>
  <si>
    <t xml:space="preserve">084/182</t>
  </si>
  <si>
    <t xml:space="preserve">085/182</t>
  </si>
  <si>
    <t xml:space="preserve">086/182</t>
  </si>
  <si>
    <t xml:space="preserve">087/182</t>
  </si>
  <si>
    <t xml:space="preserve">088/182</t>
  </si>
  <si>
    <t xml:space="preserve">089/182</t>
  </si>
  <si>
    <t xml:space="preserve">090/182</t>
  </si>
  <si>
    <t xml:space="preserve">091/182</t>
  </si>
  <si>
    <t xml:space="preserve">092/182</t>
  </si>
  <si>
    <t xml:space="preserve">093/182</t>
  </si>
  <si>
    <t xml:space="preserve">094/182</t>
  </si>
  <si>
    <t xml:space="preserve">095/182</t>
  </si>
  <si>
    <t xml:space="preserve">096/182</t>
  </si>
  <si>
    <t xml:space="preserve">097/182</t>
  </si>
  <si>
    <t xml:space="preserve">098/182</t>
  </si>
  <si>
    <t xml:space="preserve">099/182</t>
  </si>
  <si>
    <t xml:space="preserve">100/182</t>
  </si>
  <si>
    <t xml:space="preserve">101/182</t>
  </si>
  <si>
    <t xml:space="preserve">102/182</t>
  </si>
  <si>
    <t xml:space="preserve">103/182</t>
  </si>
  <si>
    <t xml:space="preserve">104/182</t>
  </si>
  <si>
    <t xml:space="preserve">105/182</t>
  </si>
  <si>
    <t xml:space="preserve">106/182</t>
  </si>
  <si>
    <t xml:space="preserve">107/182</t>
  </si>
  <si>
    <t xml:space="preserve">108/182</t>
  </si>
  <si>
    <t xml:space="preserve">109/182</t>
  </si>
  <si>
    <t xml:space="preserve">110/182</t>
  </si>
  <si>
    <t xml:space="preserve">111/182</t>
  </si>
  <si>
    <t xml:space="preserve">112/182</t>
  </si>
  <si>
    <t xml:space="preserve">113/182</t>
  </si>
  <si>
    <t xml:space="preserve">114/182</t>
  </si>
  <si>
    <t xml:space="preserve">115/182</t>
  </si>
  <si>
    <t xml:space="preserve">116/182</t>
  </si>
  <si>
    <t xml:space="preserve">117/182</t>
  </si>
  <si>
    <t xml:space="preserve">118/182</t>
  </si>
  <si>
    <t xml:space="preserve">119/182</t>
  </si>
  <si>
    <t xml:space="preserve">120/182</t>
  </si>
  <si>
    <t xml:space="preserve">121/182</t>
  </si>
  <si>
    <t xml:space="preserve">122/182</t>
  </si>
  <si>
    <t xml:space="preserve">123/182</t>
  </si>
  <si>
    <t xml:space="preserve">124/182</t>
  </si>
  <si>
    <t xml:space="preserve">125/182</t>
  </si>
  <si>
    <t xml:space="preserve">126/182</t>
  </si>
  <si>
    <t xml:space="preserve">127/182</t>
  </si>
  <si>
    <t xml:space="preserve">128/182</t>
  </si>
  <si>
    <t xml:space="preserve">129/182</t>
  </si>
  <si>
    <t xml:space="preserve">130/182</t>
  </si>
  <si>
    <t xml:space="preserve">131/182</t>
  </si>
  <si>
    <t xml:space="preserve">132/182</t>
  </si>
  <si>
    <t xml:space="preserve">133/182</t>
  </si>
  <si>
    <t xml:space="preserve">134/182</t>
  </si>
  <si>
    <t xml:space="preserve">135/182</t>
  </si>
  <si>
    <t xml:space="preserve">136/182</t>
  </si>
  <si>
    <t xml:space="preserve">137/182</t>
  </si>
  <si>
    <t xml:space="preserve">138/182</t>
  </si>
  <si>
    <t xml:space="preserve">139/182</t>
  </si>
  <si>
    <t xml:space="preserve">140/182</t>
  </si>
  <si>
    <t xml:space="preserve">141/182</t>
  </si>
  <si>
    <t xml:space="preserve">142/182</t>
  </si>
  <si>
    <t xml:space="preserve">143/182</t>
  </si>
  <si>
    <t xml:space="preserve">144/182</t>
  </si>
  <si>
    <t xml:space="preserve">145/182</t>
  </si>
  <si>
    <t xml:space="preserve">146/182</t>
  </si>
  <si>
    <t xml:space="preserve">147/182</t>
  </si>
  <si>
    <t xml:space="preserve">148/182</t>
  </si>
  <si>
    <t xml:space="preserve">149/182</t>
  </si>
  <si>
    <t xml:space="preserve">150/182</t>
  </si>
  <si>
    <t xml:space="preserve">151/182</t>
  </si>
  <si>
    <t xml:space="preserve">152/182</t>
  </si>
  <si>
    <t xml:space="preserve">153/182</t>
  </si>
  <si>
    <t xml:space="preserve">154/182</t>
  </si>
  <si>
    <t xml:space="preserve">155/182</t>
  </si>
  <si>
    <t xml:space="preserve">156/182</t>
  </si>
  <si>
    <t xml:space="preserve">157/182</t>
  </si>
  <si>
    <t xml:space="preserve">158/182</t>
  </si>
  <si>
    <t xml:space="preserve">159/182</t>
  </si>
  <si>
    <t xml:space="preserve">160/182</t>
  </si>
  <si>
    <t xml:space="preserve">161/182</t>
  </si>
  <si>
    <t xml:space="preserve">162/182</t>
  </si>
  <si>
    <t xml:space="preserve">163/182</t>
  </si>
  <si>
    <t xml:space="preserve">164/182</t>
  </si>
  <si>
    <t xml:space="preserve">165/182</t>
  </si>
  <si>
    <t xml:space="preserve">166/182</t>
  </si>
  <si>
    <t xml:space="preserve">167/182</t>
  </si>
  <si>
    <t xml:space="preserve">168/182</t>
  </si>
  <si>
    <t xml:space="preserve">169/182</t>
  </si>
  <si>
    <t xml:space="preserve">170/182</t>
  </si>
  <si>
    <t xml:space="preserve">171/182</t>
  </si>
  <si>
    <t xml:space="preserve">172/182</t>
  </si>
  <si>
    <t xml:space="preserve">173/182</t>
  </si>
  <si>
    <t xml:space="preserve">174/182</t>
  </si>
  <si>
    <t xml:space="preserve">175/182</t>
  </si>
  <si>
    <t xml:space="preserve">176/182</t>
  </si>
  <si>
    <t xml:space="preserve">177/182</t>
  </si>
  <si>
    <t xml:space="preserve">178/182</t>
  </si>
  <si>
    <t xml:space="preserve">179/182</t>
  </si>
  <si>
    <t xml:space="preserve">180/182</t>
  </si>
  <si>
    <t xml:space="preserve">181/182</t>
  </si>
  <si>
    <t xml:space="preserve">182/182</t>
  </si>
  <si>
    <t xml:space="preserve">183/182</t>
  </si>
  <si>
    <t xml:space="preserve">Illustration Rare</t>
  </si>
  <si>
    <t xml:space="preserve">184/182</t>
  </si>
  <si>
    <t xml:space="preserve">185/182</t>
  </si>
  <si>
    <t xml:space="preserve">186/182</t>
  </si>
  <si>
    <t xml:space="preserve">187/182</t>
  </si>
  <si>
    <t xml:space="preserve">188/182</t>
  </si>
  <si>
    <t xml:space="preserve">189/182</t>
  </si>
  <si>
    <t xml:space="preserve">190/182</t>
  </si>
  <si>
    <t xml:space="preserve">191/182</t>
  </si>
  <si>
    <t xml:space="preserve">192/182</t>
  </si>
  <si>
    <t xml:space="preserve">193/182</t>
  </si>
  <si>
    <t xml:space="preserve">194/182</t>
  </si>
  <si>
    <t xml:space="preserve">195/182</t>
  </si>
  <si>
    <t xml:space="preserve">196/182</t>
  </si>
  <si>
    <t xml:space="preserve">197/182</t>
  </si>
  <si>
    <t xml:space="preserve">198/182</t>
  </si>
  <si>
    <t xml:space="preserve">199/182</t>
  </si>
  <si>
    <t xml:space="preserve">200/182</t>
  </si>
  <si>
    <t xml:space="preserve">201/182</t>
  </si>
  <si>
    <t xml:space="preserve">202/182</t>
  </si>
  <si>
    <t xml:space="preserve">203/182</t>
  </si>
  <si>
    <t xml:space="preserve">204/182</t>
  </si>
  <si>
    <t xml:space="preserve">205/182</t>
  </si>
  <si>
    <t xml:space="preserve">206/182</t>
  </si>
  <si>
    <t xml:space="preserve">207/182</t>
  </si>
  <si>
    <t xml:space="preserve">208/182</t>
  </si>
  <si>
    <t xml:space="preserve">209/182</t>
  </si>
  <si>
    <t xml:space="preserve">210/182</t>
  </si>
  <si>
    <t xml:space="preserve">211/182</t>
  </si>
  <si>
    <t xml:space="preserve">212/182</t>
  </si>
  <si>
    <t xml:space="preserve">213/182</t>
  </si>
  <si>
    <t xml:space="preserve">214/182</t>
  </si>
  <si>
    <t xml:space="preserve">215/182</t>
  </si>
  <si>
    <t xml:space="preserve">216/182</t>
  </si>
  <si>
    <t xml:space="preserve">217/182</t>
  </si>
  <si>
    <t xml:space="preserve">Ultra Rare</t>
  </si>
  <si>
    <t xml:space="preserve">218/182</t>
  </si>
  <si>
    <t xml:space="preserve">219/182</t>
  </si>
  <si>
    <t xml:space="preserve">220/182</t>
  </si>
  <si>
    <t xml:space="preserve">221/182</t>
  </si>
  <si>
    <t xml:space="preserve">222/182</t>
  </si>
  <si>
    <t xml:space="preserve">223/182</t>
  </si>
  <si>
    <t xml:space="preserve">224/182</t>
  </si>
  <si>
    <t xml:space="preserve">225/182</t>
  </si>
  <si>
    <t xml:space="preserve">226/182</t>
  </si>
  <si>
    <t xml:space="preserve">227/182</t>
  </si>
  <si>
    <t xml:space="preserve">228/182</t>
  </si>
  <si>
    <t xml:space="preserve">229/182</t>
  </si>
  <si>
    <t xml:space="preserve">230/182</t>
  </si>
  <si>
    <t xml:space="preserve">231/182</t>
  </si>
  <si>
    <t xml:space="preserve">232/182</t>
  </si>
  <si>
    <t xml:space="preserve">233/182</t>
  </si>
  <si>
    <t xml:space="preserve">234/182</t>
  </si>
  <si>
    <t xml:space="preserve">235/182</t>
  </si>
  <si>
    <t xml:space="preserve">236/182</t>
  </si>
  <si>
    <t xml:space="preserve">237/182</t>
  </si>
  <si>
    <t xml:space="preserve">238/182</t>
  </si>
  <si>
    <t xml:space="preserve">239/182</t>
  </si>
  <si>
    <t xml:space="preserve">240/182</t>
  </si>
  <si>
    <t xml:space="preserve">241/182</t>
  </si>
  <si>
    <t xml:space="preserve">242/182</t>
  </si>
  <si>
    <t xml:space="preserve">243/182</t>
  </si>
  <si>
    <t xml:space="preserve">244/182</t>
  </si>
  <si>
    <t xml:space="preserve">245/182</t>
  </si>
  <si>
    <t xml:space="preserve">Special Illustration Rare</t>
  </si>
  <si>
    <t xml:space="preserve">246/182</t>
  </si>
  <si>
    <t xml:space="preserve">247/182</t>
  </si>
  <si>
    <t xml:space="preserve">248/182</t>
  </si>
  <si>
    <t xml:space="preserve">249/182</t>
  </si>
  <si>
    <t xml:space="preserve">250/182</t>
  </si>
  <si>
    <t xml:space="preserve">251/182</t>
  </si>
  <si>
    <t xml:space="preserve">252/182</t>
  </si>
  <si>
    <t xml:space="preserve">253/182</t>
  </si>
  <si>
    <t xml:space="preserve">254/182</t>
  </si>
  <si>
    <t xml:space="preserve">255/182</t>
  </si>
  <si>
    <t xml:space="preserve">256/182</t>
  </si>
  <si>
    <t xml:space="preserve">257/182</t>
  </si>
  <si>
    <t xml:space="preserve">258/182</t>
  </si>
  <si>
    <t xml:space="preserve">259/182</t>
  </si>
  <si>
    <t xml:space="preserve">260/182</t>
  </si>
  <si>
    <t xml:space="preserve">Hyper Rare</t>
  </si>
  <si>
    <t xml:space="preserve">261/182</t>
  </si>
  <si>
    <t xml:space="preserve">262/182</t>
  </si>
  <si>
    <t xml:space="preserve">263/182</t>
  </si>
  <si>
    <t xml:space="preserve">264/182</t>
  </si>
  <si>
    <t xml:space="preserve">265/182</t>
  </si>
  <si>
    <t xml:space="preserve">266/182</t>
  </si>
  <si>
    <t xml:space="preserve">Promos &amp; Variants - Optional</t>
  </si>
  <si>
    <t xml:space="preserve">SVP 57</t>
  </si>
  <si>
    <t xml:space="preserve">Build &amp; Battle Deck Promo</t>
  </si>
  <si>
    <t xml:space="preserve">Staff Stamped</t>
  </si>
  <si>
    <t xml:space="preserve">SVP 58</t>
  </si>
  <si>
    <t xml:space="preserve">SVP 59</t>
  </si>
  <si>
    <t xml:space="preserve">SVP 60</t>
  </si>
  <si>
    <t xml:space="preserve">SVP 61</t>
  </si>
  <si>
    <t xml:space="preserve">Checklane Blister</t>
  </si>
  <si>
    <t xml:space="preserve">SVP 62</t>
  </si>
  <si>
    <t xml:space="preserve">SVP 63</t>
  </si>
  <si>
    <t xml:space="preserve">3-Pack Blister</t>
  </si>
  <si>
    <t xml:space="preserve">SVP 64</t>
  </si>
  <si>
    <t xml:space="preserve">SVP 65</t>
  </si>
  <si>
    <t xml:space="preserve">Iron Valiant Elite Trainer Box Promo</t>
  </si>
  <si>
    <t xml:space="preserve">Iron Valiant Pokemon Center ETB Promo</t>
  </si>
  <si>
    <t xml:space="preserve">SVP 66</t>
  </si>
  <si>
    <t xml:space="preserve">SVP 67</t>
  </si>
  <si>
    <t xml:space="preserve">Roaring Moon ex Box</t>
  </si>
  <si>
    <t xml:space="preserve">SVP 68</t>
  </si>
  <si>
    <t xml:space="preserve">Iron Valiant ex Box</t>
  </si>
  <si>
    <t xml:space="preserve">SVP 102</t>
  </si>
  <si>
    <t xml:space="preserve">Paradox Marketing Kit</t>
  </si>
  <si>
    <t xml:space="preserve">Battle Academy 2024: Armarouge Deck #1</t>
  </si>
  <si>
    <t xml:space="preserve">Battle Academy 2024: Armarouge Deck #14</t>
  </si>
  <si>
    <t xml:space="preserve">Battle Academy 2024: Armarouge Deck #17</t>
  </si>
  <si>
    <t xml:space="preserve">Battle Academy 2024: Armarouge Deck #42</t>
  </si>
  <si>
    <t xml:space="preserve">Trick or Trade 2024</t>
  </si>
  <si>
    <t xml:space="preserve">Cosmos Holo</t>
  </si>
  <si>
    <t xml:space="preserve">Non-Holo</t>
  </si>
  <si>
    <t xml:space="preserve">EB Games</t>
  </si>
  <si>
    <t xml:space="preserve">Expansion Stamp</t>
  </si>
  <si>
    <t xml:space="preserve">GameStop</t>
  </si>
  <si>
    <t xml:space="preserve">Holiday Calendar 2024</t>
  </si>
  <si>
    <t xml:space="preserve">Play! Pokémon</t>
  </si>
  <si>
    <t xml:space="preserve">Garchomp ex</t>
  </si>
  <si>
    <t xml:space="preserve">Jumbo (Expansion Stamp)</t>
  </si>
  <si>
    <t xml:space="preserve">World Championships Deck 2024: The 'Don by Jesse Parker</t>
  </si>
  <si>
    <t xml:space="preserve">World Championships Deck 2025: Joltdengo by Liao Fu Guan</t>
  </si>
  <si>
    <t xml:space="preserve">Scream Tail</t>
  </si>
  <si>
    <t xml:space="preserve">World Championships Deck 2025: Flutter Devo Gardevoir by Riley McKay</t>
  </si>
  <si>
    <t xml:space="preserve">Battle Academy 2024: Darkrai Deck</t>
  </si>
  <si>
    <t xml:space="preserve">Play! Pokémon (Cosmos Holo)</t>
  </si>
  <si>
    <t xml:space="preserve">Aegislash ex</t>
  </si>
  <si>
    <t xml:space="preserve">Jumbo</t>
  </si>
  <si>
    <t xml:space="preserve">Gholdengo ex</t>
  </si>
  <si>
    <t xml:space="preserve">World Championships Deck 2025: Joltdengo by Liao Fu Guan (Gold Signature)</t>
  </si>
  <si>
    <t xml:space="preserve">World Championships Deck 2024: Ancient Toolbox by Sakuya Ota</t>
  </si>
  <si>
    <t xml:space="preserve">World Championships Deck 2025: Pult Bomb by Jose Cruz Galindo-Resendiz</t>
  </si>
  <si>
    <t xml:space="preserve">Earthen Vessel</t>
  </si>
  <si>
    <t xml:space="preserve">Great Ball League</t>
  </si>
  <si>
    <t xml:space="preserve">World Championships Deck 2024: Crushing Thorn by Fernando Cifuentes</t>
  </si>
  <si>
    <t xml:space="preserve">World Championships Deck 2024: Regidrago VSTAR by Evan Pavelski</t>
  </si>
  <si>
    <t xml:space="preserve">World Championships Deck 2025: JP Raging Bolt by Yuya Okita</t>
  </si>
  <si>
    <t xml:space="preserve">Battle Academy 2024: Armarouge Deck</t>
  </si>
  <si>
    <t xml:space="preserve">Professor Program</t>
  </si>
  <si>
    <t xml:space="preserve">Professor Sada's Vitality</t>
  </si>
  <si>
    <t xml:space="preserve">Regional Championships</t>
  </si>
  <si>
    <t xml:space="preserve">Regional Championships (Staff)</t>
  </si>
  <si>
    <t xml:space="preserve">Professor Turo's Scenario</t>
  </si>
  <si>
    <t xml:space="preserve">Ultra League Ball</t>
  </si>
  <si>
    <t xml:space="preserve">Technical Machine: Devolution</t>
  </si>
  <si>
    <t xml:space="preserve">Play! Pokémon (Mirror Holo)</t>
  </si>
  <si>
    <t xml:space="preserve">Technical Machine: Evolution</t>
  </si>
  <si>
    <t xml:space="preserve">Holiday Calendar 2025</t>
  </si>
  <si>
    <t xml:space="preserve">Larry</t>
  </si>
  <si>
    <t xml:space="preserve">Tulip</t>
  </si>
  <si>
    <t xml:space="preserve">This checklist contains affiliate links for which I may be compensated.</t>
  </si>
  <si>
    <t xml:space="preserve">Want free Paradox Rift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</si>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</sst>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IFERROR((COUNTIF(A2:A429,"☑"))/((COUNTIF(A2:A429,"☑"))+(COUNTIF(A2:A429,"☐"))),0)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HYPERLINK("https://partner.tcgplayer.com/c/6278691/1780961/21018?u=https%3A%2F%2Fwww.tcgplayer.com%2Fproduct%2F523584%3Futm_source%3Dimpact%26utm_medium%3Daffiliate%26utm_campaign%3Dpoke%2Bcottage","Surskit")</f>
        <v>Surskit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IFERROR(COUNTIF(A2:A562,"☑")/(COUNTIF(A2:A562,"☑")+COUNTIF(A2:A562,"☐")),0)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HYPERLINK("https://partner.tcgplayer.com/c/6278691/1780961/21018?u=https%3A%2F%2Fwww.tcgplayer.com%2Fproduct%2F523584%3Futm_source%3Dimpact%26utm_medium%3Daffiliate%26utm_campaign%3Dpoke%2Bcottage","Surskit")</f>
        <v>Surskit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HYPERLINK("https://partner.tcgplayer.com/c/6278691/1780961/21018?u=https%3A%2F%2Fwww.tcgplayer.com%2Fproduct%2F523585%3Futm_source%3Dimpact%26utm_medium%3Daffiliate%26utm_campaign%3Dpoke%2Bcottage","Masquerain")</f>
        <v>Masquerain</v>
      </c>
      <c r="D4" s="5" t="s">
        <v>13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HYPERLINK("https://partner.tcgplayer.com/c/6278691/1780961/21018?u=https%3A%2F%2Fwww.tcgplayer.com%2Fproduct%2F523585%3Futm_source%3Dimpact%26utm_medium%3Daffiliate%26utm_campaign%3Dpoke%2Bcottage","Masquerain")</f>
        <v>Masquerain</v>
      </c>
      <c r="D5" s="5" t="s">
        <v>13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HYPERLINK("https://partner.tcgplayer.com/c/6278691/1780961/21018?u=https%3A%2F%2Fwww.tcgplayer.com%2Fproduct%2F523587%3Futm_source%3Dimpact%26utm_medium%3Daffiliate%26utm_campaign%3Dpoke%2Bcottage","Froslass ex")</f>
        <v>Froslass ex</v>
      </c>
      <c r="D6" s="5" t="s">
        <v>15</v>
      </c>
      <c r="E6" s="5" t="s">
        <v>16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17</v>
      </c>
      <c r="C7" s="6" t="str">
        <f aca="false">HYPERLINK("https://partner.tcgplayer.com/c/6278691/1780961/21018?u=https%3A%2F%2Fwww.tcgplayer.com%2Fproduct%2F523603%3Futm_source%3Dimpact%26utm_medium%3Daffiliate%26utm_campaign%3Dpoke%2Bcottage","Pansage")</f>
        <v>Pansage</v>
      </c>
      <c r="D7" s="5" t="s">
        <v>8</v>
      </c>
      <c r="E7" s="5" t="s">
        <v>9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17</v>
      </c>
      <c r="C8" s="6" t="str">
        <f aca="false">HYPERLINK("https://partner.tcgplayer.com/c/6278691/1780961/21018?u=https%3A%2F%2Fwww.tcgplayer.com%2Fproduct%2F523603%3Futm_source%3Dimpact%26utm_medium%3Daffiliate%26utm_campaign%3Dpoke%2Bcottage","Pansage")</f>
        <v>Pansage</v>
      </c>
      <c r="D8" s="5" t="s">
        <v>8</v>
      </c>
      <c r="E8" s="5" t="s">
        <v>11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18</v>
      </c>
      <c r="C9" s="6" t="str">
        <f aca="false">HYPERLINK("https://partner.tcgplayer.com/c/6278691/1780961/21018?u=https%3A%2F%2Fwww.tcgplayer.com%2Fproduct%2F523604%3Futm_source%3Dimpact%26utm_medium%3Daffiliate%26utm_campaign%3Dpoke%2Bcottage","Simisage")</f>
        <v>Simisage</v>
      </c>
      <c r="D9" s="5" t="s">
        <v>13</v>
      </c>
      <c r="E9" s="5" t="s">
        <v>9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HYPERLINK("https://partner.tcgplayer.com/c/6278691/1780961/21018?u=https%3A%2F%2Fwww.tcgplayer.com%2Fproduct%2F523604%3Futm_source%3Dimpact%26utm_medium%3Daffiliate%26utm_campaign%3Dpoke%2Bcottage","Simisage")</f>
        <v>Simisage</v>
      </c>
      <c r="D10" s="5" t="s">
        <v>13</v>
      </c>
      <c r="E10" s="5" t="s">
        <v>11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19</v>
      </c>
      <c r="C11" s="6" t="str">
        <f aca="false">HYPERLINK("https://partner.tcgplayer.com/c/6278691/1780961/21018?u=https%3A%2F%2Fwww.tcgplayer.com%2Fproduct%2F523605%3Futm_source%3Dimpact%26utm_medium%3Daffiliate%26utm_campaign%3Dpoke%2Bcottage","Dwebble")</f>
        <v>Dwebble</v>
      </c>
      <c r="D11" s="5" t="s">
        <v>8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19</v>
      </c>
      <c r="C12" s="6" t="str">
        <f aca="false">HYPERLINK("https://partner.tcgplayer.com/c/6278691/1780961/21018?u=https%3A%2F%2Fwww.tcgplayer.com%2Fproduct%2F523605%3Futm_source%3Dimpact%26utm_medium%3Daffiliate%26utm_campaign%3Dpoke%2Bcottage","Dwebble")</f>
        <v>Dwebble</v>
      </c>
      <c r="D12" s="5" t="s">
        <v>8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20</v>
      </c>
      <c r="C13" s="6" t="str">
        <f aca="false">HYPERLINK("https://partner.tcgplayer.com/c/6278691/1780961/21018?u=https%3A%2F%2Fwww.tcgplayer.com%2Fproduct%2F523606%3Futm_source%3Dimpact%26utm_medium%3Daffiliate%26utm_campaign%3Dpoke%2Bcottage","Crustle")</f>
        <v>Crustle</v>
      </c>
      <c r="D13" s="5" t="s">
        <v>8</v>
      </c>
      <c r="E13" s="5" t="s">
        <v>9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20</v>
      </c>
      <c r="C14" s="6" t="str">
        <f aca="false">HYPERLINK("https://partner.tcgplayer.com/c/6278691/1780961/21018?u=https%3A%2F%2Fwww.tcgplayer.com%2Fproduct%2F523606%3Futm_source%3Dimpact%26utm_medium%3Daffiliate%26utm_campaign%3Dpoke%2Bcottage","Crustle")</f>
        <v>Crustle</v>
      </c>
      <c r="D14" s="5" t="s">
        <v>8</v>
      </c>
      <c r="E14" s="5" t="s">
        <v>11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21</v>
      </c>
      <c r="C15" s="6" t="str">
        <f aca="false">HYPERLINK("https://partner.tcgplayer.com/c/6278691/1780961/21018?u=https%3A%2F%2Fwww.tcgplayer.com%2Fproduct%2F523607%3Futm_source%3Dimpact%26utm_medium%3Daffiliate%26utm_campaign%3Dpoke%2Bcottage","Bounsweet")</f>
        <v>Bounsweet</v>
      </c>
      <c r="D15" s="5" t="s">
        <v>8</v>
      </c>
      <c r="E15" s="5" t="s">
        <v>9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21</v>
      </c>
      <c r="C16" s="6" t="str">
        <f aca="false">HYPERLINK("https://partner.tcgplayer.com/c/6278691/1780961/21018?u=https%3A%2F%2Fwww.tcgplayer.com%2Fproduct%2F523607%3Futm_source%3Dimpact%26utm_medium%3Daffiliate%26utm_campaign%3Dpoke%2Bcottage","Bounsweet")</f>
        <v>Bounsweet</v>
      </c>
      <c r="D16" s="5" t="s">
        <v>8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22</v>
      </c>
      <c r="C17" s="6" t="str">
        <f aca="false">HYPERLINK("https://partner.tcgplayer.com/c/6278691/1780961/21018?u=https%3A%2F%2Fwww.tcgplayer.com%2Fproduct%2F523608%3Futm_source%3Dimpact%26utm_medium%3Daffiliate%26utm_campaign%3Dpoke%2Bcottage","Steenee")</f>
        <v>Steenee</v>
      </c>
      <c r="D17" s="5" t="s">
        <v>13</v>
      </c>
      <c r="E17" s="5" t="s">
        <v>9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22</v>
      </c>
      <c r="C18" s="6" t="str">
        <f aca="false">HYPERLINK("https://partner.tcgplayer.com/c/6278691/1780961/21018?u=https%3A%2F%2Fwww.tcgplayer.com%2Fproduct%2F523608%3Futm_source%3Dimpact%26utm_medium%3Daffiliate%26utm_campaign%3Dpoke%2Bcottage","Steenee")</f>
        <v>Steenee</v>
      </c>
      <c r="D18" s="5" t="s">
        <v>13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23</v>
      </c>
      <c r="C19" s="6" t="str">
        <f aca="false">HYPERLINK("https://partner.tcgplayer.com/c/6278691/1780961/21018?u=https%3A%2F%2Fwww.tcgplayer.com%2Fproduct%2F523609%3Futm_source%3Dimpact%26utm_medium%3Daffiliate%26utm_campaign%3Dpoke%2Bcottage","Blipbug")</f>
        <v>Blipbug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23</v>
      </c>
      <c r="C20" s="6" t="str">
        <f aca="false">HYPERLINK("https://partner.tcgplayer.com/c/6278691/1780961/21018?u=https%3A%2F%2Fwww.tcgplayer.com%2Fproduct%2F523609%3Futm_source%3Dimpact%26utm_medium%3Daffiliate%26utm_campaign%3Dpoke%2Bcottage","Blipbug")</f>
        <v>Blipbug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24</v>
      </c>
      <c r="C21" s="6" t="str">
        <f aca="false">HYPERLINK("https://partner.tcgplayer.com/c/6278691/1780961/21018?u=https%3A%2F%2Fwww.tcgplayer.com%2Fproduct%2F523610%3Futm_source%3Dimpact%26utm_medium%3Daffiliate%26utm_campaign%3Dpoke%2Bcottage","Dottler")</f>
        <v>Dottler</v>
      </c>
      <c r="D21" s="5" t="s">
        <v>8</v>
      </c>
      <c r="E21" s="5" t="s">
        <v>9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24</v>
      </c>
      <c r="C22" s="6" t="str">
        <f aca="false">HYPERLINK("https://partner.tcgplayer.com/c/6278691/1780961/21018?u=https%3A%2F%2Fwww.tcgplayer.com%2Fproduct%2F523610%3Futm_source%3Dimpact%26utm_medium%3Daffiliate%26utm_campaign%3Dpoke%2Bcottage","Dottler")</f>
        <v>Dottler</v>
      </c>
      <c r="D22" s="5" t="s">
        <v>8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25</v>
      </c>
      <c r="C23" s="6" t="str">
        <f aca="false">HYPERLINK("https://partner.tcgplayer.com/c/6278691/1780961/21018?u=https%3A%2F%2Fwww.tcgplayer.com%2Fproduct%2F523611%3Futm_source%3Dimpact%26utm_medium%3Daffiliate%26utm_campaign%3Dpoke%2Bcottage","Orbeetle")</f>
        <v>Orbeetle</v>
      </c>
      <c r="D23" s="5" t="s">
        <v>13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25</v>
      </c>
      <c r="C24" s="6" t="str">
        <f aca="false">HYPERLINK("https://partner.tcgplayer.com/c/6278691/1780961/21018?u=https%3A%2F%2Fwww.tcgplayer.com%2Fproduct%2F523611%3Futm_source%3Dimpact%26utm_medium%3Daffiliate%26utm_campaign%3Dpoke%2Bcottage","Orbeetle")</f>
        <v>Orbeetle</v>
      </c>
      <c r="D24" s="5" t="s">
        <v>13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26</v>
      </c>
      <c r="C25" s="6" t="str">
        <f aca="false">HYPERLINK("https://partner.tcgplayer.com/c/6278691/1780961/21018?u=https%3A%2F%2Fwww.tcgplayer.com%2Fproduct%2F523612%3Futm_source%3Dimpact%26utm_medium%3Daffiliate%26utm_campaign%3Dpoke%2Bcottage","Nymble")</f>
        <v>Nymble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26</v>
      </c>
      <c r="C26" s="6" t="str">
        <f aca="false">HYPERLINK("https://partner.tcgplayer.com/c/6278691/1780961/21018?u=https%3A%2F%2Fwww.tcgplayer.com%2Fproduct%2F523612%3Futm_source%3Dimpact%26utm_medium%3Daffiliate%26utm_campaign%3Dpoke%2Bcottage","Nymble")</f>
        <v>Nymble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27</v>
      </c>
      <c r="C27" s="6" t="str">
        <f aca="false">HYPERLINK("https://partner.tcgplayer.com/c/6278691/1780961/21018?u=https%3A%2F%2Fwww.tcgplayer.com%2Fproduct%2F523614%3Futm_source%3Dimpact%26utm_medium%3Daffiliate%26utm_campaign%3Dpoke%2Bcottage","Nymble")</f>
        <v>Nymble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27</v>
      </c>
      <c r="C28" s="6" t="str">
        <f aca="false">HYPERLINK("https://partner.tcgplayer.com/c/6278691/1780961/21018?u=https%3A%2F%2Fwww.tcgplayer.com%2Fproduct%2F523614%3Futm_source%3Dimpact%26utm_medium%3Daffiliate%26utm_campaign%3Dpoke%2Bcottage","Nymble")</f>
        <v>Nymble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28</v>
      </c>
      <c r="C29" s="6" t="str">
        <f aca="false">HYPERLINK("https://partner.tcgplayer.com/c/6278691/1780961/21018?u=https%3A%2F%2Fwww.tcgplayer.com%2Fproduct%2F523615%3Futm_source%3Dimpact%26utm_medium%3Daffiliate%26utm_campaign%3Dpoke%2Bcottage","Toedscool")</f>
        <v>Toedscool</v>
      </c>
      <c r="D29" s="5" t="s">
        <v>8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28</v>
      </c>
      <c r="C30" s="6" t="str">
        <f aca="false">HYPERLINK("https://partner.tcgplayer.com/c/6278691/1780961/21018?u=https%3A%2F%2Fwww.tcgplayer.com%2Fproduct%2F523615%3Futm_source%3Dimpact%26utm_medium%3Daffiliate%26utm_campaign%3Dpoke%2Bcottage","Toedscool")</f>
        <v>Toedscool</v>
      </c>
      <c r="D30" s="5" t="s">
        <v>8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29</v>
      </c>
      <c r="C31" s="6" t="str">
        <f aca="false">HYPERLINK("https://partner.tcgplayer.com/c/6278691/1780961/21018?u=https%3A%2F%2Fwww.tcgplayer.com%2Fproduct%2F523616%3Futm_source%3Dimpact%26utm_medium%3Daffiliate%26utm_campaign%3Dpoke%2Bcottage","Toedscool")</f>
        <v>Toedscool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29</v>
      </c>
      <c r="C32" s="6" t="str">
        <f aca="false">HYPERLINK("https://partner.tcgplayer.com/c/6278691/1780961/21018?u=https%3A%2F%2Fwww.tcgplayer.com%2Fproduct%2F523616%3Futm_source%3Dimpact%26utm_medium%3Daffiliate%26utm_campaign%3Dpoke%2Bcottage","Toedscool")</f>
        <v>Toedscool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30</v>
      </c>
      <c r="C33" s="6" t="str">
        <f aca="false">HYPERLINK("https://partner.tcgplayer.com/c/6278691/1780961/21018?u=https%3A%2F%2Fwww.tcgplayer.com%2Fproduct%2F523617%3Futm_source%3Dimpact%26utm_medium%3Daffiliate%26utm_campaign%3Dpoke%2Bcottage","Toedscruel")</f>
        <v>Toedscruel</v>
      </c>
      <c r="D33" s="5" t="s">
        <v>13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30</v>
      </c>
      <c r="C34" s="6" t="str">
        <f aca="false">HYPERLINK("https://partner.tcgplayer.com/c/6278691/1780961/21018?u=https%3A%2F%2Fwww.tcgplayer.com%2Fproduct%2F523617%3Futm_source%3Dimpact%26utm_medium%3Daffiliate%26utm_campaign%3Dpoke%2Bcottage","Toedscruel")</f>
        <v>Toedscruel</v>
      </c>
      <c r="D34" s="5" t="s">
        <v>13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31</v>
      </c>
      <c r="C35" s="6" t="str">
        <f aca="false">HYPERLINK("https://partner.tcgplayer.com/c/6278691/1780961/21018?u=https%3A%2F%2Fwww.tcgplayer.com%2Fproduct%2F523618%3Futm_source%3Dimpact%26utm_medium%3Daffiliate%26utm_campaign%3Dpoke%2Bcottage","Wo-Chien")</f>
        <v>Wo-Chien</v>
      </c>
      <c r="D35" s="5" t="s">
        <v>32</v>
      </c>
      <c r="E35" s="5" t="s">
        <v>16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31</v>
      </c>
      <c r="C36" s="6" t="str">
        <f aca="false">HYPERLINK("https://partner.tcgplayer.com/c/6278691/1780961/21018?u=https%3A%2F%2Fwww.tcgplayer.com%2Fproduct%2F523618%3Futm_source%3Dimpact%26utm_medium%3Daffiliate%26utm_campaign%3Dpoke%2Bcottage","Wo-Chien")</f>
        <v>Wo-Chien</v>
      </c>
      <c r="D36" s="5" t="s">
        <v>32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HYPERLINK("https://partner.tcgplayer.com/c/6278691/1780961/21018?u=https%3A%2F%2Fwww.tcgplayer.com%2Fproduct%2F523619%3Futm_source%3Dimpact%26utm_medium%3Daffiliate%26utm_campaign%3Dpoke%2Bcottage","Magby")</f>
        <v>Magby</v>
      </c>
      <c r="D37" s="5" t="s">
        <v>8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33</v>
      </c>
      <c r="C38" s="6" t="str">
        <f aca="false">HYPERLINK("https://partner.tcgplayer.com/c/6278691/1780961/21018?u=https%3A%2F%2Fwww.tcgplayer.com%2Fproduct%2F523619%3Futm_source%3Dimpact%26utm_medium%3Daffiliate%26utm_campaign%3Dpoke%2Bcottage","Magby")</f>
        <v>Magby</v>
      </c>
      <c r="D38" s="5" t="s">
        <v>8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HYPERLINK("https://partner.tcgplayer.com/c/6278691/1780961/21018?u=https%3A%2F%2Fwww.tcgplayer.com%2Fproduct%2F523621%3Futm_source%3Dimpact%26utm_medium%3Daffiliate%26utm_campaign%3Dpoke%2Bcottage","Pansear")</f>
        <v>Pansear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HYPERLINK("https://partner.tcgplayer.com/c/6278691/1780961/21018?u=https%3A%2F%2Fwww.tcgplayer.com%2Fproduct%2F523621%3Futm_source%3Dimpact%26utm_medium%3Daffiliate%26utm_campaign%3Dpoke%2Bcottage","Pansear")</f>
        <v>Pansear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HYPERLINK("https://partner.tcgplayer.com/c/6278691/1780961/21018?u=https%3A%2F%2Fwww.tcgplayer.com%2Fproduct%2F523622%3Futm_source%3Dimpact%26utm_medium%3Daffiliate%26utm_campaign%3Dpoke%2Bcottage","Simisear")</f>
        <v>Simisear</v>
      </c>
      <c r="D41" s="5" t="s">
        <v>13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HYPERLINK("https://partner.tcgplayer.com/c/6278691/1780961/21018?u=https%3A%2F%2Fwww.tcgplayer.com%2Fproduct%2F523622%3Futm_source%3Dimpact%26utm_medium%3Daffiliate%26utm_campaign%3Dpoke%2Bcottage","Simisear")</f>
        <v>Simisear</v>
      </c>
      <c r="D42" s="5" t="s">
        <v>13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HYPERLINK("https://partner.tcgplayer.com/c/6278691/1780961/21018?u=https%3A%2F%2Fwww.tcgplayer.com%2Fproduct%2F523625%3Futm_source%3Dimpact%26utm_medium%3Daffiliate%26utm_campaign%3Dpoke%2Bcottage","Volcanion")</f>
        <v>Volcanion</v>
      </c>
      <c r="D43" s="5" t="s">
        <v>32</v>
      </c>
      <c r="E43" s="5" t="s">
        <v>16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HYPERLINK("https://partner.tcgplayer.com/c/6278691/1780961/21018?u=https%3A%2F%2Fwww.tcgplayer.com%2Fproduct%2F523625%3Futm_source%3Dimpact%26utm_medium%3Daffiliate%26utm_campaign%3Dpoke%2Bcottage","Volcanion")</f>
        <v>Volcanion</v>
      </c>
      <c r="D44" s="5" t="s">
        <v>32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HYPERLINK("https://partner.tcgplayer.com/c/6278691/1780961/21018?u=https%3A%2F%2Fwww.tcgplayer.com%2Fproduct%2F523630%3Futm_source%3Dimpact%26utm_medium%3Daffiliate%26utm_campaign%3Dpoke%2Bcottage","Fuecoco")</f>
        <v>Fuecoco</v>
      </c>
      <c r="D45" s="5" t="s">
        <v>8</v>
      </c>
      <c r="E45" s="5" t="s">
        <v>9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37</v>
      </c>
      <c r="C46" s="6" t="str">
        <f aca="false">HYPERLINK("https://partner.tcgplayer.com/c/6278691/1780961/21018?u=https%3A%2F%2Fwww.tcgplayer.com%2Fproduct%2F523630%3Futm_source%3Dimpact%26utm_medium%3Daffiliate%26utm_campaign%3Dpoke%2Bcottage","Fuecoco")</f>
        <v>Fuecoco</v>
      </c>
      <c r="D46" s="5" t="s">
        <v>8</v>
      </c>
      <c r="E46" s="5" t="s">
        <v>11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HYPERLINK("https://partner.tcgplayer.com/c/6278691/1780961/21018?u=https%3A%2F%2Fwww.tcgplayer.com%2Fproduct%2F523631%3Futm_source%3Dimpact%26utm_medium%3Daffiliate%26utm_campaign%3Dpoke%2Bcottage","Crocalor")</f>
        <v>Crocalor</v>
      </c>
      <c r="D47" s="5" t="s">
        <v>13</v>
      </c>
      <c r="E47" s="5" t="s">
        <v>9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38</v>
      </c>
      <c r="C48" s="6" t="str">
        <f aca="false">HYPERLINK("https://partner.tcgplayer.com/c/6278691/1780961/21018?u=https%3A%2F%2Fwww.tcgplayer.com%2Fproduct%2F523631%3Futm_source%3Dimpact%26utm_medium%3Daffiliate%26utm_campaign%3Dpoke%2Bcottage","Crocalor")</f>
        <v>Crocalor</v>
      </c>
      <c r="D48" s="5" t="s">
        <v>13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39</v>
      </c>
      <c r="C49" s="6" t="str">
        <f aca="false">HYPERLINK("https://partner.tcgplayer.com/c/6278691/1780961/21018?u=https%3A%2F%2Fwww.tcgplayer.com%2Fproduct%2F523633%3Futm_source%3Dimpact%26utm_medium%3Daffiliate%26utm_campaign%3Dpoke%2Bcottage","Charcadet")</f>
        <v>Charcadet</v>
      </c>
      <c r="D49" s="5" t="s">
        <v>8</v>
      </c>
      <c r="E49" s="5" t="s">
        <v>9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39</v>
      </c>
      <c r="C50" s="6" t="str">
        <f aca="false">HYPERLINK("https://partner.tcgplayer.com/c/6278691/1780961/21018?u=https%3A%2F%2Fwww.tcgplayer.com%2Fproduct%2F523633%3Futm_source%3Dimpact%26utm_medium%3Daffiliate%26utm_campaign%3Dpoke%2Bcottage","Charcadet")</f>
        <v>Charcadet</v>
      </c>
      <c r="D50" s="5" t="s">
        <v>8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HYPERLINK("https://partner.tcgplayer.com/c/6278691/1780961/21018?u=https%3A%2F%2Fwww.tcgplayer.com%2Fproduct%2F523634%3Futm_source%3Dimpact%26utm_medium%3Daffiliate%26utm_campaign%3Dpoke%2Bcottage","Charcadet")</f>
        <v>Charcadet</v>
      </c>
      <c r="D51" s="5" t="s">
        <v>8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40</v>
      </c>
      <c r="C52" s="6" t="str">
        <f aca="false">HYPERLINK("https://partner.tcgplayer.com/c/6278691/1780961/21018?u=https%3A%2F%2Fwww.tcgplayer.com%2Fproduct%2F523634%3Futm_source%3Dimpact%26utm_medium%3Daffiliate%26utm_campaign%3Dpoke%2Bcottage","Charcadet")</f>
        <v>Charcadet</v>
      </c>
      <c r="D52" s="5" t="s">
        <v>8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HYPERLINK("https://partner.tcgplayer.com/c/6278691/1780961/21018?u=https%3A%2F%2Fwww.tcgplayer.com%2Fproduct%2F523636%3Futm_source%3Dimpact%26utm_medium%3Daffiliate%26utm_campaign%3Dpoke%2Bcottage","Armarouge ex")</f>
        <v>Armarouge ex</v>
      </c>
      <c r="D53" s="5" t="s">
        <v>15</v>
      </c>
      <c r="E53" s="5" t="s">
        <v>16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HYPERLINK("https://partner.tcgplayer.com/c/6278691/1780961/21018?u=https%3A%2F%2Fwww.tcgplayer.com%2Fproduct%2F523637%3Futm_source%3Dimpact%26utm_medium%3Daffiliate%26utm_campaign%3Dpoke%2Bcottage","Iron Moth")</f>
        <v>Iron Moth</v>
      </c>
      <c r="D54" s="5" t="s">
        <v>32</v>
      </c>
      <c r="E54" s="5" t="s">
        <v>16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HYPERLINK("https://partner.tcgplayer.com/c/6278691/1780961/21018?u=https%3A%2F%2Fwww.tcgplayer.com%2Fproduct%2F523637%3Futm_source%3Dimpact%26utm_medium%3Daffiliate%26utm_campaign%3Dpoke%2Bcottage","Iron Moth")</f>
        <v>Iron Moth</v>
      </c>
      <c r="D55" s="5" t="s">
        <v>32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HYPERLINK("https://partner.tcgplayer.com/c/6278691/1780961/21018?u=https%3A%2F%2Fwww.tcgplayer.com%2Fproduct%2F523638%3Futm_source%3Dimpact%26utm_medium%3Daffiliate%26utm_campaign%3Dpoke%2Bcottage","Chi-Yu")</f>
        <v>Chi-Yu</v>
      </c>
      <c r="D56" s="5" t="s">
        <v>32</v>
      </c>
      <c r="E56" s="5" t="s">
        <v>16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HYPERLINK("https://partner.tcgplayer.com/c/6278691/1780961/21018?u=https%3A%2F%2Fwww.tcgplayer.com%2Fproduct%2F523638%3Futm_source%3Dimpact%26utm_medium%3Daffiliate%26utm_campaign%3Dpoke%2Bcottage","Chi-Yu")</f>
        <v>Chi-Yu</v>
      </c>
      <c r="D57" s="5" t="s">
        <v>32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HYPERLINK("https://partner.tcgplayer.com/c/6278691/1780961/21018?u=https%3A%2F%2Fwww.tcgplayer.com%2Fproduct%2F523639%3Futm_source%3Dimpact%26utm_medium%3Daffiliate%26utm_campaign%3Dpoke%2Bcottage","Horsea")</f>
        <v>Horsea</v>
      </c>
      <c r="D58" s="5" t="s">
        <v>8</v>
      </c>
      <c r="E58" s="5" t="s">
        <v>9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44</v>
      </c>
      <c r="C59" s="6" t="str">
        <f aca="false">HYPERLINK("https://partner.tcgplayer.com/c/6278691/1780961/21018?u=https%3A%2F%2Fwww.tcgplayer.com%2Fproduct%2F523639%3Futm_source%3Dimpact%26utm_medium%3Daffiliate%26utm_campaign%3Dpoke%2Bcottage","Horsea")</f>
        <v>Horsea</v>
      </c>
      <c r="D59" s="5" t="s">
        <v>8</v>
      </c>
      <c r="E59" s="5" t="s">
        <v>11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HYPERLINK("https://partner.tcgplayer.com/c/6278691/1780961/21018?u=https%3A%2F%2Fwww.tcgplayer.com%2Fproduct%2F523640%3Futm_source%3Dimpact%26utm_medium%3Daffiliate%26utm_campaign%3Dpoke%2Bcottage","Seadra")</f>
        <v>Seadra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45</v>
      </c>
      <c r="C61" s="6" t="str">
        <f aca="false">HYPERLINK("https://partner.tcgplayer.com/c/6278691/1780961/21018?u=https%3A%2F%2Fwww.tcgplayer.com%2Fproduct%2F523640%3Futm_source%3Dimpact%26utm_medium%3Daffiliate%26utm_campaign%3Dpoke%2Bcottage","Seadra")</f>
        <v>Seadra</v>
      </c>
      <c r="D61" s="5" t="s">
        <v>8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HYPERLINK("https://partner.tcgplayer.com/c/6278691/1780961/21018?u=https%3A%2F%2Fwww.tcgplayer.com%2Fproduct%2F523641%3Futm_source%3Dimpact%26utm_medium%3Daffiliate%26utm_campaign%3Dpoke%2Bcottage","Kingdra")</f>
        <v>Kingdra</v>
      </c>
      <c r="D62" s="5" t="s">
        <v>32</v>
      </c>
      <c r="E62" s="5" t="s">
        <v>16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46</v>
      </c>
      <c r="C63" s="6" t="str">
        <f aca="false">HYPERLINK("https://partner.tcgplayer.com/c/6278691/1780961/21018?u=https%3A%2F%2Fwww.tcgplayer.com%2Fproduct%2F523641%3Futm_source%3Dimpact%26utm_medium%3Daffiliate%26utm_campaign%3Dpoke%2Bcottage","Kingdra")</f>
        <v>Kingdra</v>
      </c>
      <c r="D63" s="5" t="s">
        <v>32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HYPERLINK("https://partner.tcgplayer.com/c/6278691/1780961/21018?u=https%3A%2F%2Fwww.tcgplayer.com%2Fproduct%2F523642%3Futm_source%3Dimpact%26utm_medium%3Daffiliate%26utm_campaign%3Dpoke%2Bcottage","Remoraid")</f>
        <v>Remoraid</v>
      </c>
      <c r="D64" s="5" t="s">
        <v>8</v>
      </c>
      <c r="E64" s="5" t="s">
        <v>9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47</v>
      </c>
      <c r="C65" s="6" t="str">
        <f aca="false">HYPERLINK("https://partner.tcgplayer.com/c/6278691/1780961/21018?u=https%3A%2F%2Fwww.tcgplayer.com%2Fproduct%2F523642%3Futm_source%3Dimpact%26utm_medium%3Daffiliate%26utm_campaign%3Dpoke%2Bcottage","Remoraid")</f>
        <v>Remoraid</v>
      </c>
      <c r="D65" s="5" t="s">
        <v>8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HYPERLINK("https://partner.tcgplayer.com/c/6278691/1780961/21018?u=https%3A%2F%2Fwww.tcgplayer.com%2Fproduct%2F523643%3Futm_source%3Dimpact%26utm_medium%3Daffiliate%26utm_campaign%3Dpoke%2Bcottage","Octillery")</f>
        <v>Octillery</v>
      </c>
      <c r="D66" s="5" t="s">
        <v>8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48</v>
      </c>
      <c r="C67" s="6" t="str">
        <f aca="false">HYPERLINK("https://partner.tcgplayer.com/c/6278691/1780961/21018?u=https%3A%2F%2Fwww.tcgplayer.com%2Fproduct%2F523643%3Futm_source%3Dimpact%26utm_medium%3Daffiliate%26utm_campaign%3Dpoke%2Bcottage","Octillery")</f>
        <v>Octillery</v>
      </c>
      <c r="D67" s="5" t="s">
        <v>8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HYPERLINK("https://partner.tcgplayer.com/c/6278691/1780961/21018?u=https%3A%2F%2Fwww.tcgplayer.com%2Fproduct%2F523644%3Futm_source%3Dimpact%26utm_medium%3Daffiliate%26utm_campaign%3Dpoke%2Bcottage","Feebas")</f>
        <v>Feebas</v>
      </c>
      <c r="D68" s="5" t="s">
        <v>8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49</v>
      </c>
      <c r="C69" s="6" t="str">
        <f aca="false">HYPERLINK("https://partner.tcgplayer.com/c/6278691/1780961/21018?u=https%3A%2F%2Fwww.tcgplayer.com%2Fproduct%2F523644%3Futm_source%3Dimpact%26utm_medium%3Daffiliate%26utm_campaign%3Dpoke%2Bcottage","Feebas")</f>
        <v>Feebas</v>
      </c>
      <c r="D69" s="5" t="s">
        <v>8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HYPERLINK("https://partner.tcgplayer.com/c/6278691/1780961/21018?u=https%3A%2F%2Fwww.tcgplayer.com%2Fproduct%2F523645%3Futm_source%3Dimpact%26utm_medium%3Daffiliate%26utm_campaign%3Dpoke%2Bcottage","Milotic")</f>
        <v>Milotic</v>
      </c>
      <c r="D70" s="5" t="s">
        <v>32</v>
      </c>
      <c r="E70" s="5" t="s">
        <v>16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50</v>
      </c>
      <c r="C71" s="6" t="str">
        <f aca="false">HYPERLINK("https://partner.tcgplayer.com/c/6278691/1780961/21018?u=https%3A%2F%2Fwww.tcgplayer.com%2Fproduct%2F523645%3Futm_source%3Dimpact%26utm_medium%3Daffiliate%26utm_campaign%3Dpoke%2Bcottage","Milotic")</f>
        <v>Milotic</v>
      </c>
      <c r="D71" s="5" t="s">
        <v>32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51</v>
      </c>
      <c r="C72" s="6" t="str">
        <f aca="false">HYPERLINK("https://partner.tcgplayer.com/c/6278691/1780961/21018?u=https%3A%2F%2Fwww.tcgplayer.com%2Fproduct%2F523646%3Futm_source%3Dimpact%26utm_medium%3Daffiliate%26utm_campaign%3Dpoke%2Bcottage","Snorunt")</f>
        <v>Snorunt</v>
      </c>
      <c r="D72" s="5" t="s">
        <v>8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51</v>
      </c>
      <c r="C73" s="6" t="str">
        <f aca="false">HYPERLINK("https://partner.tcgplayer.com/c/6278691/1780961/21018?u=https%3A%2F%2Fwww.tcgplayer.com%2Fproduct%2F523646%3Futm_source%3Dimpact%26utm_medium%3Daffiliate%26utm_campaign%3Dpoke%2Bcottage","Snorunt")</f>
        <v>Snorunt</v>
      </c>
      <c r="D73" s="5" t="s">
        <v>8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52</v>
      </c>
      <c r="C74" s="6" t="str">
        <f aca="false">HYPERLINK("https://partner.tcgplayer.com/c/6278691/1780961/21018?u=https%3A%2F%2Fwww.tcgplayer.com%2Fproduct%2F523647%3Futm_source%3Dimpact%26utm_medium%3Daffiliate%26utm_campaign%3Dpoke%2Bcottage","Garchomp ex")</f>
        <v>Garchomp ex</v>
      </c>
      <c r="D74" s="5" t="s">
        <v>15</v>
      </c>
      <c r="E74" s="5" t="s">
        <v>16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HYPERLINK("https://partner.tcgplayer.com/c/6278691/1780961/21018?u=https%3A%2F%2Fwww.tcgplayer.com%2Fproduct%2F523648%3Futm_source%3Dimpact%26utm_medium%3Daffiliate%26utm_campaign%3Dpoke%2Bcottage","Mantyke")</f>
        <v>Mantyke</v>
      </c>
      <c r="D75" s="5" t="s">
        <v>8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53</v>
      </c>
      <c r="C76" s="6" t="str">
        <f aca="false">HYPERLINK("https://partner.tcgplayer.com/c/6278691/1780961/21018?u=https%3A%2F%2Fwww.tcgplayer.com%2Fproduct%2F523648%3Futm_source%3Dimpact%26utm_medium%3Daffiliate%26utm_campaign%3Dpoke%2Bcottage","Mantyke")</f>
        <v>Mantyke</v>
      </c>
      <c r="D76" s="5" t="s">
        <v>8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HYPERLINK("https://partner.tcgplayer.com/c/6278691/1780961/21018?u=https%3A%2F%2Fwww.tcgplayer.com%2Fproduct%2F523649%3Futm_source%3Dimpact%26utm_medium%3Daffiliate%26utm_campaign%3Dpoke%2Bcottage","Palkia")</f>
        <v>Palkia</v>
      </c>
      <c r="D77" s="5" t="s">
        <v>32</v>
      </c>
      <c r="E77" s="5" t="s">
        <v>16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54</v>
      </c>
      <c r="C78" s="6" t="str">
        <f aca="false">HYPERLINK("https://partner.tcgplayer.com/c/6278691/1780961/21018?u=https%3A%2F%2Fwww.tcgplayer.com%2Fproduct%2F523649%3Futm_source%3Dimpact%26utm_medium%3Daffiliate%26utm_campaign%3Dpoke%2Bcottage","Palkia")</f>
        <v>Palkia</v>
      </c>
      <c r="D78" s="5" t="s">
        <v>32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HYPERLINK("https://partner.tcgplayer.com/c/6278691/1780961/21018?u=https%3A%2F%2Fwww.tcgplayer.com%2Fproduct%2F523650%3Futm_source%3Dimpact%26utm_medium%3Daffiliate%26utm_campaign%3Dpoke%2Bcottage","Panpour")</f>
        <v>Panpour</v>
      </c>
      <c r="D79" s="5" t="s">
        <v>8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55</v>
      </c>
      <c r="C80" s="6" t="str">
        <f aca="false">HYPERLINK("https://partner.tcgplayer.com/c/6278691/1780961/21018?u=https%3A%2F%2Fwww.tcgplayer.com%2Fproduct%2F523650%3Futm_source%3Dimpact%26utm_medium%3Daffiliate%26utm_campaign%3Dpoke%2Bcottage","Panpour")</f>
        <v>Panpour</v>
      </c>
      <c r="D80" s="5" t="s">
        <v>8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HYPERLINK("https://partner.tcgplayer.com/c/6278691/1780961/21018?u=https%3A%2F%2Fwww.tcgplayer.com%2Fproduct%2F523651%3Futm_source%3Dimpact%26utm_medium%3Daffiliate%26utm_campaign%3Dpoke%2Bcottage","Simipour")</f>
        <v>Simipour</v>
      </c>
      <c r="D81" s="5" t="s">
        <v>13</v>
      </c>
      <c r="E81" s="5" t="s">
        <v>9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56</v>
      </c>
      <c r="C82" s="6" t="str">
        <f aca="false">HYPERLINK("https://partner.tcgplayer.com/c/6278691/1780961/21018?u=https%3A%2F%2Fwww.tcgplayer.com%2Fproduct%2F523651%3Futm_source%3Dimpact%26utm_medium%3Daffiliate%26utm_campaign%3Dpoke%2Bcottage","Simipour")</f>
        <v>Simipour</v>
      </c>
      <c r="D82" s="5" t="s">
        <v>13</v>
      </c>
      <c r="E82" s="5" t="s">
        <v>11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57</v>
      </c>
      <c r="C83" s="6" t="str">
        <f aca="false">HYPERLINK("https://partner.tcgplayer.com/c/6278691/1780961/21018?u=https%3A%2F%2Fwww.tcgplayer.com%2Fproduct%2F523652%3Futm_source%3Dimpact%26utm_medium%3Daffiliate%26utm_campaign%3Dpoke%2Bcottage","Vanillite")</f>
        <v>Vanillite</v>
      </c>
      <c r="D83" s="5" t="s">
        <v>8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57</v>
      </c>
      <c r="C84" s="6" t="str">
        <f aca="false">HYPERLINK("https://partner.tcgplayer.com/c/6278691/1780961/21018?u=https%3A%2F%2Fwww.tcgplayer.com%2Fproduct%2F523652%3Futm_source%3Dimpact%26utm_medium%3Daffiliate%26utm_campaign%3Dpoke%2Bcottage","Vanillite")</f>
        <v>Vanillite</v>
      </c>
      <c r="D84" s="5" t="s">
        <v>8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58</v>
      </c>
      <c r="C85" s="6" t="str">
        <f aca="false">HYPERLINK("https://partner.tcgplayer.com/c/6278691/1780961/21018?u=https%3A%2F%2Fwww.tcgplayer.com%2Fproduct%2F523653%3Futm_source%3Dimpact%26utm_medium%3Daffiliate%26utm_campaign%3Dpoke%2Bcottage","Vanillish")</f>
        <v>Vanillish</v>
      </c>
      <c r="D85" s="5" t="s">
        <v>8</v>
      </c>
      <c r="E85" s="5" t="s">
        <v>9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58</v>
      </c>
      <c r="C86" s="6" t="str">
        <f aca="false">HYPERLINK("https://partner.tcgplayer.com/c/6278691/1780961/21018?u=https%3A%2F%2Fwww.tcgplayer.com%2Fproduct%2F523653%3Futm_source%3Dimpact%26utm_medium%3Daffiliate%26utm_campaign%3Dpoke%2Bcottage","Vanillish")</f>
        <v>Vanillish</v>
      </c>
      <c r="D86" s="5" t="s">
        <v>8</v>
      </c>
      <c r="E86" s="5" t="s">
        <v>11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59</v>
      </c>
      <c r="C87" s="6" t="str">
        <f aca="false">HYPERLINK("https://partner.tcgplayer.com/c/6278691/1780961/21018?u=https%3A%2F%2Fwww.tcgplayer.com%2Fproduct%2F523654%3Futm_source%3Dimpact%26utm_medium%3Daffiliate%26utm_campaign%3Dpoke%2Bcottage","Vanilluxe")</f>
        <v>Vanilluxe</v>
      </c>
      <c r="D87" s="5" t="s">
        <v>13</v>
      </c>
      <c r="E87" s="5" t="s">
        <v>9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59</v>
      </c>
      <c r="C88" s="6" t="str">
        <f aca="false">HYPERLINK("https://partner.tcgplayer.com/c/6278691/1780961/21018?u=https%3A%2F%2Fwww.tcgplayer.com%2Fproduct%2F523654%3Futm_source%3Dimpact%26utm_medium%3Daffiliate%26utm_campaign%3Dpoke%2Bcottage","Vanilluxe")</f>
        <v>Vanilluxe</v>
      </c>
      <c r="D88" s="5" t="s">
        <v>13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HYPERLINK("https://partner.tcgplayer.com/c/6278691/1780961/21018?u=https%3A%2F%2Fwww.tcgplayer.com%2Fproduct%2F523655%3Futm_source%3Dimpact%26utm_medium%3Daffiliate%26utm_campaign%3Dpoke%2Bcottage","Tsareena ex")</f>
        <v>Tsareena ex</v>
      </c>
      <c r="D89" s="5" t="s">
        <v>15</v>
      </c>
      <c r="E89" s="5" t="s">
        <v>16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HYPERLINK("https://partner.tcgplayer.com/c/6278691/1780961/21018?u=https%3A%2F%2Fwww.tcgplayer.com%2Fproduct%2F523656%3Futm_source%3Dimpact%26utm_medium%3Daffiliate%26utm_campaign%3Dpoke%2Bcottage","Wimpod")</f>
        <v>Wimpod</v>
      </c>
      <c r="D90" s="5" t="s">
        <v>8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HYPERLINK("https://partner.tcgplayer.com/c/6278691/1780961/21018?u=https%3A%2F%2Fwww.tcgplayer.com%2Fproduct%2F523656%3Futm_source%3Dimpact%26utm_medium%3Daffiliate%26utm_campaign%3Dpoke%2Bcottage","Wimpod")</f>
        <v>Wimpod</v>
      </c>
      <c r="D91" s="5" t="s">
        <v>8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HYPERLINK("https://partner.tcgplayer.com/c/6278691/1780961/21018?u=https%3A%2F%2Fwww.tcgplayer.com%2Fproduct%2F523657%3Futm_source%3Dimpact%26utm_medium%3Daffiliate%26utm_campaign%3Dpoke%2Bcottage","Wimpod")</f>
        <v>Wimpod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62</v>
      </c>
      <c r="C93" s="6" t="str">
        <f aca="false">HYPERLINK("https://partner.tcgplayer.com/c/6278691/1780961/21018?u=https%3A%2F%2Fwww.tcgplayer.com%2Fproduct%2F523657%3Futm_source%3Dimpact%26utm_medium%3Daffiliate%26utm_campaign%3Dpoke%2Bcottage","Wimpod")</f>
        <v>Wimpod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HYPERLINK("https://partner.tcgplayer.com/c/6278691/1780961/21018?u=https%3A%2F%2Fwww.tcgplayer.com%2Fproduct%2F523659%3Futm_source%3Dimpact%26utm_medium%3Daffiliate%26utm_campaign%3Dpoke%2Bcottage","Golisopod")</f>
        <v>Golisopod</v>
      </c>
      <c r="D94" s="5" t="s">
        <v>32</v>
      </c>
      <c r="E94" s="5" t="s">
        <v>16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63</v>
      </c>
      <c r="C95" s="6" t="str">
        <f aca="false">HYPERLINK("https://partner.tcgplayer.com/c/6278691/1780961/21018?u=https%3A%2F%2Fwww.tcgplayer.com%2Fproduct%2F523659%3Futm_source%3Dimpact%26utm_medium%3Daffiliate%26utm_campaign%3Dpoke%2Bcottage","Golisopod")</f>
        <v>Golisopod</v>
      </c>
      <c r="D95" s="5" t="s">
        <v>32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HYPERLINK("https://partner.tcgplayer.com/c/6278691/1780961/21018?u=https%3A%2F%2Fwww.tcgplayer.com%2Fproduct%2F523660%3Futm_source%3Dimpact%26utm_medium%3Daffiliate%26utm_campaign%3Dpoke%2Bcottage","Golisopod ex")</f>
        <v>Golisopod ex</v>
      </c>
      <c r="D96" s="5" t="s">
        <v>15</v>
      </c>
      <c r="E96" s="5" t="s">
        <v>16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HYPERLINK("https://partner.tcgplayer.com/c/6278691/1780961/21018?u=https%3A%2F%2Fwww.tcgplayer.com%2Fproduct%2F523661%3Futm_source%3Dimpact%26utm_medium%3Daffiliate%26utm_campaign%3Dpoke%2Bcottage","Wiglett")</f>
        <v>Wiglett</v>
      </c>
      <c r="D97" s="5" t="s">
        <v>8</v>
      </c>
      <c r="E97" s="5" t="s">
        <v>9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HYPERLINK("https://partner.tcgplayer.com/c/6278691/1780961/21018?u=https%3A%2F%2Fwww.tcgplayer.com%2Fproduct%2F523661%3Futm_source%3Dimpact%26utm_medium%3Daffiliate%26utm_campaign%3Dpoke%2Bcottage","Wiglett")</f>
        <v>Wiglett</v>
      </c>
      <c r="D98" s="5" t="s">
        <v>8</v>
      </c>
      <c r="E98" s="5" t="s">
        <v>11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HYPERLINK("https://partner.tcgplayer.com/c/6278691/1780961/21018?u=https%3A%2F%2Fwww.tcgplayer.com%2Fproduct%2F523662%3Futm_source%3Dimpact%26utm_medium%3Daffiliate%26utm_campaign%3Dpoke%2Bcottage","Wiglett")</f>
        <v>Wiglett</v>
      </c>
      <c r="D99" s="5" t="s">
        <v>8</v>
      </c>
      <c r="E99" s="5" t="s">
        <v>9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HYPERLINK("https://partner.tcgplayer.com/c/6278691/1780961/21018?u=https%3A%2F%2Fwww.tcgplayer.com%2Fproduct%2F523662%3Futm_source%3Dimpact%26utm_medium%3Daffiliate%26utm_campaign%3Dpoke%2Bcottage","Wiglett")</f>
        <v>Wiglett</v>
      </c>
      <c r="D100" s="5" t="s">
        <v>8</v>
      </c>
      <c r="E100" s="5" t="s">
        <v>11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HYPERLINK("https://partner.tcgplayer.com/c/6278691/1780961/21018?u=https%3A%2F%2Fwww.tcgplayer.com%2Fproduct%2F523663%3Futm_source%3Dimpact%26utm_medium%3Daffiliate%26utm_campaign%3Dpoke%2Bcottage","Wugtrio")</f>
        <v>Wugtrio</v>
      </c>
      <c r="D101" s="5" t="s">
        <v>13</v>
      </c>
      <c r="E101" s="5" t="s">
        <v>9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HYPERLINK("https://partner.tcgplayer.com/c/6278691/1780961/21018?u=https%3A%2F%2Fwww.tcgplayer.com%2Fproduct%2F523663%3Futm_source%3Dimpact%26utm_medium%3Daffiliate%26utm_campaign%3Dpoke%2Bcottage","Wugtrio")</f>
        <v>Wugtrio</v>
      </c>
      <c r="D102" s="5" t="s">
        <v>13</v>
      </c>
      <c r="E102" s="5" t="s">
        <v>11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HYPERLINK("https://partner.tcgplayer.com/c/6278691/1780961/21018?u=https%3A%2F%2Fwww.tcgplayer.com%2Fproduct%2F523664%3Futm_source%3Dimpact%26utm_medium%3Daffiliate%26utm_campaign%3Dpoke%2Bcottage","Veluza")</f>
        <v>Veluza</v>
      </c>
      <c r="D103" s="5" t="s">
        <v>13</v>
      </c>
      <c r="E103" s="5" t="s">
        <v>9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68</v>
      </c>
      <c r="C104" s="6" t="str">
        <f aca="false">HYPERLINK("https://partner.tcgplayer.com/c/6278691/1780961/21018?u=https%3A%2F%2Fwww.tcgplayer.com%2Fproduct%2F523664%3Futm_source%3Dimpact%26utm_medium%3Daffiliate%26utm_campaign%3Dpoke%2Bcottage","Veluza")</f>
        <v>Veluza</v>
      </c>
      <c r="D104" s="5" t="s">
        <v>13</v>
      </c>
      <c r="E104" s="5" t="s">
        <v>11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HYPERLINK("https://partner.tcgplayer.com/c/6278691/1780961/21018?u=https%3A%2F%2Fwww.tcgplayer.com%2Fproduct%2F523665%3Futm_source%3Dimpact%26utm_medium%3Daffiliate%26utm_campaign%3Dpoke%2Bcottage","Dondozo")</f>
        <v>Dondozo</v>
      </c>
      <c r="D105" s="5" t="s">
        <v>13</v>
      </c>
      <c r="E105" s="5" t="s">
        <v>9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69</v>
      </c>
      <c r="C106" s="6" t="str">
        <f aca="false">HYPERLINK("https://partner.tcgplayer.com/c/6278691/1780961/21018?u=https%3A%2F%2Fwww.tcgplayer.com%2Fproduct%2F523665%3Futm_source%3Dimpact%26utm_medium%3Daffiliate%26utm_campaign%3Dpoke%2Bcottage","Dondozo")</f>
        <v>Dondozo</v>
      </c>
      <c r="D106" s="5" t="s">
        <v>13</v>
      </c>
      <c r="E106" s="5" t="s">
        <v>11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HYPERLINK("https://partner.tcgplayer.com/c/6278691/1780961/21018?u=https%3A%2F%2Fwww.tcgplayer.com%2Fproduct%2F523666%3Futm_source%3Dimpact%26utm_medium%3Daffiliate%26utm_campaign%3Dpoke%2Bcottage","Iron Bundle")</f>
        <v>Iron Bundle</v>
      </c>
      <c r="D107" s="5" t="s">
        <v>13</v>
      </c>
      <c r="E107" s="5" t="s">
        <v>9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70</v>
      </c>
      <c r="C108" s="6" t="str">
        <f aca="false">HYPERLINK("https://partner.tcgplayer.com/c/6278691/1780961/21018?u=https%3A%2F%2Fwww.tcgplayer.com%2Fproduct%2F523666%3Futm_source%3Dimpact%26utm_medium%3Daffiliate%26utm_campaign%3Dpoke%2Bcottage","Iron Bundle")</f>
        <v>Iron Bundle</v>
      </c>
      <c r="D108" s="5" t="s">
        <v>13</v>
      </c>
      <c r="E108" s="5" t="s">
        <v>11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HYPERLINK("https://partner.tcgplayer.com/c/6278691/1780961/21018?u=https%3A%2F%2Fwww.tcgplayer.com%2Fproduct%2F523668%3Futm_source%3Dimpact%26utm_medium%3Daffiliate%26utm_campaign%3Dpoke%2Bcottage","Chien-Pao")</f>
        <v>Chien-Pao</v>
      </c>
      <c r="D109" s="5" t="s">
        <v>32</v>
      </c>
      <c r="E109" s="5" t="s">
        <v>16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71</v>
      </c>
      <c r="C110" s="6" t="str">
        <f aca="false">HYPERLINK("https://partner.tcgplayer.com/c/6278691/1780961/21018?u=https%3A%2F%2Fwww.tcgplayer.com%2Fproduct%2F523668%3Futm_source%3Dimpact%26utm_medium%3Daffiliate%26utm_campaign%3Dpoke%2Bcottage","Chien-Pao")</f>
        <v>Chien-Pao</v>
      </c>
      <c r="D110" s="5" t="s">
        <v>32</v>
      </c>
      <c r="E110" s="5" t="s">
        <v>11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HYPERLINK("https://partner.tcgplayer.com/c/6278691/1780961/21018?u=https%3A%2F%2Fwww.tcgplayer.com%2Fproduct%2F523670%3Futm_source%3Dimpact%26utm_medium%3Daffiliate%26utm_campaign%3Dpoke%2Bcottage","Mewtwo ex")</f>
        <v>Mewtwo ex</v>
      </c>
      <c r="D111" s="5" t="s">
        <v>15</v>
      </c>
      <c r="E111" s="5" t="s">
        <v>16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HYPERLINK("https://partner.tcgplayer.com/c/6278691/1780961/21018?u=https%3A%2F%2Fwww.tcgplayer.com%2Fproduct%2F523671%3Futm_source%3Dimpact%26utm_medium%3Daffiliate%26utm_campaign%3Dpoke%2Bcottage","Elekid")</f>
        <v>Elekid</v>
      </c>
      <c r="D112" s="5" t="s">
        <v>8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HYPERLINK("https://partner.tcgplayer.com/c/6278691/1780961/21018?u=https%3A%2F%2Fwww.tcgplayer.com%2Fproduct%2F523671%3Futm_source%3Dimpact%26utm_medium%3Daffiliate%26utm_campaign%3Dpoke%2Bcottage","Elekid")</f>
        <v>Elekid</v>
      </c>
      <c r="D113" s="5" t="s">
        <v>8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HYPERLINK("https://partner.tcgplayer.com/c/6278691/1780961/21018?u=https%3A%2F%2Fwww.tcgplayer.com%2Fproduct%2F523673%3Futm_source%3Dimpact%26utm_medium%3Daffiliate%26utm_campaign%3Dpoke%2Bcottage","Plusle")</f>
        <v>Plusle</v>
      </c>
      <c r="D114" s="5" t="s">
        <v>8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74</v>
      </c>
      <c r="C115" s="6" t="str">
        <f aca="false">HYPERLINK("https://partner.tcgplayer.com/c/6278691/1780961/21018?u=https%3A%2F%2Fwww.tcgplayer.com%2Fproduct%2F523673%3Futm_source%3Dimpact%26utm_medium%3Daffiliate%26utm_campaign%3Dpoke%2Bcottage","Plusle")</f>
        <v>Plusle</v>
      </c>
      <c r="D115" s="5" t="s">
        <v>8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HYPERLINK("https://partner.tcgplayer.com/c/6278691/1780961/21018?u=https%3A%2F%2Fwww.tcgplayer.com%2Fproduct%2F523674%3Futm_source%3Dimpact%26utm_medium%3Daffiliate%26utm_campaign%3Dpoke%2Bcottage","Minun")</f>
        <v>Minun</v>
      </c>
      <c r="D116" s="5" t="s">
        <v>8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75</v>
      </c>
      <c r="C117" s="6" t="str">
        <f aca="false">HYPERLINK("https://partner.tcgplayer.com/c/6278691/1780961/21018?u=https%3A%2F%2Fwww.tcgplayer.com%2Fproduct%2F523674%3Futm_source%3Dimpact%26utm_medium%3Daffiliate%26utm_campaign%3Dpoke%2Bcottage","Minun")</f>
        <v>Minun</v>
      </c>
      <c r="D117" s="5" t="s">
        <v>8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HYPERLINK("https://partner.tcgplayer.com/c/6278691/1780961/21018?u=https%3A%2F%2Fwww.tcgplayer.com%2Fproduct%2F523675%3Futm_source%3Dimpact%26utm_medium%3Daffiliate%26utm_campaign%3Dpoke%2Bcottage","Blitzle")</f>
        <v>Blitzle</v>
      </c>
      <c r="D118" s="5" t="s">
        <v>8</v>
      </c>
      <c r="E118" s="5" t="s">
        <v>9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76</v>
      </c>
      <c r="C119" s="6" t="str">
        <f aca="false">HYPERLINK("https://partner.tcgplayer.com/c/6278691/1780961/21018?u=https%3A%2F%2Fwww.tcgplayer.com%2Fproduct%2F523675%3Futm_source%3Dimpact%26utm_medium%3Daffiliate%26utm_campaign%3Dpoke%2Bcottage","Blitzle")</f>
        <v>Blitzle</v>
      </c>
      <c r="D119" s="5" t="s">
        <v>8</v>
      </c>
      <c r="E119" s="5" t="s">
        <v>11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HYPERLINK("https://partner.tcgplayer.com/c/6278691/1780961/21018?u=https%3A%2F%2Fwww.tcgplayer.com%2Fproduct%2F523679%3Futm_source%3Dimpact%26utm_medium%3Daffiliate%26utm_campaign%3Dpoke%2Bcottage","Zebstrika")</f>
        <v>Zebstrika</v>
      </c>
      <c r="D120" s="5" t="s">
        <v>13</v>
      </c>
      <c r="E120" s="5" t="s">
        <v>9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77</v>
      </c>
      <c r="C121" s="6" t="str">
        <f aca="false">HYPERLINK("https://partner.tcgplayer.com/c/6278691/1780961/21018?u=https%3A%2F%2Fwww.tcgplayer.com%2Fproduct%2F523679%3Futm_source%3Dimpact%26utm_medium%3Daffiliate%26utm_campaign%3Dpoke%2Bcottage","Zebstrika")</f>
        <v>Zebstrika</v>
      </c>
      <c r="D121" s="5" t="s">
        <v>13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HYPERLINK("https://partner.tcgplayer.com/c/6278691/1780961/21018?u=https%3A%2F%2Fwww.tcgplayer.com%2Fproduct%2F523698%3Futm_source%3Dimpact%26utm_medium%3Daffiliate%26utm_campaign%3Dpoke%2Bcottage","Joltik")</f>
        <v>Joltik</v>
      </c>
      <c r="D122" s="5" t="s">
        <v>8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78</v>
      </c>
      <c r="C123" s="6" t="str">
        <f aca="false">HYPERLINK("https://partner.tcgplayer.com/c/6278691/1780961/21018?u=https%3A%2F%2Fwww.tcgplayer.com%2Fproduct%2F523698%3Futm_source%3Dimpact%26utm_medium%3Daffiliate%26utm_campaign%3Dpoke%2Bcottage","Joltik")</f>
        <v>Joltik</v>
      </c>
      <c r="D123" s="5" t="s">
        <v>8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HYPERLINK("https://partner.tcgplayer.com/c/6278691/1780961/21018?u=https%3A%2F%2Fwww.tcgplayer.com%2Fproduct%2F523699%3Futm_source%3Dimpact%26utm_medium%3Daffiliate%26utm_campaign%3Dpoke%2Bcottage","Galvantula")</f>
        <v>Galvantula</v>
      </c>
      <c r="D124" s="5" t="s">
        <v>8</v>
      </c>
      <c r="E124" s="5" t="s">
        <v>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79</v>
      </c>
      <c r="C125" s="6" t="str">
        <f aca="false">HYPERLINK("https://partner.tcgplayer.com/c/6278691/1780961/21018?u=https%3A%2F%2Fwww.tcgplayer.com%2Fproduct%2F523699%3Futm_source%3Dimpact%26utm_medium%3Daffiliate%26utm_campaign%3Dpoke%2Bcottage","Galvantula")</f>
        <v>Galvantula</v>
      </c>
      <c r="D125" s="5" t="s">
        <v>8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HYPERLINK("https://partner.tcgplayer.com/c/6278691/1780961/21018?u=https%3A%2F%2Fwww.tcgplayer.com%2Fproduct%2F523700%3Futm_source%3Dimpact%26utm_medium%3Daffiliate%26utm_campaign%3Dpoke%2Bcottage","Zekrom")</f>
        <v>Zekrom</v>
      </c>
      <c r="D126" s="5" t="s">
        <v>32</v>
      </c>
      <c r="E126" s="5" t="s">
        <v>16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80</v>
      </c>
      <c r="C127" s="6" t="str">
        <f aca="false">HYPERLINK("https://partner.tcgplayer.com/c/6278691/1780961/21018?u=https%3A%2F%2Fwww.tcgplayer.com%2Fproduct%2F523700%3Futm_source%3Dimpact%26utm_medium%3Daffiliate%26utm_campaign%3Dpoke%2Bcottage","Zekrom")</f>
        <v>Zekrom</v>
      </c>
      <c r="D127" s="5" t="s">
        <v>32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HYPERLINK("https://partner.tcgplayer.com/c/6278691/1780961/21018?u=https%3A%2F%2Fwww.tcgplayer.com%2Fproduct%2F523702%3Futm_source%3Dimpact%26utm_medium%3Daffiliate%26utm_campaign%3Dpoke%2Bcottage","Oricorio")</f>
        <v>Oricorio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81</v>
      </c>
      <c r="C129" s="6" t="str">
        <f aca="false">HYPERLINK("https://partner.tcgplayer.com/c/6278691/1780961/21018?u=https%3A%2F%2Fwww.tcgplayer.com%2Fproduct%2F523702%3Futm_source%3Dimpact%26utm_medium%3Daffiliate%26utm_campaign%3Dpoke%2Bcottage","Oricorio")</f>
        <v>Oricorio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HYPERLINK("https://partner.tcgplayer.com/c/6278691/1780961/21018?u=https%3A%2F%2Fwww.tcgplayer.com%2Fproduct%2F523703%3Futm_source%3Dimpact%26utm_medium%3Daffiliate%26utm_campaign%3Dpoke%2Bcottage","Tapu Koko ex")</f>
        <v>Tapu Koko ex</v>
      </c>
      <c r="D130" s="5" t="s">
        <v>15</v>
      </c>
      <c r="E130" s="5" t="s">
        <v>16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HYPERLINK("https://partner.tcgplayer.com/c/6278691/1780961/21018?u=https%3A%2F%2Fwww.tcgplayer.com%2Fproduct%2F523705%3Futm_source%3Dimpact%26utm_medium%3Daffiliate%26utm_campaign%3Dpoke%2Bcottage","Toxel")</f>
        <v>Toxel</v>
      </c>
      <c r="D131" s="5" t="s">
        <v>8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83</v>
      </c>
      <c r="C132" s="6" t="str">
        <f aca="false">HYPERLINK("https://partner.tcgplayer.com/c/6278691/1780961/21018?u=https%3A%2F%2Fwww.tcgplayer.com%2Fproduct%2F523705%3Futm_source%3Dimpact%26utm_medium%3Daffiliate%26utm_campaign%3Dpoke%2Bcottage","Toxel")</f>
        <v>Toxel</v>
      </c>
      <c r="D132" s="5" t="s">
        <v>8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HYPERLINK("https://partner.tcgplayer.com/c/6278691/1780961/21018?u=https%3A%2F%2Fwww.tcgplayer.com%2Fproduct%2F523706%3Futm_source%3Dimpact%26utm_medium%3Daffiliate%26utm_campaign%3Dpoke%2Bcottage","Iron Hands ex")</f>
        <v>Iron Hands ex</v>
      </c>
      <c r="D133" s="5" t="s">
        <v>15</v>
      </c>
      <c r="E133" s="5" t="s">
        <v>16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HYPERLINK("https://partner.tcgplayer.com/c/6278691/1780961/21018?u=https%3A%2F%2Fwww.tcgplayer.com%2Fproduct%2F523707%3Futm_source%3Dimpact%26utm_medium%3Daffiliate%26utm_campaign%3Dpoke%2Bcottage","Natu")</f>
        <v>Natu</v>
      </c>
      <c r="D134" s="5" t="s">
        <v>8</v>
      </c>
      <c r="E134" s="5" t="s">
        <v>9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HYPERLINK("https://partner.tcgplayer.com/c/6278691/1780961/21018?u=https%3A%2F%2Fwww.tcgplayer.com%2Fproduct%2F523707%3Futm_source%3Dimpact%26utm_medium%3Daffiliate%26utm_campaign%3Dpoke%2Bcottage","Natu")</f>
        <v>Natu</v>
      </c>
      <c r="D135" s="5" t="s">
        <v>8</v>
      </c>
      <c r="E135" s="5" t="s">
        <v>11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HYPERLINK("https://partner.tcgplayer.com/c/6278691/1780961/21018?u=https%3A%2F%2Fwww.tcgplayer.com%2Fproduct%2F523725%3Futm_source%3Dimpact%26utm_medium%3Daffiliate%26utm_campaign%3Dpoke%2Bcottage","Xatu")</f>
        <v>Xatu</v>
      </c>
      <c r="D136" s="5" t="s">
        <v>32</v>
      </c>
      <c r="E136" s="5" t="s">
        <v>16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HYPERLINK("https://partner.tcgplayer.com/c/6278691/1780961/21018?u=https%3A%2F%2Fwww.tcgplayer.com%2Fproduct%2F523725%3Futm_source%3Dimpact%26utm_medium%3Daffiliate%26utm_campaign%3Dpoke%2Bcottage","Xatu")</f>
        <v>Xatu</v>
      </c>
      <c r="D137" s="5" t="s">
        <v>32</v>
      </c>
      <c r="E137" s="5" t="s">
        <v>11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HYPERLINK("https://partner.tcgplayer.com/c/6278691/1780961/21018?u=https%3A%2F%2Fwww.tcgplayer.com%2Fproduct%2F523727%3Futm_source%3Dimpact%26utm_medium%3Daffiliate%26utm_campaign%3Dpoke%2Bcottage","Latios")</f>
        <v>Latios</v>
      </c>
      <c r="D138" s="5" t="s">
        <v>32</v>
      </c>
      <c r="E138" s="5" t="s">
        <v>16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HYPERLINK("https://partner.tcgplayer.com/c/6278691/1780961/21018?u=https%3A%2F%2Fwww.tcgplayer.com%2Fproduct%2F523727%3Futm_source%3Dimpact%26utm_medium%3Daffiliate%26utm_campaign%3Dpoke%2Bcottage","Latios")</f>
        <v>Latios</v>
      </c>
      <c r="D139" s="5" t="s">
        <v>32</v>
      </c>
      <c r="E139" s="5" t="s">
        <v>11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HYPERLINK("https://partner.tcgplayer.com/c/6278691/1780961/21018?u=https%3A%2F%2Fwww.tcgplayer.com%2Fproduct%2F523734%3Futm_source%3Dimpact%26utm_medium%3Daffiliate%26utm_campaign%3Dpoke%2Bcottage","Deoxys")</f>
        <v>Deoxys</v>
      </c>
      <c r="D140" s="5" t="s">
        <v>32</v>
      </c>
      <c r="E140" s="5" t="s">
        <v>16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HYPERLINK("https://partner.tcgplayer.com/c/6278691/1780961/21018?u=https%3A%2F%2Fwww.tcgplayer.com%2Fproduct%2F523734%3Futm_source%3Dimpact%26utm_medium%3Daffiliate%26utm_campaign%3Dpoke%2Bcottage","Deoxys")</f>
        <v>Deoxys</v>
      </c>
      <c r="D141" s="5" t="s">
        <v>32</v>
      </c>
      <c r="E141" s="5" t="s">
        <v>11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89</v>
      </c>
      <c r="C142" s="6" t="str">
        <f aca="false">HYPERLINK("https://partner.tcgplayer.com/c/6278691/1780961/21018?u=https%3A%2F%2Fwww.tcgplayer.com%2Fproduct%2F523735%3Futm_source%3Dimpact%26utm_medium%3Daffiliate%26utm_campaign%3Dpoke%2Bcottage","Yamask")</f>
        <v>Yamask</v>
      </c>
      <c r="D142" s="5" t="s">
        <v>8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HYPERLINK("https://partner.tcgplayer.com/c/6278691/1780961/21018?u=https%3A%2F%2Fwww.tcgplayer.com%2Fproduct%2F523735%3Futm_source%3Dimpact%26utm_medium%3Daffiliate%26utm_campaign%3Dpoke%2Bcottage","Yamask")</f>
        <v>Yamask</v>
      </c>
      <c r="D143" s="5" t="s">
        <v>8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90</v>
      </c>
      <c r="C144" s="6" t="str">
        <f aca="false">HYPERLINK("https://partner.tcgplayer.com/c/6278691/1780961/21018?u=https%3A%2F%2Fwww.tcgplayer.com%2Fproduct%2F523736%3Futm_source%3Dimpact%26utm_medium%3Daffiliate%26utm_campaign%3Dpoke%2Bcottage","Cofagrigus ex")</f>
        <v>Cofagrigus ex</v>
      </c>
      <c r="D144" s="5" t="s">
        <v>15</v>
      </c>
      <c r="E144" s="5" t="s">
        <v>16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91</v>
      </c>
      <c r="C145" s="6" t="str">
        <f aca="false">HYPERLINK("https://partner.tcgplayer.com/c/6278691/1780961/21018?u=https%3A%2F%2Fwww.tcgplayer.com%2Fproduct%2F523743%3Futm_source%3Dimpact%26utm_medium%3Daffiliate%26utm_campaign%3Dpoke%2Bcottage","Pumpkaboo")</f>
        <v>Pumpkaboo</v>
      </c>
      <c r="D145" s="5" t="s">
        <v>8</v>
      </c>
      <c r="E145" s="5" t="s">
        <v>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91</v>
      </c>
      <c r="C146" s="6" t="str">
        <f aca="false">HYPERLINK("https://partner.tcgplayer.com/c/6278691/1780961/21018?u=https%3A%2F%2Fwww.tcgplayer.com%2Fproduct%2F523743%3Futm_source%3Dimpact%26utm_medium%3Daffiliate%26utm_campaign%3Dpoke%2Bcottage","Pumpkaboo")</f>
        <v>Pumpkaboo</v>
      </c>
      <c r="D146" s="5" t="s">
        <v>8</v>
      </c>
      <c r="E146" s="5" t="s">
        <v>11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92</v>
      </c>
      <c r="C147" s="6" t="str">
        <f aca="false">HYPERLINK("https://partner.tcgplayer.com/c/6278691/1780961/21018?u=https%3A%2F%2Fwww.tcgplayer.com%2Fproduct%2F523744%3Futm_source%3Dimpact%26utm_medium%3Daffiliate%26utm_campaign%3Dpoke%2Bcottage","Gourgeist")</f>
        <v>Gourgeist</v>
      </c>
      <c r="D147" s="5" t="s">
        <v>13</v>
      </c>
      <c r="E147" s="5" t="s">
        <v>9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92</v>
      </c>
      <c r="C148" s="6" t="str">
        <f aca="false">HYPERLINK("https://partner.tcgplayer.com/c/6278691/1780961/21018?u=https%3A%2F%2Fwww.tcgplayer.com%2Fproduct%2F523744%3Futm_source%3Dimpact%26utm_medium%3Daffiliate%26utm_campaign%3Dpoke%2Bcottage","Gourgeist")</f>
        <v>Gourgeist</v>
      </c>
      <c r="D148" s="5" t="s">
        <v>13</v>
      </c>
      <c r="E148" s="5" t="s">
        <v>11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93</v>
      </c>
      <c r="C149" s="6" t="str">
        <f aca="false">HYPERLINK("https://partner.tcgplayer.com/c/6278691/1780961/21018?u=https%3A%2F%2Fwww.tcgplayer.com%2Fproduct%2F523745%3Futm_source%3Dimpact%26utm_medium%3Daffiliate%26utm_campaign%3Dpoke%2Bcottage","Flittle")</f>
        <v>Flittle</v>
      </c>
      <c r="D149" s="5" t="s">
        <v>8</v>
      </c>
      <c r="E149" s="5" t="s">
        <v>9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93</v>
      </c>
      <c r="C150" s="6" t="str">
        <f aca="false">HYPERLINK("https://partner.tcgplayer.com/c/6278691/1780961/21018?u=https%3A%2F%2Fwww.tcgplayer.com%2Fproduct%2F523745%3Futm_source%3Dimpact%26utm_medium%3Daffiliate%26utm_campaign%3Dpoke%2Bcottage","Flittle")</f>
        <v>Flittle</v>
      </c>
      <c r="D150" s="5" t="s">
        <v>8</v>
      </c>
      <c r="E150" s="5" t="s">
        <v>11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94</v>
      </c>
      <c r="C151" s="6" t="str">
        <f aca="false">HYPERLINK("https://partner.tcgplayer.com/c/6278691/1780961/21018?u=https%3A%2F%2Fwww.tcgplayer.com%2Fproduct%2F523746%3Futm_source%3Dimpact%26utm_medium%3Daffiliate%26utm_campaign%3Dpoke%2Bcottage","Flittle")</f>
        <v>Flittle</v>
      </c>
      <c r="D151" s="5" t="s">
        <v>8</v>
      </c>
      <c r="E151" s="5" t="s">
        <v>9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94</v>
      </c>
      <c r="C152" s="6" t="str">
        <f aca="false">HYPERLINK("https://partner.tcgplayer.com/c/6278691/1780961/21018?u=https%3A%2F%2Fwww.tcgplayer.com%2Fproduct%2F523746%3Futm_source%3Dimpact%26utm_medium%3Daffiliate%26utm_campaign%3Dpoke%2Bcottage","Flittle")</f>
        <v>Flittle</v>
      </c>
      <c r="D152" s="5" t="s">
        <v>8</v>
      </c>
      <c r="E152" s="5" t="s">
        <v>11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95</v>
      </c>
      <c r="C153" s="6" t="str">
        <f aca="false">HYPERLINK("https://partner.tcgplayer.com/c/6278691/1780961/21018?u=https%3A%2F%2Fwww.tcgplayer.com%2Fproduct%2F523747%3Futm_source%3Dimpact%26utm_medium%3Daffiliate%26utm_campaign%3Dpoke%2Bcottage","Espathra")</f>
        <v>Espathra</v>
      </c>
      <c r="D153" s="5" t="s">
        <v>32</v>
      </c>
      <c r="E153" s="5" t="s">
        <v>16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95</v>
      </c>
      <c r="C154" s="6" t="str">
        <f aca="false">HYPERLINK("https://partner.tcgplayer.com/c/6278691/1780961/21018?u=https%3A%2F%2Fwww.tcgplayer.com%2Fproduct%2F523747%3Futm_source%3Dimpact%26utm_medium%3Daffiliate%26utm_campaign%3Dpoke%2Bcottage","Espathra")</f>
        <v>Espathra</v>
      </c>
      <c r="D154" s="5" t="s">
        <v>32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96</v>
      </c>
      <c r="C155" s="6" t="str">
        <f aca="false">HYPERLINK("https://partner.tcgplayer.com/c/6278691/1780961/21018?u=https%3A%2F%2Fwww.tcgplayer.com%2Fproduct%2F523748%3Futm_source%3Dimpact%26utm_medium%3Daffiliate%26utm_campaign%3Dpoke%2Bcottage","Tinkatink")</f>
        <v>Tinkatink</v>
      </c>
      <c r="D155" s="5" t="s">
        <v>8</v>
      </c>
      <c r="E155" s="5" t="s">
        <v>9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HYPERLINK("https://partner.tcgplayer.com/c/6278691/1780961/21018?u=https%3A%2F%2Fwww.tcgplayer.com%2Fproduct%2F523748%3Futm_source%3Dimpact%26utm_medium%3Daffiliate%26utm_campaign%3Dpoke%2Bcottage","Tinkatink")</f>
        <v>Tinkatink</v>
      </c>
      <c r="D156" s="5" t="s">
        <v>8</v>
      </c>
      <c r="E156" s="5" t="s">
        <v>11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97</v>
      </c>
      <c r="C157" s="6" t="str">
        <f aca="false">HYPERLINK("https://partner.tcgplayer.com/c/6278691/1780961/21018?u=https%3A%2F%2Fwww.tcgplayer.com%2Fproduct%2F523749%3Futm_source%3Dimpact%26utm_medium%3Daffiliate%26utm_campaign%3Dpoke%2Bcottage","Tinkatink")</f>
        <v>Tinkatink</v>
      </c>
      <c r="D157" s="5" t="s">
        <v>8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HYPERLINK("https://partner.tcgplayer.com/c/6278691/1780961/21018?u=https%3A%2F%2Fwww.tcgplayer.com%2Fproduct%2F523749%3Futm_source%3Dimpact%26utm_medium%3Daffiliate%26utm_campaign%3Dpoke%2Bcottage","Tinkatink")</f>
        <v>Tinkatink</v>
      </c>
      <c r="D158" s="5" t="s">
        <v>8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98</v>
      </c>
      <c r="C159" s="6" t="str">
        <f aca="false">HYPERLINK("https://partner.tcgplayer.com/c/6278691/1780961/21018?u=https%3A%2F%2Fwww.tcgplayer.com%2Fproduct%2F523750%3Futm_source%3Dimpact%26utm_medium%3Daffiliate%26utm_campaign%3Dpoke%2Bcottage","Tinkatuff")</f>
        <v>Tinkatuff</v>
      </c>
      <c r="D159" s="5" t="s">
        <v>8</v>
      </c>
      <c r="E159" s="5" t="s">
        <v>9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HYPERLINK("https://partner.tcgplayer.com/c/6278691/1780961/21018?u=https%3A%2F%2Fwww.tcgplayer.com%2Fproduct%2F523750%3Futm_source%3Dimpact%26utm_medium%3Daffiliate%26utm_campaign%3Dpoke%2Bcottage","Tinkatuff")</f>
        <v>Tinkatuff</v>
      </c>
      <c r="D160" s="5" t="s">
        <v>8</v>
      </c>
      <c r="E160" s="5" t="s">
        <v>11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99</v>
      </c>
      <c r="C161" s="6" t="str">
        <f aca="false">HYPERLINK("https://partner.tcgplayer.com/c/6278691/1780961/21018?u=https%3A%2F%2Fwww.tcgplayer.com%2Fproduct%2F523751%3Futm_source%3Dimpact%26utm_medium%3Daffiliate%26utm_campaign%3Dpoke%2Bcottage","Tinkaton")</f>
        <v>Tinkaton</v>
      </c>
      <c r="D161" s="5" t="s">
        <v>13</v>
      </c>
      <c r="E161" s="5" t="s">
        <v>9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HYPERLINK("https://partner.tcgplayer.com/c/6278691/1780961/21018?u=https%3A%2F%2Fwww.tcgplayer.com%2Fproduct%2F523751%3Futm_source%3Dimpact%26utm_medium%3Daffiliate%26utm_campaign%3Dpoke%2Bcottage","Tinkaton")</f>
        <v>Tinkaton</v>
      </c>
      <c r="D162" s="5" t="s">
        <v>13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100</v>
      </c>
      <c r="C163" s="6" t="str">
        <f aca="false">HYPERLINK("https://partner.tcgplayer.com/c/6278691/1780961/21018?u=https%3A%2F%2Fwww.tcgplayer.com%2Fproduct%2F523752%3Futm_source%3Dimpact%26utm_medium%3Daffiliate%26utm_campaign%3Dpoke%2Bcottage","Scream Tail")</f>
        <v>Scream Tail</v>
      </c>
      <c r="D163" s="5" t="s">
        <v>13</v>
      </c>
      <c r="E163" s="5" t="s">
        <v>9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HYPERLINK("https://partner.tcgplayer.com/c/6278691/1780961/21018?u=https%3A%2F%2Fwww.tcgplayer.com%2Fproduct%2F523752%3Futm_source%3Dimpact%26utm_medium%3Daffiliate%26utm_campaign%3Dpoke%2Bcottage","Scream Tail")</f>
        <v>Scream Tail</v>
      </c>
      <c r="D164" s="5" t="s">
        <v>13</v>
      </c>
      <c r="E164" s="5" t="s">
        <v>11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HYPERLINK("https://partner.tcgplayer.com/c/6278691/1780961/21018?u=https%3A%2F%2Fwww.tcgplayer.com%2Fproduct%2F523753%3Futm_source%3Dimpact%26utm_medium%3Daffiliate%26utm_campaign%3Dpoke%2Bcottage","Gimmighoul")</f>
        <v>Gimmighoul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HYPERLINK("https://partner.tcgplayer.com/c/6278691/1780961/21018?u=https%3A%2F%2Fwww.tcgplayer.com%2Fproduct%2F523753%3Futm_source%3Dimpact%26utm_medium%3Daffiliate%26utm_campaign%3Dpoke%2Bcottage","Gimmighoul")</f>
        <v>Gimmighoul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HYPERLINK("https://partner.tcgplayer.com/c/6278691/1780961/21018?u=https%3A%2F%2Fwww.tcgplayer.com%2Fproduct%2F523754%3Futm_source%3Dimpact%26utm_medium%3Daffiliate%26utm_campaign%3Dpoke%2Bcottage","Gimmighoul")</f>
        <v>Gimmighoul</v>
      </c>
      <c r="D167" s="5" t="s">
        <v>8</v>
      </c>
      <c r="E167" s="5" t="s">
        <v>9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HYPERLINK("https://partner.tcgplayer.com/c/6278691/1780961/21018?u=https%3A%2F%2Fwww.tcgplayer.com%2Fproduct%2F523754%3Futm_source%3Dimpact%26utm_medium%3Daffiliate%26utm_campaign%3Dpoke%2Bcottage","Gimmighoul")</f>
        <v>Gimmighoul</v>
      </c>
      <c r="D168" s="5" t="s">
        <v>8</v>
      </c>
      <c r="E168" s="5" t="s">
        <v>11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103</v>
      </c>
      <c r="C169" s="6" t="str">
        <f aca="false">HYPERLINK("https://partner.tcgplayer.com/c/6278691/1780961/21018?u=https%3A%2F%2Fwww.tcgplayer.com%2Fproduct%2F523756%3Futm_source%3Dimpact%26utm_medium%3Daffiliate%26utm_campaign%3Dpoke%2Bcottage","Iron Valiant ex")</f>
        <v>Iron Valiant ex</v>
      </c>
      <c r="D169" s="5" t="s">
        <v>15</v>
      </c>
      <c r="E169" s="5" t="s">
        <v>16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104</v>
      </c>
      <c r="C170" s="6" t="str">
        <f aca="false">HYPERLINK("https://partner.tcgplayer.com/c/6278691/1780961/21018?u=https%3A%2F%2Fwww.tcgplayer.com%2Fproduct%2F523757%3Futm_source%3Dimpact%26utm_medium%3Daffiliate%26utm_campaign%3Dpoke%2Bcottage","Onix")</f>
        <v>Onix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104</v>
      </c>
      <c r="C171" s="6" t="str">
        <f aca="false">HYPERLINK("https://partner.tcgplayer.com/c/6278691/1780961/21018?u=https%3A%2F%2Fwww.tcgplayer.com%2Fproduct%2F523757%3Futm_source%3Dimpact%26utm_medium%3Daffiliate%26utm_campaign%3Dpoke%2Bcottage","Onix")</f>
        <v>Onix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105</v>
      </c>
      <c r="C172" s="6" t="str">
        <f aca="false">HYPERLINK("https://partner.tcgplayer.com/c/6278691/1780961/21018?u=https%3A%2F%2Fwww.tcgplayer.com%2Fproduct%2F523758%3Futm_source%3Dimpact%26utm_medium%3Daffiliate%26utm_campaign%3Dpoke%2Bcottage","Gligar")</f>
        <v>Gligar</v>
      </c>
      <c r="D172" s="5" t="s">
        <v>8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105</v>
      </c>
      <c r="C173" s="6" t="str">
        <f aca="false">HYPERLINK("https://partner.tcgplayer.com/c/6278691/1780961/21018?u=https%3A%2F%2Fwww.tcgplayer.com%2Fproduct%2F523758%3Futm_source%3Dimpact%26utm_medium%3Daffiliate%26utm_campaign%3Dpoke%2Bcottage","Gligar")</f>
        <v>Gligar</v>
      </c>
      <c r="D173" s="5" t="s">
        <v>8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HYPERLINK("https://partner.tcgplayer.com/c/6278691/1780961/21018?u=https%3A%2F%2Fwww.tcgplayer.com%2Fproduct%2F523759%3Futm_source%3Dimpact%26utm_medium%3Daffiliate%26utm_campaign%3Dpoke%2Bcottage","Gliscor")</f>
        <v>Gliscor</v>
      </c>
      <c r="D174" s="5" t="s">
        <v>13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106</v>
      </c>
      <c r="C175" s="6" t="str">
        <f aca="false">HYPERLINK("https://partner.tcgplayer.com/c/6278691/1780961/21018?u=https%3A%2F%2Fwww.tcgplayer.com%2Fproduct%2F523759%3Futm_source%3Dimpact%26utm_medium%3Daffiliate%26utm_campaign%3Dpoke%2Bcottage","Gliscor")</f>
        <v>Gliscor</v>
      </c>
      <c r="D175" s="5" t="s">
        <v>13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107</v>
      </c>
      <c r="C176" s="6" t="str">
        <f aca="false">HYPERLINK("https://partner.tcgplayer.com/c/6278691/1780961/21018?u=https%3A%2F%2Fwww.tcgplayer.com%2Fproduct%2F523762%3Futm_source%3Dimpact%26utm_medium%3Daffiliate%26utm_campaign%3Dpoke%2Bcottage","Groudon")</f>
        <v>Groudon</v>
      </c>
      <c r="D176" s="5" t="s">
        <v>32</v>
      </c>
      <c r="E176" s="5" t="s">
        <v>16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107</v>
      </c>
      <c r="C177" s="6" t="str">
        <f aca="false">HYPERLINK("https://partner.tcgplayer.com/c/6278691/1780961/21018?u=https%3A%2F%2Fwww.tcgplayer.com%2Fproduct%2F523762%3Futm_source%3Dimpact%26utm_medium%3Daffiliate%26utm_campaign%3Dpoke%2Bcottage","Groudon")</f>
        <v>Groudon</v>
      </c>
      <c r="D177" s="5" t="s">
        <v>32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108</v>
      </c>
      <c r="C178" s="6" t="str">
        <f aca="false">HYPERLINK("https://partner.tcgplayer.com/c/6278691/1780961/21018?u=https%3A%2F%2Fwww.tcgplayer.com%2Fproduct%2F523764%3Futm_source%3Dimpact%26utm_medium%3Daffiliate%26utm_campaign%3Dpoke%2Bcottage","Gible")</f>
        <v>Gible</v>
      </c>
      <c r="D178" s="5" t="s">
        <v>8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108</v>
      </c>
      <c r="C179" s="6" t="str">
        <f aca="false">HYPERLINK("https://partner.tcgplayer.com/c/6278691/1780961/21018?u=https%3A%2F%2Fwww.tcgplayer.com%2Fproduct%2F523764%3Futm_source%3Dimpact%26utm_medium%3Daffiliate%26utm_campaign%3Dpoke%2Bcottage","Gible")</f>
        <v>Gible</v>
      </c>
      <c r="D179" s="5" t="s">
        <v>8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109</v>
      </c>
      <c r="C180" s="6" t="str">
        <f aca="false">HYPERLINK("https://partner.tcgplayer.com/c/6278691/1780961/21018?u=https%3A%2F%2Fwww.tcgplayer.com%2Fproduct%2F523765%3Futm_source%3Dimpact%26utm_medium%3Daffiliate%26utm_campaign%3Dpoke%2Bcottage","Gabite")</f>
        <v>Gabite</v>
      </c>
      <c r="D180" s="5" t="s">
        <v>8</v>
      </c>
      <c r="E180" s="5" t="s">
        <v>9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109</v>
      </c>
      <c r="C181" s="6" t="str">
        <f aca="false">HYPERLINK("https://partner.tcgplayer.com/c/6278691/1780961/21018?u=https%3A%2F%2Fwww.tcgplayer.com%2Fproduct%2F523765%3Futm_source%3Dimpact%26utm_medium%3Daffiliate%26utm_campaign%3Dpoke%2Bcottage","Gabite")</f>
        <v>Gabite</v>
      </c>
      <c r="D181" s="5" t="s">
        <v>8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110</v>
      </c>
      <c r="C182" s="6" t="str">
        <f aca="false">HYPERLINK("https://partner.tcgplayer.com/c/6278691/1780961/21018?u=https%3A%2F%2Fwww.tcgplayer.com%2Fproduct%2F523766%3Futm_source%3Dimpact%26utm_medium%3Daffiliate%26utm_campaign%3Dpoke%2Bcottage","Mienfoo")</f>
        <v>Mienfoo</v>
      </c>
      <c r="D182" s="5" t="s">
        <v>8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110</v>
      </c>
      <c r="C183" s="6" t="str">
        <f aca="false">HYPERLINK("https://partner.tcgplayer.com/c/6278691/1780961/21018?u=https%3A%2F%2Fwww.tcgplayer.com%2Fproduct%2F523766%3Futm_source%3Dimpact%26utm_medium%3Daffiliate%26utm_campaign%3Dpoke%2Bcottage","Mienfoo")</f>
        <v>Mienfoo</v>
      </c>
      <c r="D183" s="5" t="s">
        <v>8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111</v>
      </c>
      <c r="C184" s="6" t="str">
        <f aca="false">HYPERLINK("https://partner.tcgplayer.com/c/6278691/1780961/21018?u=https%3A%2F%2Fwww.tcgplayer.com%2Fproduct%2F523767%3Futm_source%3Dimpact%26utm_medium%3Daffiliate%26utm_campaign%3Dpoke%2Bcottage","Mienshao")</f>
        <v>Mienshao</v>
      </c>
      <c r="D184" s="5" t="s">
        <v>13</v>
      </c>
      <c r="E184" s="5" t="s">
        <v>9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111</v>
      </c>
      <c r="C185" s="6" t="str">
        <f aca="false">HYPERLINK("https://partner.tcgplayer.com/c/6278691/1780961/21018?u=https%3A%2F%2Fwww.tcgplayer.com%2Fproduct%2F523767%3Futm_source%3Dimpact%26utm_medium%3Daffiliate%26utm_campaign%3Dpoke%2Bcottage","Mienshao")</f>
        <v>Mienshao</v>
      </c>
      <c r="D185" s="5" t="s">
        <v>13</v>
      </c>
      <c r="E185" s="5" t="s">
        <v>11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112</v>
      </c>
      <c r="C186" s="6" t="str">
        <f aca="false">HYPERLINK("https://partner.tcgplayer.com/c/6278691/1780961/21018?u=https%3A%2F%2Fwww.tcgplayer.com%2Fproduct%2F523768%3Futm_source%3Dimpact%26utm_medium%3Daffiliate%26utm_campaign%3Dpoke%2Bcottage","Hoopa ex")</f>
        <v>Hoopa ex</v>
      </c>
      <c r="D186" s="5" t="s">
        <v>15</v>
      </c>
      <c r="E186" s="5" t="s">
        <v>16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113</v>
      </c>
      <c r="C187" s="6" t="str">
        <f aca="false">HYPERLINK("https://partner.tcgplayer.com/c/6278691/1780961/21018?u=https%3A%2F%2Fwww.tcgplayer.com%2Fproduct%2F523769%3Futm_source%3Dimpact%26utm_medium%3Daffiliate%26utm_campaign%3Dpoke%2Bcottage","Minior")</f>
        <v>Minior</v>
      </c>
      <c r="D187" s="5" t="s">
        <v>13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113</v>
      </c>
      <c r="C188" s="6" t="str">
        <f aca="false">HYPERLINK("https://partner.tcgplayer.com/c/6278691/1780961/21018?u=https%3A%2F%2Fwww.tcgplayer.com%2Fproduct%2F523769%3Futm_source%3Dimpact%26utm_medium%3Daffiliate%26utm_campaign%3Dpoke%2Bcottage","Minior")</f>
        <v>Minior</v>
      </c>
      <c r="D188" s="5" t="s">
        <v>13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114</v>
      </c>
      <c r="C189" s="6" t="str">
        <f aca="false">HYPERLINK("https://partner.tcgplayer.com/c/6278691/1780961/21018?u=https%3A%2F%2Fwww.tcgplayer.com%2Fproduct%2F523770%3Futm_source%3Dimpact%26utm_medium%3Daffiliate%26utm_campaign%3Dpoke%2Bcottage","Toxtricity ex")</f>
        <v>Toxtricity ex</v>
      </c>
      <c r="D189" s="5" t="s">
        <v>15</v>
      </c>
      <c r="E189" s="5" t="s">
        <v>16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115</v>
      </c>
      <c r="C190" s="6" t="str">
        <f aca="false">HYPERLINK("https://partner.tcgplayer.com/c/6278691/1780961/21018?u=https%3A%2F%2Fwww.tcgplayer.com%2Fproduct%2F523771%3Futm_source%3Dimpact%26utm_medium%3Daffiliate%26utm_campaign%3Dpoke%2Bcottage","Nacli")</f>
        <v>Nacli</v>
      </c>
      <c r="D190" s="5" t="s">
        <v>8</v>
      </c>
      <c r="E190" s="5" t="s">
        <v>9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115</v>
      </c>
      <c r="C191" s="6" t="str">
        <f aca="false">HYPERLINK("https://partner.tcgplayer.com/c/6278691/1780961/21018?u=https%3A%2F%2Fwww.tcgplayer.com%2Fproduct%2F523771%3Futm_source%3Dimpact%26utm_medium%3Daffiliate%26utm_campaign%3Dpoke%2Bcottage","Nacli")</f>
        <v>Nacli</v>
      </c>
      <c r="D191" s="5" t="s">
        <v>8</v>
      </c>
      <c r="E191" s="5" t="s">
        <v>11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116</v>
      </c>
      <c r="C192" s="6" t="str">
        <f aca="false">HYPERLINK("https://partner.tcgplayer.com/c/6278691/1780961/21018?u=https%3A%2F%2Fwww.tcgplayer.com%2Fproduct%2F523772%3Futm_source%3Dimpact%26utm_medium%3Daffiliate%26utm_campaign%3Dpoke%2Bcottage","Nacli")</f>
        <v>Nacli</v>
      </c>
      <c r="D192" s="5" t="s">
        <v>8</v>
      </c>
      <c r="E192" s="5" t="s">
        <v>9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116</v>
      </c>
      <c r="C193" s="6" t="str">
        <f aca="false">HYPERLINK("https://partner.tcgplayer.com/c/6278691/1780961/21018?u=https%3A%2F%2Fwww.tcgplayer.com%2Fproduct%2F523772%3Futm_source%3Dimpact%26utm_medium%3Daffiliate%26utm_campaign%3Dpoke%2Bcottage","Nacli")</f>
        <v>Nacli</v>
      </c>
      <c r="D193" s="5" t="s">
        <v>8</v>
      </c>
      <c r="E193" s="5" t="s">
        <v>11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117</v>
      </c>
      <c r="C194" s="6" t="str">
        <f aca="false">HYPERLINK("https://partner.tcgplayer.com/c/6278691/1780961/21018?u=https%3A%2F%2Fwww.tcgplayer.com%2Fproduct%2F523773%3Futm_source%3Dimpact%26utm_medium%3Daffiliate%26utm_campaign%3Dpoke%2Bcottage","Naclstack")</f>
        <v>Naclstack</v>
      </c>
      <c r="D194" s="5" t="s">
        <v>8</v>
      </c>
      <c r="E194" s="5" t="s">
        <v>9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117</v>
      </c>
      <c r="C195" s="6" t="str">
        <f aca="false">HYPERLINK("https://partner.tcgplayer.com/c/6278691/1780961/21018?u=https%3A%2F%2Fwww.tcgplayer.com%2Fproduct%2F523773%3Futm_source%3Dimpact%26utm_medium%3Daffiliate%26utm_campaign%3Dpoke%2Bcottage","Naclstack")</f>
        <v>Naclstack</v>
      </c>
      <c r="D195" s="5" t="s">
        <v>8</v>
      </c>
      <c r="E195" s="5" t="s">
        <v>11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118</v>
      </c>
      <c r="C196" s="6" t="str">
        <f aca="false">HYPERLINK("https://partner.tcgplayer.com/c/6278691/1780961/21018?u=https%3A%2F%2Fwww.tcgplayer.com%2Fproduct%2F523774%3Futm_source%3Dimpact%26utm_medium%3Daffiliate%26utm_campaign%3Dpoke%2Bcottage","Garganacl")</f>
        <v>Garganacl</v>
      </c>
      <c r="D196" s="5" t="s">
        <v>32</v>
      </c>
      <c r="E196" s="5" t="s">
        <v>16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118</v>
      </c>
      <c r="C197" s="6" t="str">
        <f aca="false">HYPERLINK("https://partner.tcgplayer.com/c/6278691/1780961/21018?u=https%3A%2F%2Fwww.tcgplayer.com%2Fproduct%2F523774%3Futm_source%3Dimpact%26utm_medium%3Daffiliate%26utm_campaign%3Dpoke%2Bcottage","Garganacl")</f>
        <v>Garganacl</v>
      </c>
      <c r="D197" s="5" t="s">
        <v>32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119</v>
      </c>
      <c r="C198" s="6" t="str">
        <f aca="false">HYPERLINK("https://partner.tcgplayer.com/c/6278691/1780961/21018?u=https%3A%2F%2Fwww.tcgplayer.com%2Fproduct%2F523777%3Futm_source%3Dimpact%26utm_medium%3Daffiliate%26utm_campaign%3Dpoke%2Bcottage","Klawf")</f>
        <v>Klawf</v>
      </c>
      <c r="D198" s="5" t="s">
        <v>13</v>
      </c>
      <c r="E198" s="5" t="s">
        <v>9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119</v>
      </c>
      <c r="C199" s="6" t="str">
        <f aca="false">HYPERLINK("https://partner.tcgplayer.com/c/6278691/1780961/21018?u=https%3A%2F%2Fwww.tcgplayer.com%2Fproduct%2F523777%3Futm_source%3Dimpact%26utm_medium%3Daffiliate%26utm_campaign%3Dpoke%2Bcottage","Klawf")</f>
        <v>Klawf</v>
      </c>
      <c r="D199" s="5" t="s">
        <v>13</v>
      </c>
      <c r="E199" s="5" t="s">
        <v>11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120</v>
      </c>
      <c r="C200" s="6" t="str">
        <f aca="false">HYPERLINK("https://partner.tcgplayer.com/c/6278691/1780961/21018?u=https%3A%2F%2Fwww.tcgplayer.com%2Fproduct%2F523778%3Futm_source%3Dimpact%26utm_medium%3Daffiliate%26utm_campaign%3Dpoke%2Bcottage","Flamigo")</f>
        <v>Flamigo</v>
      </c>
      <c r="D200" s="5" t="s">
        <v>8</v>
      </c>
      <c r="E200" s="5" t="s">
        <v>9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120</v>
      </c>
      <c r="C201" s="6" t="str">
        <f aca="false">HYPERLINK("https://partner.tcgplayer.com/c/6278691/1780961/21018?u=https%3A%2F%2Fwww.tcgplayer.com%2Fproduct%2F523778%3Futm_source%3Dimpact%26utm_medium%3Daffiliate%26utm_campaign%3Dpoke%2Bcottage","Flamigo")</f>
        <v>Flamigo</v>
      </c>
      <c r="D201" s="5" t="s">
        <v>8</v>
      </c>
      <c r="E201" s="5" t="s">
        <v>11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121</v>
      </c>
      <c r="C202" s="6" t="str">
        <f aca="false">HYPERLINK("https://partner.tcgplayer.com/c/6278691/1780961/21018?u=https%3A%2F%2Fwww.tcgplayer.com%2Fproduct%2F523779%3Futm_source%3Dimpact%26utm_medium%3Daffiliate%26utm_campaign%3Dpoke%2Bcottage","Slither Wing")</f>
        <v>Slither Wing</v>
      </c>
      <c r="D202" s="5" t="s">
        <v>13</v>
      </c>
      <c r="E202" s="5" t="s">
        <v>9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121</v>
      </c>
      <c r="C203" s="6" t="str">
        <f aca="false">HYPERLINK("https://partner.tcgplayer.com/c/6278691/1780961/21018?u=https%3A%2F%2Fwww.tcgplayer.com%2Fproduct%2F523779%3Futm_source%3Dimpact%26utm_medium%3Daffiliate%26utm_campaign%3Dpoke%2Bcottage","Slither Wing")</f>
        <v>Slither Wing</v>
      </c>
      <c r="D203" s="5" t="s">
        <v>13</v>
      </c>
      <c r="E203" s="5" t="s">
        <v>11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122</v>
      </c>
      <c r="C204" s="6" t="str">
        <f aca="false">HYPERLINK("https://partner.tcgplayer.com/c/6278691/1780961/21018?u=https%3A%2F%2Fwww.tcgplayer.com%2Fproduct%2F523780%3Futm_source%3Dimpact%26utm_medium%3Daffiliate%26utm_campaign%3Dpoke%2Bcottage","Sandy Shocks ex")</f>
        <v>Sandy Shocks ex</v>
      </c>
      <c r="D204" s="5" t="s">
        <v>15</v>
      </c>
      <c r="E204" s="5" t="s">
        <v>16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123</v>
      </c>
      <c r="C205" s="6" t="str">
        <f aca="false">HYPERLINK("https://partner.tcgplayer.com/c/6278691/1780961/21018?u=https%3A%2F%2Fwww.tcgplayer.com%2Fproduct%2F523781%3Futm_source%3Dimpact%26utm_medium%3Daffiliate%26utm_campaign%3Dpoke%2Bcottage","Ting-Lu")</f>
        <v>Ting-Lu</v>
      </c>
      <c r="D205" s="5" t="s">
        <v>32</v>
      </c>
      <c r="E205" s="5" t="s">
        <v>16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123</v>
      </c>
      <c r="C206" s="6" t="str">
        <f aca="false">HYPERLINK("https://partner.tcgplayer.com/c/6278691/1780961/21018?u=https%3A%2F%2Fwww.tcgplayer.com%2Fproduct%2F523781%3Futm_source%3Dimpact%26utm_medium%3Daffiliate%26utm_campaign%3Dpoke%2Bcottage","Ting-Lu")</f>
        <v>Ting-Lu</v>
      </c>
      <c r="D206" s="5" t="s">
        <v>32</v>
      </c>
      <c r="E206" s="5" t="s">
        <v>11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124</v>
      </c>
      <c r="C207" s="6" t="str">
        <f aca="false">HYPERLINK("https://partner.tcgplayer.com/c/6278691/1780961/21018?u=https%3A%2F%2Fwww.tcgplayer.com%2Fproduct%2F523783%3Futm_source%3Dimpact%26utm_medium%3Daffiliate%26utm_campaign%3Dpoke%2Bcottage","Zubat")</f>
        <v>Zubat</v>
      </c>
      <c r="D207" s="5" t="s">
        <v>8</v>
      </c>
      <c r="E207" s="5" t="s">
        <v>9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124</v>
      </c>
      <c r="C208" s="6" t="str">
        <f aca="false">HYPERLINK("https://partner.tcgplayer.com/c/6278691/1780961/21018?u=https%3A%2F%2Fwww.tcgplayer.com%2Fproduct%2F523783%3Futm_source%3Dimpact%26utm_medium%3Daffiliate%26utm_campaign%3Dpoke%2Bcottage","Zubat")</f>
        <v>Zubat</v>
      </c>
      <c r="D208" s="5" t="s">
        <v>8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125</v>
      </c>
      <c r="C209" s="6" t="str">
        <f aca="false">HYPERLINK("https://partner.tcgplayer.com/c/6278691/1780961/21018?u=https%3A%2F%2Fwww.tcgplayer.com%2Fproduct%2F523784%3Futm_source%3Dimpact%26utm_medium%3Daffiliate%26utm_campaign%3Dpoke%2Bcottage","Golbat")</f>
        <v>Golbat</v>
      </c>
      <c r="D209" s="5" t="s">
        <v>8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125</v>
      </c>
      <c r="C210" s="6" t="str">
        <f aca="false">HYPERLINK("https://partner.tcgplayer.com/c/6278691/1780961/21018?u=https%3A%2F%2Fwww.tcgplayer.com%2Fproduct%2F523784%3Futm_source%3Dimpact%26utm_medium%3Daffiliate%26utm_campaign%3Dpoke%2Bcottage","Golbat")</f>
        <v>Golbat</v>
      </c>
      <c r="D210" s="5" t="s">
        <v>8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126</v>
      </c>
      <c r="C211" s="6" t="str">
        <f aca="false">HYPERLINK("https://partner.tcgplayer.com/c/6278691/1780961/21018?u=https%3A%2F%2Fwww.tcgplayer.com%2Fproduct%2F523786%3Futm_source%3Dimpact%26utm_medium%3Daffiliate%26utm_campaign%3Dpoke%2Bcottage","Crobat")</f>
        <v>Crobat</v>
      </c>
      <c r="D211" s="5" t="s">
        <v>13</v>
      </c>
      <c r="E211" s="5" t="s">
        <v>9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126</v>
      </c>
      <c r="C212" s="6" t="str">
        <f aca="false">HYPERLINK("https://partner.tcgplayer.com/c/6278691/1780961/21018?u=https%3A%2F%2Fwww.tcgplayer.com%2Fproduct%2F523786%3Futm_source%3Dimpact%26utm_medium%3Daffiliate%26utm_campaign%3Dpoke%2Bcottage","Crobat")</f>
        <v>Crobat</v>
      </c>
      <c r="D212" s="5" t="s">
        <v>13</v>
      </c>
      <c r="E212" s="5" t="s">
        <v>11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127</v>
      </c>
      <c r="C213" s="6" t="str">
        <f aca="false">HYPERLINK("https://partner.tcgplayer.com/c/6278691/1780961/21018?u=https%3A%2F%2Fwww.tcgplayer.com%2Fproduct%2F523787%3Futm_source%3Dimpact%26utm_medium%3Daffiliate%26utm_campaign%3Dpoke%2Bcottage","Absol")</f>
        <v>Absol</v>
      </c>
      <c r="D213" s="5" t="s">
        <v>13</v>
      </c>
      <c r="E213" s="5" t="s">
        <v>9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127</v>
      </c>
      <c r="C214" s="6" t="str">
        <f aca="false">HYPERLINK("https://partner.tcgplayer.com/c/6278691/1780961/21018?u=https%3A%2F%2Fwww.tcgplayer.com%2Fproduct%2F523787%3Futm_source%3Dimpact%26utm_medium%3Daffiliate%26utm_campaign%3Dpoke%2Bcottage","Absol")</f>
        <v>Absol</v>
      </c>
      <c r="D214" s="5" t="s">
        <v>13</v>
      </c>
      <c r="E214" s="5" t="s">
        <v>11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128</v>
      </c>
      <c r="C215" s="6" t="str">
        <f aca="false">HYPERLINK("https://partner.tcgplayer.com/c/6278691/1780961/21018?u=https%3A%2F%2Fwww.tcgplayer.com%2Fproduct%2F523788%3Futm_source%3Dimpact%26utm_medium%3Daffiliate%26utm_campaign%3Dpoke%2Bcottage","Purrloin")</f>
        <v>Purrloin</v>
      </c>
      <c r="D215" s="5" t="s">
        <v>8</v>
      </c>
      <c r="E215" s="5" t="s">
        <v>9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128</v>
      </c>
      <c r="C216" s="6" t="str">
        <f aca="false">HYPERLINK("https://partner.tcgplayer.com/c/6278691/1780961/21018?u=https%3A%2F%2Fwww.tcgplayer.com%2Fproduct%2F523788%3Futm_source%3Dimpact%26utm_medium%3Daffiliate%26utm_campaign%3Dpoke%2Bcottage","Purrloin")</f>
        <v>Purrloin</v>
      </c>
      <c r="D216" s="5" t="s">
        <v>8</v>
      </c>
      <c r="E216" s="5" t="s">
        <v>11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129</v>
      </c>
      <c r="C217" s="6" t="str">
        <f aca="false">HYPERLINK("https://partner.tcgplayer.com/c/6278691/1780961/21018?u=https%3A%2F%2Fwww.tcgplayer.com%2Fproduct%2F523789%3Futm_source%3Dimpact%26utm_medium%3Daffiliate%26utm_campaign%3Dpoke%2Bcottage","Liepard")</f>
        <v>Liepard</v>
      </c>
      <c r="D217" s="5" t="s">
        <v>8</v>
      </c>
      <c r="E217" s="5" t="s">
        <v>9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129</v>
      </c>
      <c r="C218" s="6" t="str">
        <f aca="false">HYPERLINK("https://partner.tcgplayer.com/c/6278691/1780961/21018?u=https%3A%2F%2Fwww.tcgplayer.com%2Fproduct%2F523789%3Futm_source%3Dimpact%26utm_medium%3Daffiliate%26utm_campaign%3Dpoke%2Bcottage","Liepard")</f>
        <v>Liepard</v>
      </c>
      <c r="D218" s="5" t="s">
        <v>8</v>
      </c>
      <c r="E218" s="5" t="s">
        <v>11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130</v>
      </c>
      <c r="C219" s="6" t="str">
        <f aca="false">HYPERLINK("https://partner.tcgplayer.com/c/6278691/1780961/21018?u=https%3A%2F%2Fwww.tcgplayer.com%2Fproduct%2F523790%3Futm_source%3Dimpact%26utm_medium%3Daffiliate%26utm_campaign%3Dpoke%2Bcottage","Trubbish")</f>
        <v>Trubbish</v>
      </c>
      <c r="D219" s="5" t="s">
        <v>8</v>
      </c>
      <c r="E219" s="5" t="s">
        <v>9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130</v>
      </c>
      <c r="C220" s="6" t="str">
        <f aca="false">HYPERLINK("https://partner.tcgplayer.com/c/6278691/1780961/21018?u=https%3A%2F%2Fwww.tcgplayer.com%2Fproduct%2F523790%3Futm_source%3Dimpact%26utm_medium%3Daffiliate%26utm_campaign%3Dpoke%2Bcottage","Trubbish")</f>
        <v>Trubbish</v>
      </c>
      <c r="D220" s="5" t="s">
        <v>8</v>
      </c>
      <c r="E220" s="5" t="s">
        <v>11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131</v>
      </c>
      <c r="C221" s="6" t="str">
        <f aca="false">HYPERLINK("https://partner.tcgplayer.com/c/6278691/1780961/21018?u=https%3A%2F%2Fwww.tcgplayer.com%2Fproduct%2F523791%3Futm_source%3Dimpact%26utm_medium%3Daffiliate%26utm_campaign%3Dpoke%2Bcottage","Garbodor")</f>
        <v>Garbodor</v>
      </c>
      <c r="D221" s="5" t="s">
        <v>13</v>
      </c>
      <c r="E221" s="5" t="s">
        <v>9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131</v>
      </c>
      <c r="C222" s="6" t="str">
        <f aca="false">HYPERLINK("https://partner.tcgplayer.com/c/6278691/1780961/21018?u=https%3A%2F%2Fwww.tcgplayer.com%2Fproduct%2F523791%3Futm_source%3Dimpact%26utm_medium%3Daffiliate%26utm_campaign%3Dpoke%2Bcottage","Garbodor")</f>
        <v>Garbodor</v>
      </c>
      <c r="D222" s="5" t="s">
        <v>13</v>
      </c>
      <c r="E222" s="5" t="s">
        <v>11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132</v>
      </c>
      <c r="C223" s="6" t="str">
        <f aca="false">HYPERLINK("https://partner.tcgplayer.com/c/6278691/1780961/21018?u=https%3A%2F%2Fwww.tcgplayer.com%2Fproduct%2F523793%3Futm_source%3Dimpact%26utm_medium%3Daffiliate%26utm_campaign%3Dpoke%2Bcottage","Yveltal")</f>
        <v>Yveltal</v>
      </c>
      <c r="D223" s="5" t="s">
        <v>32</v>
      </c>
      <c r="E223" s="5" t="s">
        <v>16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132</v>
      </c>
      <c r="C224" s="6" t="str">
        <f aca="false">HYPERLINK("https://partner.tcgplayer.com/c/6278691/1780961/21018?u=https%3A%2F%2Fwww.tcgplayer.com%2Fproduct%2F523793%3Futm_source%3Dimpact%26utm_medium%3Daffiliate%26utm_campaign%3Dpoke%2Bcottage","Yveltal")</f>
        <v>Yveltal</v>
      </c>
      <c r="D224" s="5" t="s">
        <v>32</v>
      </c>
      <c r="E224" s="5" t="s">
        <v>11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133</v>
      </c>
      <c r="C225" s="6" t="str">
        <f aca="false">HYPERLINK("https://partner.tcgplayer.com/c/6278691/1780961/21018?u=https%3A%2F%2Fwww.tcgplayer.com%2Fproduct%2F523794%3Futm_source%3Dimpact%26utm_medium%3Daffiliate%26utm_campaign%3Dpoke%2Bcottage","Nickit")</f>
        <v>Nickit</v>
      </c>
      <c r="D225" s="5" t="s">
        <v>8</v>
      </c>
      <c r="E225" s="5" t="s">
        <v>9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133</v>
      </c>
      <c r="C226" s="6" t="str">
        <f aca="false">HYPERLINK("https://partner.tcgplayer.com/c/6278691/1780961/21018?u=https%3A%2F%2Fwww.tcgplayer.com%2Fproduct%2F523794%3Futm_source%3Dimpact%26utm_medium%3Daffiliate%26utm_campaign%3Dpoke%2Bcottage","Nickit")</f>
        <v>Nickit</v>
      </c>
      <c r="D226" s="5" t="s">
        <v>8</v>
      </c>
      <c r="E226" s="5" t="s">
        <v>11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134</v>
      </c>
      <c r="C227" s="6" t="str">
        <f aca="false">HYPERLINK("https://partner.tcgplayer.com/c/6278691/1780961/21018?u=https%3A%2F%2Fwww.tcgplayer.com%2Fproduct%2F523795%3Futm_source%3Dimpact%26utm_medium%3Daffiliate%26utm_campaign%3Dpoke%2Bcottage","Thievul")</f>
        <v>Thievul</v>
      </c>
      <c r="D227" s="5" t="s">
        <v>32</v>
      </c>
      <c r="E227" s="5" t="s">
        <v>16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HYPERLINK("https://partner.tcgplayer.com/c/6278691/1780961/21018?u=https%3A%2F%2Fwww.tcgplayer.com%2Fproduct%2F523795%3Futm_source%3Dimpact%26utm_medium%3Daffiliate%26utm_campaign%3Dpoke%2Bcottage","Thievul")</f>
        <v>Thievul</v>
      </c>
      <c r="D228" s="5" t="s">
        <v>32</v>
      </c>
      <c r="E228" s="5" t="s">
        <v>11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135</v>
      </c>
      <c r="C229" s="6" t="str">
        <f aca="false">HYPERLINK("https://partner.tcgplayer.com/c/6278691/1780961/21018?u=https%3A%2F%2Fwww.tcgplayer.com%2Fproduct%2F523796%3Futm_source%3Dimpact%26utm_medium%3Daffiliate%26utm_campaign%3Dpoke%2Bcottage","Morpeko")</f>
        <v>Morpeko</v>
      </c>
      <c r="D229" s="5" t="s">
        <v>32</v>
      </c>
      <c r="E229" s="5" t="s">
        <v>16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HYPERLINK("https://partner.tcgplayer.com/c/6278691/1780961/21018?u=https%3A%2F%2Fwww.tcgplayer.com%2Fproduct%2F523796%3Futm_source%3Dimpact%26utm_medium%3Daffiliate%26utm_campaign%3Dpoke%2Bcottage","Morpeko")</f>
        <v>Morpeko</v>
      </c>
      <c r="D230" s="5" t="s">
        <v>32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136</v>
      </c>
      <c r="C231" s="6" t="str">
        <f aca="false">HYPERLINK("https://partner.tcgplayer.com/c/6278691/1780961/21018?u=https%3A%2F%2Fwww.tcgplayer.com%2Fproduct%2F523797%3Futm_source%3Dimpact%26utm_medium%3Daffiliate%26utm_campaign%3Dpoke%2Bcottage","Lokix")</f>
        <v>Lokix</v>
      </c>
      <c r="D231" s="5" t="s">
        <v>32</v>
      </c>
      <c r="E231" s="5" t="s">
        <v>16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136</v>
      </c>
      <c r="C232" s="6" t="str">
        <f aca="false">HYPERLINK("https://partner.tcgplayer.com/c/6278691/1780961/21018?u=https%3A%2F%2Fwww.tcgplayer.com%2Fproduct%2F523797%3Futm_source%3Dimpact%26utm_medium%3Daffiliate%26utm_campaign%3Dpoke%2Bcottage","Lokix")</f>
        <v>Lokix</v>
      </c>
      <c r="D232" s="5" t="s">
        <v>32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137</v>
      </c>
      <c r="C233" s="6" t="str">
        <f aca="false">HYPERLINK("https://partner.tcgplayer.com/c/6278691/1780961/21018?u=https%3A%2F%2Fwww.tcgplayer.com%2Fproduct%2F523799%3Futm_source%3Dimpact%26utm_medium%3Daffiliate%26utm_campaign%3Dpoke%2Bcottage","Brute Bonnet")</f>
        <v>Brute Bonnet</v>
      </c>
      <c r="D233" s="5" t="s">
        <v>32</v>
      </c>
      <c r="E233" s="5" t="s">
        <v>16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137</v>
      </c>
      <c r="C234" s="6" t="str">
        <f aca="false">HYPERLINK("https://partner.tcgplayer.com/c/6278691/1780961/21018?u=https%3A%2F%2Fwww.tcgplayer.com%2Fproduct%2F523799%3Futm_source%3Dimpact%26utm_medium%3Daffiliate%26utm_campaign%3Dpoke%2Bcottage","Brute Bonnet")</f>
        <v>Brute Bonnet</v>
      </c>
      <c r="D234" s="5" t="s">
        <v>32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138</v>
      </c>
      <c r="C235" s="6" t="str">
        <f aca="false">HYPERLINK("https://partner.tcgplayer.com/c/6278691/1780961/21018?u=https%3A%2F%2Fwww.tcgplayer.com%2Fproduct%2F523800%3Futm_source%3Dimpact%26utm_medium%3Daffiliate%26utm_campaign%3Dpoke%2Bcottage","Roaring Moon ex")</f>
        <v>Roaring Moon ex</v>
      </c>
      <c r="D235" s="5" t="s">
        <v>15</v>
      </c>
      <c r="E235" s="5" t="s">
        <v>16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139</v>
      </c>
      <c r="C236" s="6" t="str">
        <f aca="false">HYPERLINK("https://partner.tcgplayer.com/c/6278691/1780961/21018?u=https%3A%2F%2Fwww.tcgplayer.com%2Fproduct%2F523801%3Futm_source%3Dimpact%26utm_medium%3Daffiliate%26utm_campaign%3Dpoke%2Bcottage","Steelix")</f>
        <v>Steelix</v>
      </c>
      <c r="D236" s="5" t="s">
        <v>32</v>
      </c>
      <c r="E236" s="5" t="s">
        <v>16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139</v>
      </c>
      <c r="C237" s="6" t="str">
        <f aca="false">HYPERLINK("https://partner.tcgplayer.com/c/6278691/1780961/21018?u=https%3A%2F%2Fwww.tcgplayer.com%2Fproduct%2F523801%3Futm_source%3Dimpact%26utm_medium%3Daffiliate%26utm_campaign%3Dpoke%2Bcottage","Steelix")</f>
        <v>Steelix</v>
      </c>
      <c r="D237" s="5" t="s">
        <v>32</v>
      </c>
      <c r="E237" s="5" t="s">
        <v>11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140</v>
      </c>
      <c r="C238" s="6" t="str">
        <f aca="false">HYPERLINK("https://partner.tcgplayer.com/c/6278691/1780961/21018?u=https%3A%2F%2Fwww.tcgplayer.com%2Fproduct%2F523803%3Futm_source%3Dimpact%26utm_medium%3Daffiliate%26utm_campaign%3Dpoke%2Bcottage","Jirachi")</f>
        <v>Jirachi</v>
      </c>
      <c r="D238" s="5" t="s">
        <v>8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140</v>
      </c>
      <c r="C239" s="6" t="str">
        <f aca="false">HYPERLINK("https://partner.tcgplayer.com/c/6278691/1780961/21018?u=https%3A%2F%2Fwww.tcgplayer.com%2Fproduct%2F523803%3Futm_source%3Dimpact%26utm_medium%3Daffiliate%26utm_campaign%3Dpoke%2Bcottage","Jirachi")</f>
        <v>Jirachi</v>
      </c>
      <c r="D239" s="5" t="s">
        <v>8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141</v>
      </c>
      <c r="C240" s="6" t="str">
        <f aca="false">HYPERLINK("https://partner.tcgplayer.com/c/6278691/1780961/21018?u=https%3A%2F%2Fwww.tcgplayer.com%2Fproduct%2F523804%3Futm_source%3Dimpact%26utm_medium%3Daffiliate%26utm_campaign%3Dpoke%2Bcottage","Ferroseed")</f>
        <v>Ferroseed</v>
      </c>
      <c r="D240" s="5" t="s">
        <v>8</v>
      </c>
      <c r="E240" s="5" t="s">
        <v>9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141</v>
      </c>
      <c r="C241" s="6" t="str">
        <f aca="false">HYPERLINK("https://partner.tcgplayer.com/c/6278691/1780961/21018?u=https%3A%2F%2Fwww.tcgplayer.com%2Fproduct%2F523804%3Futm_source%3Dimpact%26utm_medium%3Daffiliate%26utm_campaign%3Dpoke%2Bcottage","Ferroseed")</f>
        <v>Ferroseed</v>
      </c>
      <c r="D241" s="5" t="s">
        <v>8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142</v>
      </c>
      <c r="C242" s="6" t="str">
        <f aca="false">HYPERLINK("https://partner.tcgplayer.com/c/6278691/1780961/21018?u=https%3A%2F%2Fwww.tcgplayer.com%2Fproduct%2F523805%3Futm_source%3Dimpact%26utm_medium%3Daffiliate%26utm_campaign%3Dpoke%2Bcottage","Ferrothorn")</f>
        <v>Ferrothorn</v>
      </c>
      <c r="D242" s="5" t="s">
        <v>13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142</v>
      </c>
      <c r="C243" s="6" t="str">
        <f aca="false">HYPERLINK("https://partner.tcgplayer.com/c/6278691/1780961/21018?u=https%3A%2F%2Fwww.tcgplayer.com%2Fproduct%2F523805%3Futm_source%3Dimpact%26utm_medium%3Daffiliate%26utm_campaign%3Dpoke%2Bcottage","Ferrothorn")</f>
        <v>Ferrothorn</v>
      </c>
      <c r="D243" s="5" t="s">
        <v>13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143</v>
      </c>
      <c r="C244" s="6" t="str">
        <f aca="false">HYPERLINK("https://partner.tcgplayer.com/c/6278691/1780961/21018?u=https%3A%2F%2Fwww.tcgplayer.com%2Fproduct%2F523806%3Futm_source%3Dimpact%26utm_medium%3Daffiliate%26utm_campaign%3Dpoke%2Bcottage","Durant")</f>
        <v>Durant</v>
      </c>
      <c r="D244" s="5" t="s">
        <v>13</v>
      </c>
      <c r="E244" s="5" t="s">
        <v>9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143</v>
      </c>
      <c r="C245" s="6" t="str">
        <f aca="false">HYPERLINK("https://partner.tcgplayer.com/c/6278691/1780961/21018?u=https%3A%2F%2Fwww.tcgplayer.com%2Fproduct%2F523806%3Futm_source%3Dimpact%26utm_medium%3Daffiliate%26utm_campaign%3Dpoke%2Bcottage","Durant")</f>
        <v>Durant</v>
      </c>
      <c r="D245" s="5" t="s">
        <v>13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144</v>
      </c>
      <c r="C246" s="6" t="str">
        <f aca="false">HYPERLINK("https://partner.tcgplayer.com/c/6278691/1780961/21018?u=https%3A%2F%2Fwww.tcgplayer.com%2Fproduct%2F523807%3Futm_source%3Dimpact%26utm_medium%3Daffiliate%26utm_campaign%3Dpoke%2Bcottage","Honedge")</f>
        <v>Honedge</v>
      </c>
      <c r="D246" s="5" t="s">
        <v>8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144</v>
      </c>
      <c r="C247" s="6" t="str">
        <f aca="false">HYPERLINK("https://partner.tcgplayer.com/c/6278691/1780961/21018?u=https%3A%2F%2Fwww.tcgplayer.com%2Fproduct%2F523807%3Futm_source%3Dimpact%26utm_medium%3Daffiliate%26utm_campaign%3Dpoke%2Bcottage","Honedge")</f>
        <v>Honedge</v>
      </c>
      <c r="D247" s="5" t="s">
        <v>8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145</v>
      </c>
      <c r="C248" s="6" t="str">
        <f aca="false">HYPERLINK("https://partner.tcgplayer.com/c/6278691/1780961/21018?u=https%3A%2F%2Fwww.tcgplayer.com%2Fproduct%2F523808%3Futm_source%3Dimpact%26utm_medium%3Daffiliate%26utm_campaign%3Dpoke%2Bcottage","Honedge")</f>
        <v>Honedge</v>
      </c>
      <c r="D248" s="5" t="s">
        <v>8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HYPERLINK("https://partner.tcgplayer.com/c/6278691/1780961/21018?u=https%3A%2F%2Fwww.tcgplayer.com%2Fproduct%2F523808%3Futm_source%3Dimpact%26utm_medium%3Daffiliate%26utm_campaign%3Dpoke%2Bcottage","Honedge")</f>
        <v>Honedge</v>
      </c>
      <c r="D249" s="5" t="s">
        <v>8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146</v>
      </c>
      <c r="C250" s="6" t="str">
        <f aca="false">HYPERLINK("https://partner.tcgplayer.com/c/6278691/1780961/21018?u=https%3A%2F%2Fwww.tcgplayer.com%2Fproduct%2F523809%3Futm_source%3Dimpact%26utm_medium%3Daffiliate%26utm_campaign%3Dpoke%2Bcottage","Doublade")</f>
        <v>Doublade</v>
      </c>
      <c r="D250" s="5" t="s">
        <v>8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HYPERLINK("https://partner.tcgplayer.com/c/6278691/1780961/21018?u=https%3A%2F%2Fwww.tcgplayer.com%2Fproduct%2F523809%3Futm_source%3Dimpact%26utm_medium%3Daffiliate%26utm_campaign%3Dpoke%2Bcottage","Doublade")</f>
        <v>Doublade</v>
      </c>
      <c r="D251" s="5" t="s">
        <v>8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147</v>
      </c>
      <c r="C252" s="6" t="str">
        <f aca="false">HYPERLINK("https://partner.tcgplayer.com/c/6278691/1780961/21018?u=https%3A%2F%2Fwww.tcgplayer.com%2Fproduct%2F523810%3Futm_source%3Dimpact%26utm_medium%3Daffiliate%26utm_campaign%3Dpoke%2Bcottage","Doublade")</f>
        <v>Doublade</v>
      </c>
      <c r="D252" s="5" t="s">
        <v>8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HYPERLINK("https://partner.tcgplayer.com/c/6278691/1780961/21018?u=https%3A%2F%2Fwww.tcgplayer.com%2Fproduct%2F523810%3Futm_source%3Dimpact%26utm_medium%3Daffiliate%26utm_campaign%3Dpoke%2Bcottage","Doublade")</f>
        <v>Doublade</v>
      </c>
      <c r="D253" s="5" t="s">
        <v>8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HYPERLINK("https://partner.tcgplayer.com/c/6278691/1780961/21018?u=https%3A%2F%2Fwww.tcgplayer.com%2Fproduct%2F523813%3Futm_source%3Dimpact%26utm_medium%3Daffiliate%26utm_campaign%3Dpoke%2Bcottage","Aegislash")</f>
        <v>Aegislash</v>
      </c>
      <c r="D254" s="5" t="s">
        <v>32</v>
      </c>
      <c r="E254" s="5" t="s">
        <v>16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148</v>
      </c>
      <c r="C255" s="6" t="str">
        <f aca="false">HYPERLINK("https://partner.tcgplayer.com/c/6278691/1780961/21018?u=https%3A%2F%2Fwww.tcgplayer.com%2Fproduct%2F523813%3Futm_source%3Dimpact%26utm_medium%3Daffiliate%26utm_campaign%3Dpoke%2Bcottage","Aegislash")</f>
        <v>Aegislash</v>
      </c>
      <c r="D255" s="5" t="s">
        <v>32</v>
      </c>
      <c r="E255" s="5" t="s">
        <v>11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149</v>
      </c>
      <c r="C256" s="6" t="str">
        <f aca="false">HYPERLINK("https://partner.tcgplayer.com/c/6278691/1780961/21018?u=https%3A%2F%2Fwww.tcgplayer.com%2Fproduct%2F523814%3Futm_source%3Dimpact%26utm_medium%3Daffiliate%26utm_campaign%3Dpoke%2Bcottage","Aegislash ex")</f>
        <v>Aegislash ex</v>
      </c>
      <c r="D256" s="5" t="s">
        <v>15</v>
      </c>
      <c r="E256" s="5" t="s">
        <v>16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150</v>
      </c>
      <c r="C257" s="6" t="str">
        <f aca="false">HYPERLINK("https://partner.tcgplayer.com/c/6278691/1780961/21018?u=https%3A%2F%2Fwww.tcgplayer.com%2Fproduct%2F523815%3Futm_source%3Dimpact%26utm_medium%3Daffiliate%26utm_campaign%3Dpoke%2Bcottage","Zacian")</f>
        <v>Zacian</v>
      </c>
      <c r="D257" s="5" t="s">
        <v>32</v>
      </c>
      <c r="E257" s="5" t="s">
        <v>16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150</v>
      </c>
      <c r="C258" s="6" t="str">
        <f aca="false">HYPERLINK("https://partner.tcgplayer.com/c/6278691/1780961/21018?u=https%3A%2F%2Fwww.tcgplayer.com%2Fproduct%2F523815%3Futm_source%3Dimpact%26utm_medium%3Daffiliate%26utm_campaign%3Dpoke%2Bcottage","Zacian")</f>
        <v>Zacian</v>
      </c>
      <c r="D258" s="5" t="s">
        <v>32</v>
      </c>
      <c r="E258" s="5" t="s">
        <v>11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151</v>
      </c>
      <c r="C259" s="6" t="str">
        <f aca="false">HYPERLINK("https://partner.tcgplayer.com/c/6278691/1780961/21018?u=https%3A%2F%2Fwww.tcgplayer.com%2Fproduct%2F523816%3Futm_source%3Dimpact%26utm_medium%3Daffiliate%26utm_campaign%3Dpoke%2Bcottage","Skeledirge ex")</f>
        <v>Skeledirge ex</v>
      </c>
      <c r="D259" s="5" t="s">
        <v>15</v>
      </c>
      <c r="E259" s="5" t="s">
        <v>16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152</v>
      </c>
      <c r="C260" s="6" t="str">
        <f aca="false">HYPERLINK("https://partner.tcgplayer.com/c/6278691/1780961/21018?u=https%3A%2F%2Fwww.tcgplayer.com%2Fproduct%2F523817%3Futm_source%3Dimpact%26utm_medium%3Daffiliate%26utm_campaign%3Dpoke%2Bcottage","Orthworm")</f>
        <v>Orthworm</v>
      </c>
      <c r="D260" s="5" t="s">
        <v>13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152</v>
      </c>
      <c r="C261" s="6" t="str">
        <f aca="false">HYPERLINK("https://partner.tcgplayer.com/c/6278691/1780961/21018?u=https%3A%2F%2Fwww.tcgplayer.com%2Fproduct%2F523817%3Futm_source%3Dimpact%26utm_medium%3Daffiliate%26utm_campaign%3Dpoke%2Bcottage","Orthworm")</f>
        <v>Orthworm</v>
      </c>
      <c r="D261" s="5" t="s">
        <v>13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153</v>
      </c>
      <c r="C262" s="6" t="str">
        <f aca="false">HYPERLINK("https://partner.tcgplayer.com/c/6278691/1780961/21018?u=https%3A%2F%2Fwww.tcgplayer.com%2Fproduct%2F523818%3Futm_source%3Dimpact%26utm_medium%3Daffiliate%26utm_campaign%3Dpoke%2Bcottage","Gholdengo ex")</f>
        <v>Gholdengo ex</v>
      </c>
      <c r="D262" s="5" t="s">
        <v>15</v>
      </c>
      <c r="E262" s="5" t="s">
        <v>16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154</v>
      </c>
      <c r="C263" s="6" t="str">
        <f aca="false">HYPERLINK("https://partner.tcgplayer.com/c/6278691/1780961/21018?u=https%3A%2F%2Fwww.tcgplayer.com%2Fproduct%2F523821%3Futm_source%3Dimpact%26utm_medium%3Daffiliate%26utm_campaign%3Dpoke%2Bcottage","Altaria ex")</f>
        <v>Altaria ex</v>
      </c>
      <c r="D263" s="5" t="s">
        <v>15</v>
      </c>
      <c r="E263" s="5" t="s">
        <v>16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155</v>
      </c>
      <c r="C264" s="6" t="str">
        <f aca="false">HYPERLINK("https://partner.tcgplayer.com/c/6278691/1780961/21018?u=https%3A%2F%2Fwww.tcgplayer.com%2Fproduct%2F523822%3Futm_source%3Dimpact%26utm_medium%3Daffiliate%26utm_campaign%3Dpoke%2Bcottage","Tatsugiri")</f>
        <v>Tatsugiri</v>
      </c>
      <c r="D264" s="5" t="s">
        <v>13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155</v>
      </c>
      <c r="C265" s="6" t="str">
        <f aca="false">HYPERLINK("https://partner.tcgplayer.com/c/6278691/1780961/21018?u=https%3A%2F%2Fwww.tcgplayer.com%2Fproduct%2F523822%3Futm_source%3Dimpact%26utm_medium%3Daffiliate%26utm_campaign%3Dpoke%2Bcottage","Tatsugiri")</f>
        <v>Tatsugiri</v>
      </c>
      <c r="D265" s="5" t="s">
        <v>13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156</v>
      </c>
      <c r="C266" s="6" t="str">
        <f aca="false">HYPERLINK("https://partner.tcgplayer.com/c/6278691/1780961/21018?u=https%3A%2F%2Fwww.tcgplayer.com%2Fproduct%2F523823%3Futm_source%3Dimpact%26utm_medium%3Daffiliate%26utm_campaign%3Dpoke%2Bcottage","Porygon")</f>
        <v>Porygon</v>
      </c>
      <c r="D266" s="5" t="s">
        <v>8</v>
      </c>
      <c r="E266" s="5" t="s">
        <v>9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156</v>
      </c>
      <c r="C267" s="6" t="str">
        <f aca="false">HYPERLINK("https://partner.tcgplayer.com/c/6278691/1780961/21018?u=https%3A%2F%2Fwww.tcgplayer.com%2Fproduct%2F523823%3Futm_source%3Dimpact%26utm_medium%3Daffiliate%26utm_campaign%3Dpoke%2Bcottage","Porygon")</f>
        <v>Porygon</v>
      </c>
      <c r="D267" s="5" t="s">
        <v>8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157</v>
      </c>
      <c r="C268" s="6" t="str">
        <f aca="false">HYPERLINK("https://partner.tcgplayer.com/c/6278691/1780961/21018?u=https%3A%2F%2Fwww.tcgplayer.com%2Fproduct%2F523824%3Futm_source%3Dimpact%26utm_medium%3Daffiliate%26utm_campaign%3Dpoke%2Bcottage","Porygon2")</f>
        <v>Porygon2</v>
      </c>
      <c r="D268" s="5" t="s">
        <v>8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157</v>
      </c>
      <c r="C269" s="6" t="str">
        <f aca="false">HYPERLINK("https://partner.tcgplayer.com/c/6278691/1780961/21018?u=https%3A%2F%2Fwww.tcgplayer.com%2Fproduct%2F523824%3Futm_source%3Dimpact%26utm_medium%3Daffiliate%26utm_campaign%3Dpoke%2Bcottage","Porygon2")</f>
        <v>Porygon2</v>
      </c>
      <c r="D269" s="5" t="s">
        <v>8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158</v>
      </c>
      <c r="C270" s="6" t="str">
        <f aca="false">HYPERLINK("https://partner.tcgplayer.com/c/6278691/1780961/21018?u=https%3A%2F%2Fwww.tcgplayer.com%2Fproduct%2F523825%3Futm_source%3Dimpact%26utm_medium%3Daffiliate%26utm_campaign%3Dpoke%2Bcottage","Porygon-Z")</f>
        <v>Porygon-Z</v>
      </c>
      <c r="D270" s="5" t="s">
        <v>32</v>
      </c>
      <c r="E270" s="5" t="s">
        <v>16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158</v>
      </c>
      <c r="C271" s="6" t="str">
        <f aca="false">HYPERLINK("https://partner.tcgplayer.com/c/6278691/1780961/21018?u=https%3A%2F%2Fwww.tcgplayer.com%2Fproduct%2F523825%3Futm_source%3Dimpact%26utm_medium%3Daffiliate%26utm_campaign%3Dpoke%2Bcottage","Porygon-Z")</f>
        <v>Porygon-Z</v>
      </c>
      <c r="D271" s="5" t="s">
        <v>32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159</v>
      </c>
      <c r="C272" s="6" t="str">
        <f aca="false">HYPERLINK("https://partner.tcgplayer.com/c/6278691/1780961/21018?u=https%3A%2F%2Fwww.tcgplayer.com%2Fproduct%2F523826%3Futm_source%3Dimpact%26utm_medium%3Daffiliate%26utm_campaign%3Dpoke%2Bcottage","Aipom")</f>
        <v>Aipom</v>
      </c>
      <c r="D272" s="5" t="s">
        <v>8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159</v>
      </c>
      <c r="C273" s="6" t="str">
        <f aca="false">HYPERLINK("https://partner.tcgplayer.com/c/6278691/1780961/21018?u=https%3A%2F%2Fwww.tcgplayer.com%2Fproduct%2F523826%3Futm_source%3Dimpact%26utm_medium%3Daffiliate%26utm_campaign%3Dpoke%2Bcottage","Aipom")</f>
        <v>Aipom</v>
      </c>
      <c r="D273" s="5" t="s">
        <v>8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160</v>
      </c>
      <c r="C274" s="6" t="str">
        <f aca="false">HYPERLINK("https://partner.tcgplayer.com/c/6278691/1780961/21018?u=https%3A%2F%2Fwww.tcgplayer.com%2Fproduct%2F523827%3Futm_source%3Dimpact%26utm_medium%3Daffiliate%26utm_campaign%3Dpoke%2Bcottage","Ambipom")</f>
        <v>Ambipom</v>
      </c>
      <c r="D274" s="5" t="s">
        <v>13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160</v>
      </c>
      <c r="C275" s="6" t="str">
        <f aca="false">HYPERLINK("https://partner.tcgplayer.com/c/6278691/1780961/21018?u=https%3A%2F%2Fwww.tcgplayer.com%2Fproduct%2F523827%3Futm_source%3Dimpact%26utm_medium%3Daffiliate%26utm_campaign%3Dpoke%2Bcottage","Ambipom")</f>
        <v>Ambipom</v>
      </c>
      <c r="D275" s="5" t="s">
        <v>13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161</v>
      </c>
      <c r="C276" s="6" t="str">
        <f aca="false">HYPERLINK("https://partner.tcgplayer.com/c/6278691/1780961/21018?u=https%3A%2F%2Fwww.tcgplayer.com%2Fproduct%2F523828%3Futm_source%3Dimpact%26utm_medium%3Daffiliate%26utm_campaign%3Dpoke%2Bcottage","Miltank")</f>
        <v>Miltank</v>
      </c>
      <c r="D276" s="5" t="s">
        <v>8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161</v>
      </c>
      <c r="C277" s="6" t="str">
        <f aca="false">HYPERLINK("https://partner.tcgplayer.com/c/6278691/1780961/21018?u=https%3A%2F%2Fwww.tcgplayer.com%2Fproduct%2F523828%3Futm_source%3Dimpact%26utm_medium%3Daffiliate%26utm_campaign%3Dpoke%2Bcottage","Miltank")</f>
        <v>Miltank</v>
      </c>
      <c r="D277" s="5" t="s">
        <v>8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162</v>
      </c>
      <c r="C278" s="6" t="str">
        <f aca="false">HYPERLINK("https://partner.tcgplayer.com/c/6278691/1780961/21018?u=https%3A%2F%2Fwww.tcgplayer.com%2Fproduct%2F523829%3Futm_source%3Dimpact%26utm_medium%3Daffiliate%26utm_campaign%3Dpoke%2Bcottage","Whismur")</f>
        <v>Whismur</v>
      </c>
      <c r="D278" s="5" t="s">
        <v>8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162</v>
      </c>
      <c r="C279" s="6" t="str">
        <f aca="false">HYPERLINK("https://partner.tcgplayer.com/c/6278691/1780961/21018?u=https%3A%2F%2Fwww.tcgplayer.com%2Fproduct%2F523829%3Futm_source%3Dimpact%26utm_medium%3Daffiliate%26utm_campaign%3Dpoke%2Bcottage","Whismur")</f>
        <v>Whismur</v>
      </c>
      <c r="D279" s="5" t="s">
        <v>8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163</v>
      </c>
      <c r="C280" s="6" t="str">
        <f aca="false">HYPERLINK("https://partner.tcgplayer.com/c/6278691/1780961/21018?u=https%3A%2F%2Fwww.tcgplayer.com%2Fproduct%2F523830%3Futm_source%3Dimpact%26utm_medium%3Daffiliate%26utm_campaign%3Dpoke%2Bcottage","Loudred")</f>
        <v>Loudred</v>
      </c>
      <c r="D280" s="5" t="s">
        <v>8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163</v>
      </c>
      <c r="C281" s="6" t="str">
        <f aca="false">HYPERLINK("https://partner.tcgplayer.com/c/6278691/1780961/21018?u=https%3A%2F%2Fwww.tcgplayer.com%2Fproduct%2F523830%3Futm_source%3Dimpact%26utm_medium%3Daffiliate%26utm_campaign%3Dpoke%2Bcottage","Loudred")</f>
        <v>Loudred</v>
      </c>
      <c r="D281" s="5" t="s">
        <v>8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164</v>
      </c>
      <c r="C282" s="6" t="str">
        <f aca="false">HYPERLINK("https://partner.tcgplayer.com/c/6278691/1780961/21018?u=https%3A%2F%2Fwww.tcgplayer.com%2Fproduct%2F523831%3Futm_source%3Dimpact%26utm_medium%3Daffiliate%26utm_campaign%3Dpoke%2Bcottage","Exploud")</f>
        <v>Exploud</v>
      </c>
      <c r="D282" s="5" t="s">
        <v>13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164</v>
      </c>
      <c r="C283" s="6" t="str">
        <f aca="false">HYPERLINK("https://partner.tcgplayer.com/c/6278691/1780961/21018?u=https%3A%2F%2Fwww.tcgplayer.com%2Fproduct%2F523831%3Futm_source%3Dimpact%26utm_medium%3Daffiliate%26utm_campaign%3Dpoke%2Bcottage","Exploud")</f>
        <v>Exploud</v>
      </c>
      <c r="D283" s="5" t="s">
        <v>13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165</v>
      </c>
      <c r="C284" s="6" t="str">
        <f aca="false">HYPERLINK("https://partner.tcgplayer.com/c/6278691/1780961/21018?u=https%3A%2F%2Fwww.tcgplayer.com%2Fproduct%2F523832%3Futm_source%3Dimpact%26utm_medium%3Daffiliate%26utm_campaign%3Dpoke%2Bcottage","Spinda")</f>
        <v>Spinda</v>
      </c>
      <c r="D284" s="5" t="s">
        <v>8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165</v>
      </c>
      <c r="C285" s="6" t="str">
        <f aca="false">HYPERLINK("https://partner.tcgplayer.com/c/6278691/1780961/21018?u=https%3A%2F%2Fwww.tcgplayer.com%2Fproduct%2F523832%3Futm_source%3Dimpact%26utm_medium%3Daffiliate%26utm_campaign%3Dpoke%2Bcottage","Spinda")</f>
        <v>Spinda</v>
      </c>
      <c r="D285" s="5" t="s">
        <v>8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166</v>
      </c>
      <c r="C286" s="6" t="str">
        <f aca="false">HYPERLINK("https://partner.tcgplayer.com/c/6278691/1780961/21018?u=https%3A%2F%2Fwww.tcgplayer.com%2Fproduct%2F523833%3Futm_source%3Dimpact%26utm_medium%3Daffiliate%26utm_campaign%3Dpoke%2Bcottage","Swablu")</f>
        <v>Swablu</v>
      </c>
      <c r="D286" s="5" t="s">
        <v>8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166</v>
      </c>
      <c r="C287" s="6" t="str">
        <f aca="false">HYPERLINK("https://partner.tcgplayer.com/c/6278691/1780961/21018?u=https%3A%2F%2Fwww.tcgplayer.com%2Fproduct%2F523833%3Futm_source%3Dimpact%26utm_medium%3Daffiliate%26utm_campaign%3Dpoke%2Bcottage","Swablu")</f>
        <v>Swablu</v>
      </c>
      <c r="D287" s="5" t="s">
        <v>8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167</v>
      </c>
      <c r="C288" s="6" t="str">
        <f aca="false">HYPERLINK("https://partner.tcgplayer.com/c/6278691/1780961/21018?u=https%3A%2F%2Fwww.tcgplayer.com%2Fproduct%2F523834%3Futm_source%3Dimpact%26utm_medium%3Daffiliate%26utm_campaign%3Dpoke%2Bcottage","Tandemaus")</f>
        <v>Tandemaus</v>
      </c>
      <c r="D288" s="5" t="s">
        <v>8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167</v>
      </c>
      <c r="C289" s="6" t="str">
        <f aca="false">HYPERLINK("https://partner.tcgplayer.com/c/6278691/1780961/21018?u=https%3A%2F%2Fwww.tcgplayer.com%2Fproduct%2F523834%3Futm_source%3Dimpact%26utm_medium%3Daffiliate%26utm_campaign%3Dpoke%2Bcottage","Tandemaus")</f>
        <v>Tandemaus</v>
      </c>
      <c r="D289" s="5" t="s">
        <v>8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168</v>
      </c>
      <c r="C290" s="6" t="str">
        <f aca="false">HYPERLINK("https://partner.tcgplayer.com/c/6278691/1780961/21018?u=https%3A%2F%2Fwww.tcgplayer.com%2Fproduct%2F523835%3Futm_source%3Dimpact%26utm_medium%3Daffiliate%26utm_campaign%3Dpoke%2Bcottage","Tandemaus")</f>
        <v>Tandemaus</v>
      </c>
      <c r="D290" s="5" t="s">
        <v>8</v>
      </c>
      <c r="E290" s="5" t="s">
        <v>9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168</v>
      </c>
      <c r="C291" s="6" t="str">
        <f aca="false">HYPERLINK("https://partner.tcgplayer.com/c/6278691/1780961/21018?u=https%3A%2F%2Fwww.tcgplayer.com%2Fproduct%2F523835%3Futm_source%3Dimpact%26utm_medium%3Daffiliate%26utm_campaign%3Dpoke%2Bcottage","Tandemaus")</f>
        <v>Tandemaus</v>
      </c>
      <c r="D291" s="5" t="s">
        <v>8</v>
      </c>
      <c r="E291" s="5" t="s">
        <v>11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169</v>
      </c>
      <c r="C292" s="6" t="str">
        <f aca="false">HYPERLINK("https://partner.tcgplayer.com/c/6278691/1780961/21018?u=https%3A%2F%2Fwww.tcgplayer.com%2Fproduct%2F523836%3Futm_source%3Dimpact%26utm_medium%3Daffiliate%26utm_campaign%3Dpoke%2Bcottage","Maushold ex")</f>
        <v>Maushold ex</v>
      </c>
      <c r="D292" s="5" t="s">
        <v>15</v>
      </c>
      <c r="E292" s="5" t="s">
        <v>16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170</v>
      </c>
      <c r="C293" s="6" t="str">
        <f aca="false">HYPERLINK("https://partner.tcgplayer.com/c/6278691/1780961/21018?u=https%3A%2F%2Fwww.tcgplayer.com%2Fproduct%2F523837%3Futm_source%3Dimpact%26utm_medium%3Daffiliate%26utm_campaign%3Dpoke%2Bcottage","Bombirdier ex")</f>
        <v>Bombirdier ex</v>
      </c>
      <c r="D293" s="5" t="s">
        <v>15</v>
      </c>
      <c r="E293" s="5" t="s">
        <v>16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171</v>
      </c>
      <c r="C294" s="6" t="str">
        <f aca="false">HYPERLINK("https://partner.tcgplayer.com/c/6278691/1780961/21018?u=https%3A%2F%2Fwww.tcgplayer.com%2Fproduct%2F523838%3Futm_source%3Dimpact%26utm_medium%3Daffiliate%26utm_campaign%3Dpoke%2Bcottage","Cyclizar")</f>
        <v>Cyclizar</v>
      </c>
      <c r="D294" s="5" t="s">
        <v>13</v>
      </c>
      <c r="E294" s="5" t="s">
        <v>9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171</v>
      </c>
      <c r="C295" s="6" t="str">
        <f aca="false">HYPERLINK("https://partner.tcgplayer.com/c/6278691/1780961/21018?u=https%3A%2F%2Fwww.tcgplayer.com%2Fproduct%2F523838%3Futm_source%3Dimpact%26utm_medium%3Daffiliate%26utm_campaign%3Dpoke%2Bcottage","Cyclizar")</f>
        <v>Cyclizar</v>
      </c>
      <c r="D295" s="5" t="s">
        <v>13</v>
      </c>
      <c r="E295" s="5" t="s">
        <v>11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172</v>
      </c>
      <c r="C296" s="6" t="str">
        <f aca="false">HYPERLINK("https://partner.tcgplayer.com/c/6278691/1780961/21018?u=https%3A%2F%2Fwww.tcgplayer.com%2Fproduct%2F523839%3Futm_source%3Dimpact%26utm_medium%3Daffiliate%26utm_campaign%3Dpoke%2Bcottage","Iron Jugulis")</f>
        <v>Iron Jugulis</v>
      </c>
      <c r="D296" s="5" t="s">
        <v>32</v>
      </c>
      <c r="E296" s="5" t="s">
        <v>16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172</v>
      </c>
      <c r="C297" s="6" t="str">
        <f aca="false">HYPERLINK("https://partner.tcgplayer.com/c/6278691/1780961/21018?u=https%3A%2F%2Fwww.tcgplayer.com%2Fproduct%2F523839%3Futm_source%3Dimpact%26utm_medium%3Daffiliate%26utm_campaign%3Dpoke%2Bcottage","Iron Jugulis")</f>
        <v>Iron Jugulis</v>
      </c>
      <c r="D297" s="5" t="s">
        <v>32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173</v>
      </c>
      <c r="C298" s="6" t="str">
        <f aca="false">HYPERLINK("https://partner.tcgplayer.com/c/6278691/1780961/21018?u=https%3A%2F%2Fwww.tcgplayer.com%2Fproduct%2F523840%3Futm_source%3Dimpact%26utm_medium%3Daffiliate%26utm_campaign%3Dpoke%2Bcottage","Ancient Booster Energy Capsule")</f>
        <v>Ancient Booster Energy Capsule</v>
      </c>
      <c r="D298" s="5" t="s">
        <v>13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173</v>
      </c>
      <c r="C299" s="6" t="str">
        <f aca="false">HYPERLINK("https://partner.tcgplayer.com/c/6278691/1780961/21018?u=https%3A%2F%2Fwww.tcgplayer.com%2Fproduct%2F523840%3Futm_source%3Dimpact%26utm_medium%3Daffiliate%26utm_campaign%3Dpoke%2Bcottage","Ancient Booster Energy Capsule")</f>
        <v>Ancient Booster Energy Capsule</v>
      </c>
      <c r="D299" s="5" t="s">
        <v>13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174</v>
      </c>
      <c r="C300" s="6" t="str">
        <f aca="false">HYPERLINK("https://partner.tcgplayer.com/c/6278691/1780961/21018?u=https%3A%2F%2Fwww.tcgplayer.com%2Fproduct%2F523841%3Futm_source%3Dimpact%26utm_medium%3Daffiliate%26utm_campaign%3Dpoke%2Bcottage","Counter Catcher")</f>
        <v>Counter Catcher</v>
      </c>
      <c r="D300" s="5" t="s">
        <v>13</v>
      </c>
      <c r="E300" s="5" t="s">
        <v>9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174</v>
      </c>
      <c r="C301" s="6" t="str">
        <f aca="false">HYPERLINK("https://partner.tcgplayer.com/c/6278691/1780961/21018?u=https%3A%2F%2Fwww.tcgplayer.com%2Fproduct%2F523841%3Futm_source%3Dimpact%26utm_medium%3Daffiliate%26utm_campaign%3Dpoke%2Bcottage","Counter Catcher")</f>
        <v>Counter Catcher</v>
      </c>
      <c r="D301" s="5" t="s">
        <v>13</v>
      </c>
      <c r="E301" s="5" t="s">
        <v>11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175</v>
      </c>
      <c r="C302" s="6" t="str">
        <f aca="false">HYPERLINK("https://partner.tcgplayer.com/c/6278691/1780961/21018?u=https%3A%2F%2Fwww.tcgplayer.com%2Fproduct%2F523842%3Futm_source%3Dimpact%26utm_medium%3Daffiliate%26utm_campaign%3Dpoke%2Bcottage","Cursed Duster")</f>
        <v>Cursed Duster</v>
      </c>
      <c r="D302" s="5" t="s">
        <v>13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175</v>
      </c>
      <c r="C303" s="6" t="str">
        <f aca="false">HYPERLINK("https://partner.tcgplayer.com/c/6278691/1780961/21018?u=https%3A%2F%2Fwww.tcgplayer.com%2Fproduct%2F523842%3Futm_source%3Dimpact%26utm_medium%3Daffiliate%26utm_campaign%3Dpoke%2Bcottage","Cursed Duster")</f>
        <v>Cursed Duster</v>
      </c>
      <c r="D303" s="5" t="s">
        <v>13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176</v>
      </c>
      <c r="C304" s="6" t="str">
        <f aca="false">HYPERLINK("https://partner.tcgplayer.com/c/6278691/1780961/21018?u=https%3A%2F%2Fwww.tcgplayer.com%2Fproduct%2F523843%3Futm_source%3Dimpact%26utm_medium%3Daffiliate%26utm_campaign%3Dpoke%2Bcottage","Defiance Vest")</f>
        <v>Defiance Vest</v>
      </c>
      <c r="D304" s="5" t="s">
        <v>13</v>
      </c>
      <c r="E304" s="5" t="s">
        <v>9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176</v>
      </c>
      <c r="C305" s="6" t="str">
        <f aca="false">HYPERLINK("https://partner.tcgplayer.com/c/6278691/1780961/21018?u=https%3A%2F%2Fwww.tcgplayer.com%2Fproduct%2F523843%3Futm_source%3Dimpact%26utm_medium%3Daffiliate%26utm_campaign%3Dpoke%2Bcottage","Defiance Vest")</f>
        <v>Defiance Vest</v>
      </c>
      <c r="D305" s="5" t="s">
        <v>13</v>
      </c>
      <c r="E305" s="5" t="s">
        <v>11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177</v>
      </c>
      <c r="C306" s="6" t="str">
        <f aca="false">HYPERLINK("https://partner.tcgplayer.com/c/6278691/1780961/21018?u=https%3A%2F%2Fwww.tcgplayer.com%2Fproduct%2F523844%3Futm_source%3Dimpact%26utm_medium%3Daffiliate%26utm_campaign%3Dpoke%2Bcottage","Earthen Vessel")</f>
        <v>Earthen Vessel</v>
      </c>
      <c r="D306" s="5" t="s">
        <v>13</v>
      </c>
      <c r="E306" s="5" t="s">
        <v>9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177</v>
      </c>
      <c r="C307" s="6" t="str">
        <f aca="false">HYPERLINK("https://partner.tcgplayer.com/c/6278691/1780961/21018?u=https%3A%2F%2Fwww.tcgplayer.com%2Fproduct%2F523844%3Futm_source%3Dimpact%26utm_medium%3Daffiliate%26utm_campaign%3Dpoke%2Bcottage","Earthen Vessel")</f>
        <v>Earthen Vessel</v>
      </c>
      <c r="D307" s="5" t="s">
        <v>13</v>
      </c>
      <c r="E307" s="5" t="s">
        <v>11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178</v>
      </c>
      <c r="C308" s="6" t="str">
        <f aca="false">HYPERLINK("https://partner.tcgplayer.com/c/6278691/1780961/21018?u=https%3A%2F%2Fwww.tcgplayer.com%2Fproduct%2F523845%3Futm_source%3Dimpact%26utm_medium%3Daffiliate%26utm_campaign%3Dpoke%2Bcottage","Future Booster Energy Capsule")</f>
        <v>Future Booster Energy Capsule</v>
      </c>
      <c r="D308" s="5" t="s">
        <v>13</v>
      </c>
      <c r="E308" s="5" t="s">
        <v>9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178</v>
      </c>
      <c r="C309" s="6" t="str">
        <f aca="false">HYPERLINK("https://partner.tcgplayer.com/c/6278691/1780961/21018?u=https%3A%2F%2Fwww.tcgplayer.com%2Fproduct%2F523845%3Futm_source%3Dimpact%26utm_medium%3Daffiliate%26utm_campaign%3Dpoke%2Bcottage","Future Booster Energy Capsule")</f>
        <v>Future Booster Energy Capsule</v>
      </c>
      <c r="D309" s="5" t="s">
        <v>13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179</v>
      </c>
      <c r="C310" s="6" t="str">
        <f aca="false">HYPERLINK("https://partner.tcgplayer.com/c/6278691/1780961/21018?u=https%3A%2F%2Fwww.tcgplayer.com%2Fproduct%2F523846%3Futm_source%3Dimpact%26utm_medium%3Daffiliate%26utm_campaign%3Dpoke%2Bcottage","Larry")</f>
        <v>Larry</v>
      </c>
      <c r="D310" s="5" t="s">
        <v>8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179</v>
      </c>
      <c r="C311" s="6" t="str">
        <f aca="false">HYPERLINK("https://partner.tcgplayer.com/c/6278691/1780961/21018?u=https%3A%2F%2Fwww.tcgplayer.com%2Fproduct%2F523846%3Futm_source%3Dimpact%26utm_medium%3Daffiliate%26utm_campaign%3Dpoke%2Bcottage","Larry")</f>
        <v>Larry</v>
      </c>
      <c r="D311" s="5" t="s">
        <v>8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180</v>
      </c>
      <c r="C312" s="6" t="str">
        <f aca="false">HYPERLINK("https://partner.tcgplayer.com/c/6278691/1780961/21018?u=https%3A%2F%2Fwww.tcgplayer.com%2Fproduct%2F523847%3Futm_source%3Dimpact%26utm_medium%3Daffiliate%26utm_campaign%3Dpoke%2Bcottage","Luxurious Cape")</f>
        <v>Luxurious Cape</v>
      </c>
      <c r="D312" s="5" t="s">
        <v>13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180</v>
      </c>
      <c r="C313" s="6" t="str">
        <f aca="false">HYPERLINK("https://partner.tcgplayer.com/c/6278691/1780961/21018?u=https%3A%2F%2Fwww.tcgplayer.com%2Fproduct%2F523847%3Futm_source%3Dimpact%26utm_medium%3Daffiliate%26utm_campaign%3Dpoke%2Bcottage","Luxurious Cape")</f>
        <v>Luxurious Cape</v>
      </c>
      <c r="D313" s="5" t="s">
        <v>13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181</v>
      </c>
      <c r="C314" s="6" t="str">
        <f aca="false">HYPERLINK("https://partner.tcgplayer.com/c/6278691/1780961/21018?u=https%3A%2F%2Fwww.tcgplayer.com%2Fproduct%2F523848%3Futm_source%3Dimpact%26utm_medium%3Daffiliate%26utm_campaign%3Dpoke%2Bcottage","Mela")</f>
        <v>Mela</v>
      </c>
      <c r="D314" s="5" t="s">
        <v>13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181</v>
      </c>
      <c r="C315" s="6" t="str">
        <f aca="false">HYPERLINK("https://partner.tcgplayer.com/c/6278691/1780961/21018?u=https%3A%2F%2Fwww.tcgplayer.com%2Fproduct%2F523848%3Futm_source%3Dimpact%26utm_medium%3Daffiliate%26utm_campaign%3Dpoke%2Bcottage","Mela")</f>
        <v>Mela</v>
      </c>
      <c r="D315" s="5" t="s">
        <v>13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182</v>
      </c>
      <c r="C316" s="6" t="str">
        <f aca="false">HYPERLINK("https://partner.tcgplayer.com/c/6278691/1780961/21018?u=https%3A%2F%2Fwww.tcgplayer.com%2Fproduct%2F523849%3Futm_source%3Dimpact%26utm_medium%3Daffiliate%26utm_campaign%3Dpoke%2Bcottage","Norman")</f>
        <v>Norman</v>
      </c>
      <c r="D316" s="5" t="s">
        <v>13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182</v>
      </c>
      <c r="C317" s="6" t="str">
        <f aca="false">HYPERLINK("https://partner.tcgplayer.com/c/6278691/1780961/21018?u=https%3A%2F%2Fwww.tcgplayer.com%2Fproduct%2F523849%3Futm_source%3Dimpact%26utm_medium%3Daffiliate%26utm_campaign%3Dpoke%2Bcottage","Norman")</f>
        <v>Norman</v>
      </c>
      <c r="D317" s="5" t="s">
        <v>13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183</v>
      </c>
      <c r="C318" s="6" t="str">
        <f aca="false">HYPERLINK("https://partner.tcgplayer.com/c/6278691/1780961/21018?u=https%3A%2F%2Fwww.tcgplayer.com%2Fproduct%2F523850%3Futm_source%3Dimpact%26utm_medium%3Daffiliate%26utm_campaign%3Dpoke%2Bcottage","Parasol Lady")</f>
        <v>Parasol Lady</v>
      </c>
      <c r="D318" s="5" t="s">
        <v>8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183</v>
      </c>
      <c r="C319" s="6" t="str">
        <f aca="false">HYPERLINK("https://partner.tcgplayer.com/c/6278691/1780961/21018?u=https%3A%2F%2Fwww.tcgplayer.com%2Fproduct%2F523850%3Futm_source%3Dimpact%26utm_medium%3Daffiliate%26utm_campaign%3Dpoke%2Bcottage","Parasol Lady")</f>
        <v>Parasol Lady</v>
      </c>
      <c r="D319" s="5" t="s">
        <v>8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184</v>
      </c>
      <c r="C320" s="6" t="str">
        <f aca="false">HYPERLINK("https://partner.tcgplayer.com/c/6278691/1780961/21018?u=https%3A%2F%2Fwww.tcgplayer.com%2Fproduct%2F523851%3Futm_source%3Dimpact%26utm_medium%3Daffiliate%26utm_campaign%3Dpoke%2Bcottage","Professor Sada's Vitality")</f>
        <v>Professor Sada's Vitality</v>
      </c>
      <c r="D320" s="5" t="s">
        <v>13</v>
      </c>
      <c r="E320" s="5" t="s">
        <v>9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184</v>
      </c>
      <c r="C321" s="6" t="str">
        <f aca="false">HYPERLINK("https://partner.tcgplayer.com/c/6278691/1780961/21018?u=https%3A%2F%2Fwww.tcgplayer.com%2Fproduct%2F523851%3Futm_source%3Dimpact%26utm_medium%3Daffiliate%26utm_campaign%3Dpoke%2Bcottage","Professor Sada's Vitality")</f>
        <v>Professor Sada's Vitality</v>
      </c>
      <c r="D321" s="5" t="s">
        <v>13</v>
      </c>
      <c r="E321" s="5" t="s">
        <v>11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185</v>
      </c>
      <c r="C322" s="6" t="str">
        <f aca="false">HYPERLINK("https://partner.tcgplayer.com/c/6278691/1780961/21018?u=https%3A%2F%2Fwww.tcgplayer.com%2Fproduct%2F523852%3Futm_source%3Dimpact%26utm_medium%3Daffiliate%26utm_campaign%3Dpoke%2Bcottage","Professor Turo's Scenario")</f>
        <v>Professor Turo's Scenario</v>
      </c>
      <c r="D322" s="5" t="s">
        <v>13</v>
      </c>
      <c r="E322" s="5" t="s">
        <v>9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185</v>
      </c>
      <c r="C323" s="6" t="str">
        <f aca="false">HYPERLINK("https://partner.tcgplayer.com/c/6278691/1780961/21018?u=https%3A%2F%2Fwww.tcgplayer.com%2Fproduct%2F523852%3Futm_source%3Dimpact%26utm_medium%3Daffiliate%26utm_campaign%3Dpoke%2Bcottage","Professor Turo's Scenario")</f>
        <v>Professor Turo's Scenario</v>
      </c>
      <c r="D323" s="5" t="s">
        <v>13</v>
      </c>
      <c r="E323" s="5" t="s">
        <v>11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186</v>
      </c>
      <c r="C324" s="6" t="str">
        <f aca="false">HYPERLINK("https://partner.tcgplayer.com/c/6278691/1780961/21018?u=https%3A%2F%2Fwww.tcgplayer.com%2Fproduct%2F523853%3Futm_source%3Dimpact%26utm_medium%3Daffiliate%26utm_campaign%3Dpoke%2Bcottage","Rika")</f>
        <v>Rika</v>
      </c>
      <c r="D324" s="5" t="s">
        <v>13</v>
      </c>
      <c r="E324" s="5" t="s">
        <v>9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186</v>
      </c>
      <c r="C325" s="6" t="str">
        <f aca="false">HYPERLINK("https://partner.tcgplayer.com/c/6278691/1780961/21018?u=https%3A%2F%2Fwww.tcgplayer.com%2Fproduct%2F523853%3Futm_source%3Dimpact%26utm_medium%3Daffiliate%26utm_campaign%3Dpoke%2Bcottage","Rika")</f>
        <v>Rika</v>
      </c>
      <c r="D325" s="5" t="s">
        <v>13</v>
      </c>
      <c r="E325" s="5" t="s">
        <v>11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187</v>
      </c>
      <c r="C326" s="6" t="str">
        <f aca="false">HYPERLINK("https://partner.tcgplayer.com/c/6278691/1780961/21018?u=https%3A%2F%2Fwww.tcgplayer.com%2Fproduct%2F523854%3Futm_source%3Dimpact%26utm_medium%3Daffiliate%26utm_campaign%3Dpoke%2Bcottage","Roark")</f>
        <v>Roark</v>
      </c>
      <c r="D326" s="5" t="s">
        <v>13</v>
      </c>
      <c r="E326" s="5" t="s">
        <v>9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187</v>
      </c>
      <c r="C327" s="6" t="str">
        <f aca="false">HYPERLINK("https://partner.tcgplayer.com/c/6278691/1780961/21018?u=https%3A%2F%2Fwww.tcgplayer.com%2Fproduct%2F523854%3Futm_source%3Dimpact%26utm_medium%3Daffiliate%26utm_campaign%3Dpoke%2Bcottage","Roark")</f>
        <v>Roark</v>
      </c>
      <c r="D327" s="5" t="s">
        <v>13</v>
      </c>
      <c r="E327" s="5" t="s">
        <v>11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188</v>
      </c>
      <c r="C328" s="6" t="str">
        <f aca="false">HYPERLINK("https://partner.tcgplayer.com/c/6278691/1780961/21018?u=https%3A%2F%2Fwww.tcgplayer.com%2Fproduct%2F523855%3Futm_source%3Dimpact%26utm_medium%3Daffiliate%26utm_campaign%3Dpoke%2Bcottage","Shauntal")</f>
        <v>Shauntal</v>
      </c>
      <c r="D328" s="5" t="s">
        <v>13</v>
      </c>
      <c r="E328" s="5" t="s">
        <v>9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188</v>
      </c>
      <c r="C329" s="6" t="str">
        <f aca="false">HYPERLINK("https://partner.tcgplayer.com/c/6278691/1780961/21018?u=https%3A%2F%2Fwww.tcgplayer.com%2Fproduct%2F523855%3Futm_source%3Dimpact%26utm_medium%3Daffiliate%26utm_campaign%3Dpoke%2Bcottage","Shauntal")</f>
        <v>Shauntal</v>
      </c>
      <c r="D329" s="5" t="s">
        <v>13</v>
      </c>
      <c r="E329" s="5" t="s">
        <v>11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189</v>
      </c>
      <c r="C330" s="6" t="str">
        <f aca="false">HYPERLINK("https://partner.tcgplayer.com/c/6278691/1780961/21018?u=https%3A%2F%2Fwww.tcgplayer.com%2Fproduct%2F523856%3Futm_source%3Dimpact%26utm_medium%3Daffiliate%26utm_campaign%3Dpoke%2Bcottage","Snorlax Doll")</f>
        <v>Snorlax Doll</v>
      </c>
      <c r="D330" s="5" t="s">
        <v>13</v>
      </c>
      <c r="E330" s="5" t="s">
        <v>9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189</v>
      </c>
      <c r="C331" s="6" t="str">
        <f aca="false">HYPERLINK("https://partner.tcgplayer.com/c/6278691/1780961/21018?u=https%3A%2F%2Fwww.tcgplayer.com%2Fproduct%2F523856%3Futm_source%3Dimpact%26utm_medium%3Daffiliate%26utm_campaign%3Dpoke%2Bcottage","Snorlax Doll")</f>
        <v>Snorlax Doll</v>
      </c>
      <c r="D331" s="5" t="s">
        <v>13</v>
      </c>
      <c r="E331" s="5" t="s">
        <v>11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190</v>
      </c>
      <c r="C332" s="6" t="str">
        <f aca="false">HYPERLINK("https://partner.tcgplayer.com/c/6278691/1780961/21018?u=https%3A%2F%2Fwww.tcgplayer.com%2Fproduct%2F523857%3Futm_source%3Dimpact%26utm_medium%3Daffiliate%26utm_campaign%3Dpoke%2Bcottage","Technical Machine: Blindside")</f>
        <v>Technical Machine: Blindside</v>
      </c>
      <c r="D332" s="5" t="s">
        <v>13</v>
      </c>
      <c r="E332" s="5" t="s">
        <v>9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190</v>
      </c>
      <c r="C333" s="6" t="str">
        <f aca="false">HYPERLINK("https://partner.tcgplayer.com/c/6278691/1780961/21018?u=https%3A%2F%2Fwww.tcgplayer.com%2Fproduct%2F523857%3Futm_source%3Dimpact%26utm_medium%3Daffiliate%26utm_campaign%3Dpoke%2Bcottage","Technical Machine: Blindside")</f>
        <v>Technical Machine: Blindside</v>
      </c>
      <c r="D333" s="5" t="s">
        <v>13</v>
      </c>
      <c r="E333" s="5" t="s">
        <v>11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191</v>
      </c>
      <c r="C334" s="6" t="str">
        <f aca="false">HYPERLINK("https://partner.tcgplayer.com/c/6278691/1780961/21018?u=https%3A%2F%2Fwww.tcgplayer.com%2Fproduct%2F523858%3Futm_source%3Dimpact%26utm_medium%3Daffiliate%26utm_campaign%3Dpoke%2Bcottage","Technical Machine: Devolution")</f>
        <v>Technical Machine: Devolution</v>
      </c>
      <c r="D334" s="5" t="s">
        <v>13</v>
      </c>
      <c r="E334" s="5" t="s">
        <v>9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191</v>
      </c>
      <c r="C335" s="6" t="str">
        <f aca="false">HYPERLINK("https://partner.tcgplayer.com/c/6278691/1780961/21018?u=https%3A%2F%2Fwww.tcgplayer.com%2Fproduct%2F523858%3Futm_source%3Dimpact%26utm_medium%3Daffiliate%26utm_campaign%3Dpoke%2Bcottage","Technical Machine: Devolution")</f>
        <v>Technical Machine: Devolution</v>
      </c>
      <c r="D335" s="5" t="s">
        <v>13</v>
      </c>
      <c r="E335" s="5" t="s">
        <v>11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192</v>
      </c>
      <c r="C336" s="6" t="str">
        <f aca="false">HYPERLINK("https://partner.tcgplayer.com/c/6278691/1780961/21018?u=https%3A%2F%2Fwww.tcgplayer.com%2Fproduct%2F523859%3Futm_source%3Dimpact%26utm_medium%3Daffiliate%26utm_campaign%3Dpoke%2Bcottage","Technical Machine: Evolution")</f>
        <v>Technical Machine: Evolution</v>
      </c>
      <c r="D336" s="5" t="s">
        <v>13</v>
      </c>
      <c r="E336" s="5" t="s">
        <v>9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192</v>
      </c>
      <c r="C337" s="6" t="str">
        <f aca="false">HYPERLINK("https://partner.tcgplayer.com/c/6278691/1780961/21018?u=https%3A%2F%2Fwww.tcgplayer.com%2Fproduct%2F523859%3Futm_source%3Dimpact%26utm_medium%3Daffiliate%26utm_campaign%3Dpoke%2Bcottage","Technical Machine: Evolution")</f>
        <v>Technical Machine: Evolution</v>
      </c>
      <c r="D337" s="5" t="s">
        <v>13</v>
      </c>
      <c r="E337" s="5" t="s">
        <v>11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193</v>
      </c>
      <c r="C338" s="6" t="str">
        <f aca="false">HYPERLINK("https://partner.tcgplayer.com/c/6278691/1780961/21018?u=https%3A%2F%2Fwww.tcgplayer.com%2Fproduct%2F523860%3Futm_source%3Dimpact%26utm_medium%3Daffiliate%26utm_campaign%3Dpoke%2Bcottage","Technical Machine: Turbo Energize")</f>
        <v>Technical Machine: Turbo Energize</v>
      </c>
      <c r="D338" s="5" t="s">
        <v>13</v>
      </c>
      <c r="E338" s="5" t="s">
        <v>9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193</v>
      </c>
      <c r="C339" s="6" t="str">
        <f aca="false">HYPERLINK("https://partner.tcgplayer.com/c/6278691/1780961/21018?u=https%3A%2F%2Fwww.tcgplayer.com%2Fproduct%2F523860%3Futm_source%3Dimpact%26utm_medium%3Daffiliate%26utm_campaign%3Dpoke%2Bcottage","Technical Machine: Turbo Energize")</f>
        <v>Technical Machine: Turbo Energize</v>
      </c>
      <c r="D339" s="5" t="s">
        <v>13</v>
      </c>
      <c r="E339" s="5" t="s">
        <v>11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194</v>
      </c>
      <c r="C340" s="6" t="str">
        <f aca="false">HYPERLINK("https://partner.tcgplayer.com/c/6278691/1780961/21018?u=https%3A%2F%2Fwww.tcgplayer.com%2Fproduct%2F523861%3Futm_source%3Dimpact%26utm_medium%3Daffiliate%26utm_campaign%3Dpoke%2Bcottage","Techno Radar")</f>
        <v>Techno Radar</v>
      </c>
      <c r="D340" s="5" t="s">
        <v>13</v>
      </c>
      <c r="E340" s="5" t="s">
        <v>9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194</v>
      </c>
      <c r="C341" s="6" t="str">
        <f aca="false">HYPERLINK("https://partner.tcgplayer.com/c/6278691/1780961/21018?u=https%3A%2F%2Fwww.tcgplayer.com%2Fproduct%2F523861%3Futm_source%3Dimpact%26utm_medium%3Daffiliate%26utm_campaign%3Dpoke%2Bcottage","Techno Radar")</f>
        <v>Techno Radar</v>
      </c>
      <c r="D341" s="5" t="s">
        <v>13</v>
      </c>
      <c r="E341" s="5" t="s">
        <v>11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195</v>
      </c>
      <c r="C342" s="6" t="str">
        <f aca="false">HYPERLINK("https://partner.tcgplayer.com/c/6278691/1780961/21018?u=https%3A%2F%2Fwww.tcgplayer.com%2Fproduct%2F523862%3Futm_source%3Dimpact%26utm_medium%3Daffiliate%26utm_campaign%3Dpoke%2Bcottage","Tulip")</f>
        <v>Tulip</v>
      </c>
      <c r="D342" s="5" t="s">
        <v>13</v>
      </c>
      <c r="E342" s="5" t="s">
        <v>9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195</v>
      </c>
      <c r="C343" s="6" t="str">
        <f aca="false">HYPERLINK("https://partner.tcgplayer.com/c/6278691/1780961/21018?u=https%3A%2F%2Fwww.tcgplayer.com%2Fproduct%2F523862%3Futm_source%3Dimpact%26utm_medium%3Daffiliate%26utm_campaign%3Dpoke%2Bcottage","Tulip")</f>
        <v>Tulip</v>
      </c>
      <c r="D343" s="5" t="s">
        <v>13</v>
      </c>
      <c r="E343" s="5" t="s">
        <v>11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196</v>
      </c>
      <c r="C344" s="6" t="str">
        <f aca="false">HYPERLINK("https://partner.tcgplayer.com/c/6278691/1780961/21018?u=https%3A%2F%2Fwww.tcgplayer.com%2Fproduct%2F523863%3Futm_source%3Dimpact%26utm_medium%3Daffiliate%26utm_campaign%3Dpoke%2Bcottage","Medical Energy")</f>
        <v>Medical Energy</v>
      </c>
      <c r="D344" s="5" t="s">
        <v>13</v>
      </c>
      <c r="E344" s="5" t="s">
        <v>9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196</v>
      </c>
      <c r="C345" s="6" t="str">
        <f aca="false">HYPERLINK("https://partner.tcgplayer.com/c/6278691/1780961/21018?u=https%3A%2F%2Fwww.tcgplayer.com%2Fproduct%2F523863%3Futm_source%3Dimpact%26utm_medium%3Daffiliate%26utm_campaign%3Dpoke%2Bcottage","Medical Energy")</f>
        <v>Medical Energy</v>
      </c>
      <c r="D345" s="5" t="s">
        <v>13</v>
      </c>
      <c r="E345" s="5" t="s">
        <v>11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197</v>
      </c>
      <c r="C346" s="6" t="str">
        <f aca="false">HYPERLINK("https://partner.tcgplayer.com/c/6278691/1780961/21018?u=https%3A%2F%2Fwww.tcgplayer.com%2Fproduct%2F523864%3Futm_source%3Dimpact%26utm_medium%3Daffiliate%26utm_campaign%3Dpoke%2Bcottage","Crustle")</f>
        <v>Crustle</v>
      </c>
      <c r="D346" s="5" t="s">
        <v>198</v>
      </c>
      <c r="E346" s="5" t="s">
        <v>16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199</v>
      </c>
      <c r="C347" s="6" t="str">
        <f aca="false">HYPERLINK("https://partner.tcgplayer.com/c/6278691/1780961/21018?u=https%3A%2F%2Fwww.tcgplayer.com%2Fproduct%2F523865%3Futm_source%3Dimpact%26utm_medium%3Daffiliate%26utm_campaign%3Dpoke%2Bcottage","Dottler")</f>
        <v>Dottler</v>
      </c>
      <c r="D347" s="5" t="s">
        <v>198</v>
      </c>
      <c r="E347" s="5" t="s">
        <v>16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200</v>
      </c>
      <c r="C348" s="6" t="str">
        <f aca="false">HYPERLINK("https://partner.tcgplayer.com/c/6278691/1780961/21018?u=https%3A%2F%2Fwww.tcgplayer.com%2Fproduct%2F523866%3Futm_source%3Dimpact%26utm_medium%3Daffiliate%26utm_campaign%3Dpoke%2Bcottage","Toedscruel")</f>
        <v>Toedscruel</v>
      </c>
      <c r="D348" s="5" t="s">
        <v>198</v>
      </c>
      <c r="E348" s="5" t="s">
        <v>16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201</v>
      </c>
      <c r="C349" s="6" t="str">
        <f aca="false">HYPERLINK("https://partner.tcgplayer.com/c/6278691/1780961/21018?u=https%3A%2F%2Fwww.tcgplayer.com%2Fproduct%2F523867%3Futm_source%3Dimpact%26utm_medium%3Daffiliate%26utm_campaign%3Dpoke%2Bcottage","Magby")</f>
        <v>Magby</v>
      </c>
      <c r="D349" s="5" t="s">
        <v>198</v>
      </c>
      <c r="E349" s="5" t="s">
        <v>16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202</v>
      </c>
      <c r="C350" s="6" t="str">
        <f aca="false">HYPERLINK("https://partner.tcgplayer.com/c/6278691/1780961/21018?u=https%3A%2F%2Fwww.tcgplayer.com%2Fproduct%2F523868%3Futm_source%3Dimpact%26utm_medium%3Daffiliate%26utm_campaign%3Dpoke%2Bcottage","Iron Moth")</f>
        <v>Iron Moth</v>
      </c>
      <c r="D350" s="5" t="s">
        <v>198</v>
      </c>
      <c r="E350" s="5" t="s">
        <v>16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203</v>
      </c>
      <c r="C351" s="6" t="str">
        <f aca="false">HYPERLINK("https://partner.tcgplayer.com/c/6278691/1780961/21018?u=https%3A%2F%2Fwww.tcgplayer.com%2Fproduct%2F523869%3Futm_source%3Dimpact%26utm_medium%3Daffiliate%26utm_campaign%3Dpoke%2Bcottage","Snorunt")</f>
        <v>Snorunt</v>
      </c>
      <c r="D351" s="5" t="s">
        <v>198</v>
      </c>
      <c r="E351" s="5" t="s">
        <v>16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204</v>
      </c>
      <c r="C352" s="6" t="str">
        <f aca="false">HYPERLINK("https://partner.tcgplayer.com/c/6278691/1780961/21018?u=https%3A%2F%2Fwww.tcgplayer.com%2Fproduct%2F523870%3Futm_source%3Dimpact%26utm_medium%3Daffiliate%26utm_campaign%3Dpoke%2Bcottage","Mantyke")</f>
        <v>Mantyke</v>
      </c>
      <c r="D352" s="5" t="s">
        <v>198</v>
      </c>
      <c r="E352" s="5" t="s">
        <v>16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205</v>
      </c>
      <c r="C353" s="6" t="str">
        <f aca="false">HYPERLINK("https://partner.tcgplayer.com/c/6278691/1780961/21018?u=https%3A%2F%2Fwww.tcgplayer.com%2Fproduct%2F523871%3Futm_source%3Dimpact%26utm_medium%3Daffiliate%26utm_campaign%3Dpoke%2Bcottage","Vanillish")</f>
        <v>Vanillish</v>
      </c>
      <c r="D353" s="5" t="s">
        <v>198</v>
      </c>
      <c r="E353" s="5" t="s">
        <v>16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206</v>
      </c>
      <c r="C354" s="6" t="str">
        <f aca="false">HYPERLINK("https://partner.tcgplayer.com/c/6278691/1780961/21018?u=https%3A%2F%2Fwww.tcgplayer.com%2Fproduct%2F523872%3Futm_source%3Dimpact%26utm_medium%3Daffiliate%26utm_campaign%3Dpoke%2Bcottage","Wimpod")</f>
        <v>Wimpod</v>
      </c>
      <c r="D354" s="5" t="s">
        <v>198</v>
      </c>
      <c r="E354" s="5" t="s">
        <v>16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207</v>
      </c>
      <c r="C355" s="6" t="str">
        <f aca="false">HYPERLINK("https://partner.tcgplayer.com/c/6278691/1780961/21018?u=https%3A%2F%2Fwww.tcgplayer.com%2Fproduct%2F523873%3Futm_source%3Dimpact%26utm_medium%3Daffiliate%26utm_campaign%3Dpoke%2Bcottage","Veluza")</f>
        <v>Veluza</v>
      </c>
      <c r="D355" s="5" t="s">
        <v>198</v>
      </c>
      <c r="E355" s="5" t="s">
        <v>16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208</v>
      </c>
      <c r="C356" s="6" t="str">
        <f aca="false">HYPERLINK("https://partner.tcgplayer.com/c/6278691/1780961/21018?u=https%3A%2F%2Fwww.tcgplayer.com%2Fproduct%2F523874%3Futm_source%3Dimpact%26utm_medium%3Daffiliate%26utm_campaign%3Dpoke%2Bcottage","Plusle")</f>
        <v>Plusle</v>
      </c>
      <c r="D356" s="5" t="s">
        <v>198</v>
      </c>
      <c r="E356" s="5" t="s">
        <v>16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209</v>
      </c>
      <c r="C357" s="6" t="str">
        <f aca="false">HYPERLINK("https://partner.tcgplayer.com/c/6278691/1780961/21018?u=https%3A%2F%2Fwww.tcgplayer.com%2Fproduct%2F523875%3Futm_source%3Dimpact%26utm_medium%3Daffiliate%26utm_campaign%3Dpoke%2Bcottage","Minun")</f>
        <v>Minun</v>
      </c>
      <c r="D357" s="5" t="s">
        <v>198</v>
      </c>
      <c r="E357" s="5" t="s">
        <v>16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210</v>
      </c>
      <c r="C358" s="6" t="str">
        <f aca="false">HYPERLINK("https://partner.tcgplayer.com/c/6278691/1780961/21018?u=https%3A%2F%2Fwww.tcgplayer.com%2Fproduct%2F523876%3Futm_source%3Dimpact%26utm_medium%3Daffiliate%26utm_campaign%3Dpoke%2Bcottage","Blitzle")</f>
        <v>Blitzle</v>
      </c>
      <c r="D358" s="5" t="s">
        <v>198</v>
      </c>
      <c r="E358" s="5" t="s">
        <v>16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211</v>
      </c>
      <c r="C359" s="6" t="str">
        <f aca="false">HYPERLINK("https://partner.tcgplayer.com/c/6278691/1780961/21018?u=https%3A%2F%2Fwww.tcgplayer.com%2Fproduct%2F523877%3Futm_source%3Dimpact%26utm_medium%3Daffiliate%26utm_campaign%3Dpoke%2Bcottage","Joltik")</f>
        <v>Joltik</v>
      </c>
      <c r="D359" s="5" t="s">
        <v>198</v>
      </c>
      <c r="E359" s="5" t="s">
        <v>16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212</v>
      </c>
      <c r="C360" s="6" t="str">
        <f aca="false">HYPERLINK("https://partner.tcgplayer.com/c/6278691/1780961/21018?u=https%3A%2F%2Fwww.tcgplayer.com%2Fproduct%2F523878%3Futm_source%3Dimpact%26utm_medium%3Daffiliate%26utm_campaign%3Dpoke%2Bcottage","Espathra")</f>
        <v>Espathra</v>
      </c>
      <c r="D360" s="5" t="s">
        <v>198</v>
      </c>
      <c r="E360" s="5" t="s">
        <v>16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213</v>
      </c>
      <c r="C361" s="6" t="str">
        <f aca="false">HYPERLINK("https://partner.tcgplayer.com/c/6278691/1780961/21018?u=https%3A%2F%2Fwww.tcgplayer.com%2Fproduct%2F523879%3Futm_source%3Dimpact%26utm_medium%3Daffiliate%26utm_campaign%3Dpoke%2Bcottage","Gimmighoul")</f>
        <v>Gimmighoul</v>
      </c>
      <c r="D361" s="5" t="s">
        <v>198</v>
      </c>
      <c r="E361" s="5" t="s">
        <v>16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214</v>
      </c>
      <c r="C362" s="6" t="str">
        <f aca="false">HYPERLINK("https://partner.tcgplayer.com/c/6278691/1780961/21018?u=https%3A%2F%2Fwww.tcgplayer.com%2Fproduct%2F523880%3Futm_source%3Dimpact%26utm_medium%3Daffiliate%26utm_campaign%3Dpoke%2Bcottage","Groudon")</f>
        <v>Groudon</v>
      </c>
      <c r="D362" s="5" t="s">
        <v>198</v>
      </c>
      <c r="E362" s="5" t="s">
        <v>16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215</v>
      </c>
      <c r="C363" s="6" t="str">
        <f aca="false">HYPERLINK("https://partner.tcgplayer.com/c/6278691/1780961/21018?u=https%3A%2F%2Fwww.tcgplayer.com%2Fproduct%2F523881%3Futm_source%3Dimpact%26utm_medium%3Daffiliate%26utm_campaign%3Dpoke%2Bcottage","Mienshao")</f>
        <v>Mienshao</v>
      </c>
      <c r="D363" s="5" t="s">
        <v>198</v>
      </c>
      <c r="E363" s="5" t="s">
        <v>16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216</v>
      </c>
      <c r="C364" s="6" t="str">
        <f aca="false">HYPERLINK("https://partner.tcgplayer.com/c/6278691/1780961/21018?u=https%3A%2F%2Fwww.tcgplayer.com%2Fproduct%2F523882%3Futm_source%3Dimpact%26utm_medium%3Daffiliate%26utm_campaign%3Dpoke%2Bcottage","Minior")</f>
        <v>Minior</v>
      </c>
      <c r="D364" s="5" t="s">
        <v>198</v>
      </c>
      <c r="E364" s="5" t="s">
        <v>16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217</v>
      </c>
      <c r="C365" s="6" t="str">
        <f aca="false">HYPERLINK("https://partner.tcgplayer.com/c/6278691/1780961/21018?u=https%3A%2F%2Fwww.tcgplayer.com%2Fproduct%2F523883%3Futm_source%3Dimpact%26utm_medium%3Daffiliate%26utm_campaign%3Dpoke%2Bcottage","Garganacl")</f>
        <v>Garganacl</v>
      </c>
      <c r="D365" s="5" t="s">
        <v>198</v>
      </c>
      <c r="E365" s="5" t="s">
        <v>16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218</v>
      </c>
      <c r="C366" s="6" t="str">
        <f aca="false">HYPERLINK("https://partner.tcgplayer.com/c/6278691/1780961/21018?u=https%3A%2F%2Fwww.tcgplayer.com%2Fproduct%2F523884%3Futm_source%3Dimpact%26utm_medium%3Daffiliate%26utm_campaign%3Dpoke%2Bcottage","Slither Wing")</f>
        <v>Slither Wing</v>
      </c>
      <c r="D366" s="5" t="s">
        <v>198</v>
      </c>
      <c r="E366" s="5" t="s">
        <v>16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219</v>
      </c>
      <c r="C367" s="6" t="str">
        <f aca="false">HYPERLINK("https://partner.tcgplayer.com/c/6278691/1780961/21018?u=https%3A%2F%2Fwww.tcgplayer.com%2Fproduct%2F523885%3Futm_source%3Dimpact%26utm_medium%3Daffiliate%26utm_campaign%3Dpoke%2Bcottage","Garbodor")</f>
        <v>Garbodor</v>
      </c>
      <c r="D367" s="5" t="s">
        <v>198</v>
      </c>
      <c r="E367" s="5" t="s">
        <v>16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220</v>
      </c>
      <c r="C368" s="6" t="str">
        <f aca="false">HYPERLINK("https://partner.tcgplayer.com/c/6278691/1780961/21018?u=https%3A%2F%2Fwww.tcgplayer.com%2Fproduct%2F523886%3Futm_source%3Dimpact%26utm_medium%3Daffiliate%26utm_campaign%3Dpoke%2Bcottage","Yveltal")</f>
        <v>Yveltal</v>
      </c>
      <c r="D368" s="5" t="s">
        <v>198</v>
      </c>
      <c r="E368" s="5" t="s">
        <v>16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221</v>
      </c>
      <c r="C369" s="6" t="str">
        <f aca="false">HYPERLINK("https://partner.tcgplayer.com/c/6278691/1780961/21018?u=https%3A%2F%2Fwww.tcgplayer.com%2Fproduct%2F523887%3Futm_source%3Dimpact%26utm_medium%3Daffiliate%26utm_campaign%3Dpoke%2Bcottage","Morpeko")</f>
        <v>Morpeko</v>
      </c>
      <c r="D369" s="5" t="s">
        <v>198</v>
      </c>
      <c r="E369" s="5" t="s">
        <v>16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222</v>
      </c>
      <c r="C370" s="6" t="str">
        <f aca="false">HYPERLINK("https://partner.tcgplayer.com/c/6278691/1780961/21018?u=https%3A%2F%2Fwww.tcgplayer.com%2Fproduct%2F523888%3Futm_source%3Dimpact%26utm_medium%3Daffiliate%26utm_campaign%3Dpoke%2Bcottage","Brute Bonnet")</f>
        <v>Brute Bonnet</v>
      </c>
      <c r="D370" s="5" t="s">
        <v>198</v>
      </c>
      <c r="E370" s="5" t="s">
        <v>16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223</v>
      </c>
      <c r="C371" s="6" t="str">
        <f aca="false">HYPERLINK("https://partner.tcgplayer.com/c/6278691/1780961/21018?u=https%3A%2F%2Fwww.tcgplayer.com%2Fproduct%2F523889%3Futm_source%3Dimpact%26utm_medium%3Daffiliate%26utm_campaign%3Dpoke%2Bcottage","Steelix")</f>
        <v>Steelix</v>
      </c>
      <c r="D371" s="5" t="s">
        <v>198</v>
      </c>
      <c r="E371" s="5" t="s">
        <v>16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224</v>
      </c>
      <c r="C372" s="6" t="str">
        <f aca="false">HYPERLINK("https://partner.tcgplayer.com/c/6278691/1780961/21018?u=https%3A%2F%2Fwww.tcgplayer.com%2Fproduct%2F523890%3Futm_source%3Dimpact%26utm_medium%3Daffiliate%26utm_campaign%3Dpoke%2Bcottage","Ferrothorn")</f>
        <v>Ferrothorn</v>
      </c>
      <c r="D372" s="5" t="s">
        <v>198</v>
      </c>
      <c r="E372" s="5" t="s">
        <v>16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225</v>
      </c>
      <c r="C373" s="6" t="str">
        <f aca="false">HYPERLINK("https://partner.tcgplayer.com/c/6278691/1780961/21018?u=https%3A%2F%2Fwww.tcgplayer.com%2Fproduct%2F523891%3Futm_source%3Dimpact%26utm_medium%3Daffiliate%26utm_campaign%3Dpoke%2Bcottage","Aegislash")</f>
        <v>Aegislash</v>
      </c>
      <c r="D373" s="5" t="s">
        <v>198</v>
      </c>
      <c r="E373" s="5" t="s">
        <v>16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226</v>
      </c>
      <c r="C374" s="6" t="str">
        <f aca="false">HYPERLINK("https://partner.tcgplayer.com/c/6278691/1780961/21018?u=https%3A%2F%2Fwww.tcgplayer.com%2Fproduct%2F523892%3Futm_source%3Dimpact%26utm_medium%3Daffiliate%26utm_campaign%3Dpoke%2Bcottage","Aipom")</f>
        <v>Aipom</v>
      </c>
      <c r="D374" s="5" t="s">
        <v>198</v>
      </c>
      <c r="E374" s="5" t="s">
        <v>16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227</v>
      </c>
      <c r="C375" s="6" t="str">
        <f aca="false">HYPERLINK("https://partner.tcgplayer.com/c/6278691/1780961/21018?u=https%3A%2F%2Fwww.tcgplayer.com%2Fproduct%2F523893%3Futm_source%3Dimpact%26utm_medium%3Daffiliate%26utm_campaign%3Dpoke%2Bcottage","Loudred")</f>
        <v>Loudred</v>
      </c>
      <c r="D375" s="5" t="s">
        <v>198</v>
      </c>
      <c r="E375" s="5" t="s">
        <v>16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228</v>
      </c>
      <c r="C376" s="6" t="str">
        <f aca="false">HYPERLINK("https://partner.tcgplayer.com/c/6278691/1780961/21018?u=https%3A%2F%2Fwww.tcgplayer.com%2Fproduct%2F523894%3Futm_source%3Dimpact%26utm_medium%3Daffiliate%26utm_campaign%3Dpoke%2Bcottage","Swablu")</f>
        <v>Swablu</v>
      </c>
      <c r="D376" s="5" t="s">
        <v>198</v>
      </c>
      <c r="E376" s="5" t="s">
        <v>16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229</v>
      </c>
      <c r="C377" s="6" t="str">
        <f aca="false">HYPERLINK("https://partner.tcgplayer.com/c/6278691/1780961/21018?u=https%3A%2F%2Fwww.tcgplayer.com%2Fproduct%2F523895%3Futm_source%3Dimpact%26utm_medium%3Daffiliate%26utm_campaign%3Dpoke%2Bcottage","Porygon-Z")</f>
        <v>Porygon-Z</v>
      </c>
      <c r="D377" s="5" t="s">
        <v>198</v>
      </c>
      <c r="E377" s="5" t="s">
        <v>16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230</v>
      </c>
      <c r="C378" s="6" t="str">
        <f aca="false">HYPERLINK("https://partner.tcgplayer.com/c/6278691/1780961/21018?u=https%3A%2F%2Fwww.tcgplayer.com%2Fproduct%2F523896%3Futm_source%3Dimpact%26utm_medium%3Daffiliate%26utm_campaign%3Dpoke%2Bcottage","Cyclizar")</f>
        <v>Cyclizar</v>
      </c>
      <c r="D378" s="5" t="s">
        <v>198</v>
      </c>
      <c r="E378" s="5" t="s">
        <v>16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231</v>
      </c>
      <c r="C379" s="6" t="str">
        <f aca="false">HYPERLINK("https://partner.tcgplayer.com/c/6278691/1780961/21018?u=https%3A%2F%2Fwww.tcgplayer.com%2Fproduct%2F523897%3Futm_source%3Dimpact%26utm_medium%3Daffiliate%26utm_campaign%3Dpoke%2Bcottage","Iron Jugulis")</f>
        <v>Iron Jugulis</v>
      </c>
      <c r="D379" s="5" t="s">
        <v>198</v>
      </c>
      <c r="E379" s="5" t="s">
        <v>16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232</v>
      </c>
      <c r="C380" s="6" t="str">
        <f aca="false">HYPERLINK("https://partner.tcgplayer.com/c/6278691/1780961/21018?u=https%3A%2F%2Fwww.tcgplayer.com%2Fproduct%2F523898%3Futm_source%3Dimpact%26utm_medium%3Daffiliate%26utm_campaign%3Dpoke%2Bcottage","Froslass ex")</f>
        <v>Froslass ex</v>
      </c>
      <c r="D380" s="5" t="s">
        <v>233</v>
      </c>
      <c r="E380" s="5" t="s">
        <v>16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234</v>
      </c>
      <c r="C381" s="6" t="str">
        <f aca="false">HYPERLINK("https://partner.tcgplayer.com/c/6278691/1780961/21018?u=https%3A%2F%2Fwww.tcgplayer.com%2Fproduct%2F523899%3Futm_source%3Dimpact%26utm_medium%3Daffiliate%26utm_campaign%3Dpoke%2Bcottage","Armarouge ex")</f>
        <v>Armarouge ex</v>
      </c>
      <c r="D381" s="5" t="s">
        <v>233</v>
      </c>
      <c r="E381" s="5" t="s">
        <v>16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235</v>
      </c>
      <c r="C382" s="6" t="str">
        <f aca="false">HYPERLINK("https://partner.tcgplayer.com/c/6278691/1780961/21018?u=https%3A%2F%2Fwww.tcgplayer.com%2Fproduct%2F523900%3Futm_source%3Dimpact%26utm_medium%3Daffiliate%26utm_campaign%3Dpoke%2Bcottage","Garchomp ex")</f>
        <v>Garchomp ex</v>
      </c>
      <c r="D382" s="5" t="s">
        <v>233</v>
      </c>
      <c r="E382" s="5" t="s">
        <v>16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236</v>
      </c>
      <c r="C383" s="6" t="str">
        <f aca="false">HYPERLINK("https://partner.tcgplayer.com/c/6278691/1780961/21018?u=https%3A%2F%2Fwww.tcgplayer.com%2Fproduct%2F523901%3Futm_source%3Dimpact%26utm_medium%3Daffiliate%26utm_campaign%3Dpoke%2Bcottage","Tsareena ex")</f>
        <v>Tsareena ex</v>
      </c>
      <c r="D383" s="5" t="s">
        <v>233</v>
      </c>
      <c r="E383" s="5" t="s">
        <v>16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237</v>
      </c>
      <c r="C384" s="6" t="str">
        <f aca="false">HYPERLINK("https://partner.tcgplayer.com/c/6278691/1780961/21018?u=https%3A%2F%2Fwww.tcgplayer.com%2Fproduct%2F523902%3Futm_source%3Dimpact%26utm_medium%3Daffiliate%26utm_campaign%3Dpoke%2Bcottage","Golisopod ex")</f>
        <v>Golisopod ex</v>
      </c>
      <c r="D384" s="5" t="s">
        <v>233</v>
      </c>
      <c r="E384" s="5" t="s">
        <v>16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238</v>
      </c>
      <c r="C385" s="6" t="str">
        <f aca="false">HYPERLINK("https://partner.tcgplayer.com/c/6278691/1780961/21018?u=https%3A%2F%2Fwww.tcgplayer.com%2Fproduct%2F523903%3Futm_source%3Dimpact%26utm_medium%3Daffiliate%26utm_campaign%3Dpoke%2Bcottage","Tapu Koko ex")</f>
        <v>Tapu Koko ex</v>
      </c>
      <c r="D385" s="5" t="s">
        <v>233</v>
      </c>
      <c r="E385" s="5" t="s">
        <v>16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239</v>
      </c>
      <c r="C386" s="6" t="str">
        <f aca="false">HYPERLINK("https://partner.tcgplayer.com/c/6278691/1780961/21018?u=https%3A%2F%2Fwww.tcgplayer.com%2Fproduct%2F523904%3Futm_source%3Dimpact%26utm_medium%3Daffiliate%26utm_campaign%3Dpoke%2Bcottage","Iron Hands ex")</f>
        <v>Iron Hands ex</v>
      </c>
      <c r="D386" s="5" t="s">
        <v>233</v>
      </c>
      <c r="E386" s="5" t="s">
        <v>16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240</v>
      </c>
      <c r="C387" s="6" t="str">
        <f aca="false">HYPERLINK("https://partner.tcgplayer.com/c/6278691/1780961/21018?u=https%3A%2F%2Fwww.tcgplayer.com%2Fproduct%2F523905%3Futm_source%3Dimpact%26utm_medium%3Daffiliate%26utm_campaign%3Dpoke%2Bcottage","Cofagrigus ex")</f>
        <v>Cofagrigus ex</v>
      </c>
      <c r="D387" s="5" t="s">
        <v>233</v>
      </c>
      <c r="E387" s="5" t="s">
        <v>16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241</v>
      </c>
      <c r="C388" s="6" t="str">
        <f aca="false">HYPERLINK("https://partner.tcgplayer.com/c/6278691/1780961/21018?u=https%3A%2F%2Fwww.tcgplayer.com%2Fproduct%2F523906%3Futm_source%3Dimpact%26utm_medium%3Daffiliate%26utm_campaign%3Dpoke%2Bcottage","Iron Valiant ex")</f>
        <v>Iron Valiant ex</v>
      </c>
      <c r="D388" s="5" t="s">
        <v>233</v>
      </c>
      <c r="E388" s="5" t="s">
        <v>16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242</v>
      </c>
      <c r="C389" s="6" t="str">
        <f aca="false">HYPERLINK("https://partner.tcgplayer.com/c/6278691/1780961/21018?u=https%3A%2F%2Fwww.tcgplayer.com%2Fproduct%2F523907%3Futm_source%3Dimpact%26utm_medium%3Daffiliate%26utm_campaign%3Dpoke%2Bcottage","Hoopa ex")</f>
        <v>Hoopa ex</v>
      </c>
      <c r="D389" s="5" t="s">
        <v>233</v>
      </c>
      <c r="E389" s="5" t="s">
        <v>16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243</v>
      </c>
      <c r="C390" s="6" t="str">
        <f aca="false">HYPERLINK("https://partner.tcgplayer.com/c/6278691/1780961/21018?u=https%3A%2F%2Fwww.tcgplayer.com%2Fproduct%2F523908%3Futm_source%3Dimpact%26utm_medium%3Daffiliate%26utm_campaign%3Dpoke%2Bcottage","Toxtricity ex")</f>
        <v>Toxtricity ex</v>
      </c>
      <c r="D390" s="5" t="s">
        <v>233</v>
      </c>
      <c r="E390" s="5" t="s">
        <v>16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244</v>
      </c>
      <c r="C391" s="6" t="str">
        <f aca="false">HYPERLINK("https://partner.tcgplayer.com/c/6278691/1780961/21018?u=https%3A%2F%2Fwww.tcgplayer.com%2Fproduct%2F523909%3Futm_source%3Dimpact%26utm_medium%3Daffiliate%26utm_campaign%3Dpoke%2Bcottage","Sandy Shocks ex")</f>
        <v>Sandy Shocks ex</v>
      </c>
      <c r="D391" s="5" t="s">
        <v>233</v>
      </c>
      <c r="E391" s="5" t="s">
        <v>16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245</v>
      </c>
      <c r="C392" s="6" t="str">
        <f aca="false">HYPERLINK("https://partner.tcgplayer.com/c/6278691/1780961/21018?u=https%3A%2F%2Fwww.tcgplayer.com%2Fproduct%2F523910%3Futm_source%3Dimpact%26utm_medium%3Daffiliate%26utm_campaign%3Dpoke%2Bcottage","Roaring Moon ex")</f>
        <v>Roaring Moon ex</v>
      </c>
      <c r="D392" s="5" t="s">
        <v>233</v>
      </c>
      <c r="E392" s="5" t="s">
        <v>16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246</v>
      </c>
      <c r="C393" s="6" t="str">
        <f aca="false">HYPERLINK("https://partner.tcgplayer.com/c/6278691/1780961/21018?u=https%3A%2F%2Fwww.tcgplayer.com%2Fproduct%2F523911%3Futm_source%3Dimpact%26utm_medium%3Daffiliate%26utm_campaign%3Dpoke%2Bcottage","Aegislash ex")</f>
        <v>Aegislash ex</v>
      </c>
      <c r="D393" s="5" t="s">
        <v>233</v>
      </c>
      <c r="E393" s="5" t="s">
        <v>16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247</v>
      </c>
      <c r="C394" s="6" t="str">
        <f aca="false">HYPERLINK("https://partner.tcgplayer.com/c/6278691/1780961/21018?u=https%3A%2F%2Fwww.tcgplayer.com%2Fproduct%2F523912%3Futm_source%3Dimpact%26utm_medium%3Daffiliate%26utm_campaign%3Dpoke%2Bcottage","Gholdengo ex")</f>
        <v>Gholdengo ex</v>
      </c>
      <c r="D394" s="5" t="s">
        <v>233</v>
      </c>
      <c r="E394" s="5" t="s">
        <v>16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248</v>
      </c>
      <c r="C395" s="6" t="str">
        <f aca="false">HYPERLINK("https://partner.tcgplayer.com/c/6278691/1780961/21018?u=https%3A%2F%2Fwww.tcgplayer.com%2Fproduct%2F523913%3Futm_source%3Dimpact%26utm_medium%3Daffiliate%26utm_campaign%3Dpoke%2Bcottage","Altaria ex")</f>
        <v>Altaria ex</v>
      </c>
      <c r="D395" s="5" t="s">
        <v>233</v>
      </c>
      <c r="E395" s="5" t="s">
        <v>16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249</v>
      </c>
      <c r="C396" s="6" t="str">
        <f aca="false">HYPERLINK("https://partner.tcgplayer.com/c/6278691/1780961/21018?u=https%3A%2F%2Fwww.tcgplayer.com%2Fproduct%2F523914%3Futm_source%3Dimpact%26utm_medium%3Daffiliate%26utm_campaign%3Dpoke%2Bcottage","Maushold ex")</f>
        <v>Maushold ex</v>
      </c>
      <c r="D396" s="5" t="s">
        <v>233</v>
      </c>
      <c r="E396" s="5" t="s">
        <v>16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250</v>
      </c>
      <c r="C397" s="6" t="str">
        <f aca="false">HYPERLINK("https://partner.tcgplayer.com/c/6278691/1780961/21018?u=https%3A%2F%2Fwww.tcgplayer.com%2Fproduct%2F523915%3Futm_source%3Dimpact%26utm_medium%3Daffiliate%26utm_campaign%3Dpoke%2Bcottage","Bombirdier ex")</f>
        <v>Bombirdier ex</v>
      </c>
      <c r="D397" s="5" t="s">
        <v>233</v>
      </c>
      <c r="E397" s="5" t="s">
        <v>16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251</v>
      </c>
      <c r="C398" s="6" t="str">
        <f aca="false">HYPERLINK("https://partner.tcgplayer.com/c/6278691/1780961/21018?u=https%3A%2F%2Fwww.tcgplayer.com%2Fproduct%2F523916%3Futm_source%3Dimpact%26utm_medium%3Daffiliate%26utm_campaign%3Dpoke%2Bcottage","Larry")</f>
        <v>Larry</v>
      </c>
      <c r="D398" s="5" t="s">
        <v>233</v>
      </c>
      <c r="E398" s="5" t="s">
        <v>16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252</v>
      </c>
      <c r="C399" s="6" t="str">
        <f aca="false">HYPERLINK("https://partner.tcgplayer.com/c/6278691/1780961/21018?u=https%3A%2F%2Fwww.tcgplayer.com%2Fproduct%2F523917%3Futm_source%3Dimpact%26utm_medium%3Daffiliate%26utm_campaign%3Dpoke%2Bcottage","Mela")</f>
        <v>Mela</v>
      </c>
      <c r="D399" s="5" t="s">
        <v>233</v>
      </c>
      <c r="E399" s="5" t="s">
        <v>16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253</v>
      </c>
      <c r="C400" s="6" t="str">
        <f aca="false">HYPERLINK("https://partner.tcgplayer.com/c/6278691/1780961/21018?u=https%3A%2F%2Fwww.tcgplayer.com%2Fproduct%2F523918%3Futm_source%3Dimpact%26utm_medium%3Daffiliate%26utm_campaign%3Dpoke%2Bcottage","Norman")</f>
        <v>Norman</v>
      </c>
      <c r="D400" s="5" t="s">
        <v>233</v>
      </c>
      <c r="E400" s="5" t="s">
        <v>16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254</v>
      </c>
      <c r="C401" s="6" t="str">
        <f aca="false">HYPERLINK("https://partner.tcgplayer.com/c/6278691/1780961/21018?u=https%3A%2F%2Fwww.tcgplayer.com%2Fproduct%2F523919%3Futm_source%3Dimpact%26utm_medium%3Daffiliate%26utm_campaign%3Dpoke%2Bcottage","Parasol Lady")</f>
        <v>Parasol Lady</v>
      </c>
      <c r="D401" s="5" t="s">
        <v>233</v>
      </c>
      <c r="E401" s="5" t="s">
        <v>16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255</v>
      </c>
      <c r="C402" s="6" t="str">
        <f aca="false">HYPERLINK("https://partner.tcgplayer.com/c/6278691/1780961/21018?u=https%3A%2F%2Fwww.tcgplayer.com%2Fproduct%2F523920%3Futm_source%3Dimpact%26utm_medium%3Daffiliate%26utm_campaign%3Dpoke%2Bcottage","Professor Sada's Vitality")</f>
        <v>Professor Sada's Vitality</v>
      </c>
      <c r="D402" s="5" t="s">
        <v>233</v>
      </c>
      <c r="E402" s="5" t="s">
        <v>16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256</v>
      </c>
      <c r="C403" s="6" t="str">
        <f aca="false">HYPERLINK("https://partner.tcgplayer.com/c/6278691/1780961/21018?u=https%3A%2F%2Fwww.tcgplayer.com%2Fproduct%2F523921%3Futm_source%3Dimpact%26utm_medium%3Daffiliate%26utm_campaign%3Dpoke%2Bcottage","Professor Turo's Scenario")</f>
        <v>Professor Turo's Scenario</v>
      </c>
      <c r="D403" s="5" t="s">
        <v>233</v>
      </c>
      <c r="E403" s="5" t="s">
        <v>16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257</v>
      </c>
      <c r="C404" s="6" t="str">
        <f aca="false">HYPERLINK("https://partner.tcgplayer.com/c/6278691/1780961/21018?u=https%3A%2F%2Fwww.tcgplayer.com%2Fproduct%2F523922%3Futm_source%3Dimpact%26utm_medium%3Daffiliate%26utm_campaign%3Dpoke%2Bcottage","Rika")</f>
        <v>Rika</v>
      </c>
      <c r="D404" s="5" t="s">
        <v>233</v>
      </c>
      <c r="E404" s="5" t="s">
        <v>16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258</v>
      </c>
      <c r="C405" s="6" t="str">
        <f aca="false">HYPERLINK("https://partner.tcgplayer.com/c/6278691/1780961/21018?u=https%3A%2F%2Fwww.tcgplayer.com%2Fproduct%2F523923%3Futm_source%3Dimpact%26utm_medium%3Daffiliate%26utm_campaign%3Dpoke%2Bcottage","Roark")</f>
        <v>Roark</v>
      </c>
      <c r="D405" s="5" t="s">
        <v>233</v>
      </c>
      <c r="E405" s="5" t="s">
        <v>16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259</v>
      </c>
      <c r="C406" s="6" t="str">
        <f aca="false">HYPERLINK("https://partner.tcgplayer.com/c/6278691/1780961/21018?u=https%3A%2F%2Fwww.tcgplayer.com%2Fproduct%2F523924%3Futm_source%3Dimpact%26utm_medium%3Daffiliate%26utm_campaign%3Dpoke%2Bcottage","Shauntal")</f>
        <v>Shauntal</v>
      </c>
      <c r="D406" s="5" t="s">
        <v>233</v>
      </c>
      <c r="E406" s="5" t="s">
        <v>16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260</v>
      </c>
      <c r="C407" s="6" t="str">
        <f aca="false">HYPERLINK("https://partner.tcgplayer.com/c/6278691/1780961/21018?u=https%3A%2F%2Fwww.tcgplayer.com%2Fproduct%2F523925%3Futm_source%3Dimpact%26utm_medium%3Daffiliate%26utm_campaign%3Dpoke%2Bcottage","Tulip")</f>
        <v>Tulip</v>
      </c>
      <c r="D407" s="5" t="s">
        <v>233</v>
      </c>
      <c r="E407" s="5" t="s">
        <v>16</v>
      </c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261</v>
      </c>
      <c r="C408" s="6" t="str">
        <f aca="false">HYPERLINK("https://partner.tcgplayer.com/c/6278691/1780961/21018?u=https%3A%2F%2Fwww.tcgplayer.com%2Fproduct%2F523926%3Futm_source%3Dimpact%26utm_medium%3Daffiliate%26utm_campaign%3Dpoke%2Bcottage","Garchomp ex")</f>
        <v>Garchomp ex</v>
      </c>
      <c r="D408" s="5" t="s">
        <v>262</v>
      </c>
      <c r="E408" s="5" t="s">
        <v>16</v>
      </c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263</v>
      </c>
      <c r="C409" s="6" t="str">
        <f aca="false">HYPERLINK("https://partner.tcgplayer.com/c/6278691/1780961/21018?u=https%3A%2F%2Fwww.tcgplayer.com%2Fproduct%2F523927%3Futm_source%3Dimpact%26utm_medium%3Daffiliate%26utm_campaign%3Dpoke%2Bcottage","Golisopod ex")</f>
        <v>Golisopod ex</v>
      </c>
      <c r="D409" s="5" t="s">
        <v>262</v>
      </c>
      <c r="E409" s="5" t="s">
        <v>16</v>
      </c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264</v>
      </c>
      <c r="C410" s="6" t="str">
        <f aca="false">HYPERLINK("https://partner.tcgplayer.com/c/6278691/1780961/21018?u=https%3A%2F%2Fwww.tcgplayer.com%2Fproduct%2F523928%3Futm_source%3Dimpact%26utm_medium%3Daffiliate%26utm_campaign%3Dpoke%2Bcottage","Tapu Koko ex")</f>
        <v>Tapu Koko ex</v>
      </c>
      <c r="D410" s="5" t="s">
        <v>262</v>
      </c>
      <c r="E410" s="5" t="s">
        <v>16</v>
      </c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265</v>
      </c>
      <c r="C411" s="6" t="str">
        <f aca="false">HYPERLINK("https://partner.tcgplayer.com/c/6278691/1780961/21018?u=https%3A%2F%2Fwww.tcgplayer.com%2Fproduct%2F523929%3Futm_source%3Dimpact%26utm_medium%3Daffiliate%26utm_campaign%3Dpoke%2Bcottage","Iron Hands ex")</f>
        <v>Iron Hands ex</v>
      </c>
      <c r="D411" s="5" t="s">
        <v>262</v>
      </c>
      <c r="E411" s="5" t="s">
        <v>16</v>
      </c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266</v>
      </c>
      <c r="C412" s="6" t="str">
        <f aca="false">HYPERLINK("https://partner.tcgplayer.com/c/6278691/1780961/21018?u=https%3A%2F%2Fwww.tcgplayer.com%2Fproduct%2F523930%3Futm_source%3Dimpact%26utm_medium%3Daffiliate%26utm_campaign%3Dpoke%2Bcottage","Iron Valiant ex")</f>
        <v>Iron Valiant ex</v>
      </c>
      <c r="D412" s="5" t="s">
        <v>262</v>
      </c>
      <c r="E412" s="5" t="s">
        <v>16</v>
      </c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267</v>
      </c>
      <c r="C413" s="6" t="str">
        <f aca="false">HYPERLINK("https://partner.tcgplayer.com/c/6278691/1780961/21018?u=https%3A%2F%2Fwww.tcgplayer.com%2Fproduct%2F523931%3Futm_source%3Dimpact%26utm_medium%3Daffiliate%26utm_campaign%3Dpoke%2Bcottage","Sandy Shocks ex")</f>
        <v>Sandy Shocks ex</v>
      </c>
      <c r="D413" s="5" t="s">
        <v>262</v>
      </c>
      <c r="E413" s="5" t="s">
        <v>16</v>
      </c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268</v>
      </c>
      <c r="C414" s="6" t="str">
        <f aca="false">HYPERLINK("https://partner.tcgplayer.com/c/6278691/1780961/21018?u=https%3A%2F%2Fwww.tcgplayer.com%2Fproduct%2F523932%3Futm_source%3Dimpact%26utm_medium%3Daffiliate%26utm_campaign%3Dpoke%2Bcottage","Roaring Moon ex")</f>
        <v>Roaring Moon ex</v>
      </c>
      <c r="D414" s="5" t="s">
        <v>262</v>
      </c>
      <c r="E414" s="5" t="s">
        <v>16</v>
      </c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269</v>
      </c>
      <c r="C415" s="6" t="str">
        <f aca="false">HYPERLINK("https://partner.tcgplayer.com/c/6278691/1780961/21018?u=https%3A%2F%2Fwww.tcgplayer.com%2Fproduct%2F523933%3Futm_source%3Dimpact%26utm_medium%3Daffiliate%26utm_campaign%3Dpoke%2Bcottage","Gholdengo ex")</f>
        <v>Gholdengo ex</v>
      </c>
      <c r="D415" s="5" t="s">
        <v>262</v>
      </c>
      <c r="E415" s="5" t="s">
        <v>16</v>
      </c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270</v>
      </c>
      <c r="C416" s="6" t="str">
        <f aca="false">HYPERLINK("https://partner.tcgplayer.com/c/6278691/1780961/21018?u=https%3A%2F%2Fwww.tcgplayer.com%2Fproduct%2F523934%3Futm_source%3Dimpact%26utm_medium%3Daffiliate%26utm_campaign%3Dpoke%2Bcottage","Altaria ex")</f>
        <v>Altaria ex</v>
      </c>
      <c r="D416" s="5" t="s">
        <v>262</v>
      </c>
      <c r="E416" s="5" t="s">
        <v>16</v>
      </c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271</v>
      </c>
      <c r="C417" s="6" t="str">
        <f aca="false">HYPERLINK("https://partner.tcgplayer.com/c/6278691/1780961/21018?u=https%3A%2F%2Fwww.tcgplayer.com%2Fproduct%2F523935%3Futm_source%3Dimpact%26utm_medium%3Daffiliate%26utm_campaign%3Dpoke%2Bcottage","Mela")</f>
        <v>Mela</v>
      </c>
      <c r="D417" s="5" t="s">
        <v>262</v>
      </c>
      <c r="E417" s="5" t="s">
        <v>16</v>
      </c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272</v>
      </c>
      <c r="C418" s="6" t="str">
        <f aca="false">HYPERLINK("https://partner.tcgplayer.com/c/6278691/1780961/21018?u=https%3A%2F%2Fwww.tcgplayer.com%2Fproduct%2F523936%3Futm_source%3Dimpact%26utm_medium%3Daffiliate%26utm_campaign%3Dpoke%2Bcottage","Parasol Lady")</f>
        <v>Parasol Lady</v>
      </c>
      <c r="D418" s="5" t="s">
        <v>262</v>
      </c>
      <c r="E418" s="5" t="s">
        <v>16</v>
      </c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273</v>
      </c>
      <c r="C419" s="6" t="str">
        <f aca="false">HYPERLINK("https://partner.tcgplayer.com/c/6278691/1780961/21018?u=https%3A%2F%2Fwww.tcgplayer.com%2Fproduct%2F523937%3Futm_source%3Dimpact%26utm_medium%3Daffiliate%26utm_campaign%3Dpoke%2Bcottage","Professor Sada's Vitality")</f>
        <v>Professor Sada's Vitality</v>
      </c>
      <c r="D419" s="5" t="s">
        <v>262</v>
      </c>
      <c r="E419" s="5" t="s">
        <v>16</v>
      </c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274</v>
      </c>
      <c r="C420" s="6" t="str">
        <f aca="false">HYPERLINK("https://partner.tcgplayer.com/c/6278691/1780961/21018?u=https%3A%2F%2Fwww.tcgplayer.com%2Fproduct%2F523938%3Futm_source%3Dimpact%26utm_medium%3Daffiliate%26utm_campaign%3Dpoke%2Bcottage","Professor Turo's Scenario")</f>
        <v>Professor Turo's Scenario</v>
      </c>
      <c r="D420" s="5" t="s">
        <v>262</v>
      </c>
      <c r="E420" s="5" t="s">
        <v>16</v>
      </c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275</v>
      </c>
      <c r="C421" s="6" t="str">
        <f aca="false">HYPERLINK("https://partner.tcgplayer.com/c/6278691/1780961/21018?u=https%3A%2F%2Fwww.tcgplayer.com%2Fproduct%2F523939%3Futm_source%3Dimpact%26utm_medium%3Daffiliate%26utm_campaign%3Dpoke%2Bcottage","Rika")</f>
        <v>Rika</v>
      </c>
      <c r="D421" s="5" t="s">
        <v>262</v>
      </c>
      <c r="E421" s="5" t="s">
        <v>16</v>
      </c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276</v>
      </c>
      <c r="C422" s="6" t="str">
        <f aca="false">HYPERLINK("https://partner.tcgplayer.com/c/6278691/1780961/21018?u=https%3A%2F%2Fwww.tcgplayer.com%2Fproduct%2F523940%3Futm_source%3Dimpact%26utm_medium%3Daffiliate%26utm_campaign%3Dpoke%2Bcottage","Tulip")</f>
        <v>Tulip</v>
      </c>
      <c r="D422" s="5" t="s">
        <v>262</v>
      </c>
      <c r="E422" s="5" t="s">
        <v>16</v>
      </c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277</v>
      </c>
      <c r="C423" s="6" t="str">
        <f aca="false">HYPERLINK("https://partner.tcgplayer.com/c/6278691/1780961/21018?u=https%3A%2F%2Fwww.tcgplayer.com%2Fproduct%2F523941%3Futm_source%3Dimpact%26utm_medium%3Daffiliate%26utm_campaign%3Dpoke%2Bcottage","Garchomp ex")</f>
        <v>Garchomp ex</v>
      </c>
      <c r="D423" s="5" t="s">
        <v>278</v>
      </c>
      <c r="E423" s="5" t="s">
        <v>16</v>
      </c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279</v>
      </c>
      <c r="C424" s="6" t="str">
        <f aca="false">HYPERLINK("https://partner.tcgplayer.com/c/6278691/1780961/21018?u=https%3A%2F%2Fwww.tcgplayer.com%2Fproduct%2F523942%3Futm_source%3Dimpact%26utm_medium%3Daffiliate%26utm_campaign%3Dpoke%2Bcottage","Iron Valiant ex")</f>
        <v>Iron Valiant ex</v>
      </c>
      <c r="D424" s="5" t="s">
        <v>278</v>
      </c>
      <c r="E424" s="5" t="s">
        <v>16</v>
      </c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280</v>
      </c>
      <c r="C425" s="6" t="str">
        <f aca="false">HYPERLINK("https://partner.tcgplayer.com/c/6278691/1780961/21018?u=https%3A%2F%2Fwww.tcgplayer.com%2Fproduct%2F523943%3Futm_source%3Dimpact%26utm_medium%3Daffiliate%26utm_campaign%3Dpoke%2Bcottage","Roaring Moon ex")</f>
        <v>Roaring Moon ex</v>
      </c>
      <c r="D425" s="5" t="s">
        <v>278</v>
      </c>
      <c r="E425" s="5" t="s">
        <v>16</v>
      </c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281</v>
      </c>
      <c r="C426" s="6" t="str">
        <f aca="false">HYPERLINK("https://partner.tcgplayer.com/c/6278691/1780961/21018?u=https%3A%2F%2Fwww.tcgplayer.com%2Fproduct%2F523944%3Futm_source%3Dimpact%26utm_medium%3Daffiliate%26utm_campaign%3Dpoke%2Bcottage","Beach Court")</f>
        <v>Beach Court</v>
      </c>
      <c r="D426" s="5" t="s">
        <v>278</v>
      </c>
      <c r="E426" s="5" t="s">
        <v>16</v>
      </c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282</v>
      </c>
      <c r="C427" s="6" t="str">
        <f aca="false">HYPERLINK("https://partner.tcgplayer.com/c/6278691/1780961/21018?u=https%3A%2F%2Fwww.tcgplayer.com%2Fproduct%2F523945%3Futm_source%3Dimpact%26utm_medium%3Daffiliate%26utm_campaign%3Dpoke%2Bcottage","Counter Catcher")</f>
        <v>Counter Catcher</v>
      </c>
      <c r="D427" s="5" t="s">
        <v>278</v>
      </c>
      <c r="E427" s="5" t="s">
        <v>16</v>
      </c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283</v>
      </c>
      <c r="C428" s="6" t="str">
        <f aca="false">HYPERLINK("https://partner.tcgplayer.com/c/6278691/1780961/21018?u=https%3A%2F%2Fwww.tcgplayer.com%2Fproduct%2F523946%3Futm_source%3Dimpact%26utm_medium%3Daffiliate%26utm_campaign%3Dpoke%2Bcottage","Luxurious Cape")</f>
        <v>Luxurious Cape</v>
      </c>
      <c r="D428" s="5" t="s">
        <v>278</v>
      </c>
      <c r="E428" s="5" t="s">
        <v>16</v>
      </c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284</v>
      </c>
      <c r="C429" s="6" t="str">
        <f aca="false">HYPERLINK("https://partner.tcgplayer.com/c/6278691/1780961/21018?u=https%3A%2F%2Fwww.tcgplayer.com%2Fproduct%2F523947%3Futm_source%3Dimpact%26utm_medium%3Daffiliate%26utm_campaign%3Dpoke%2Bcottage","Reversal Energy")</f>
        <v>Reversal Energy</v>
      </c>
      <c r="D429" s="5" t="s">
        <v>278</v>
      </c>
      <c r="E429" s="5" t="s">
        <v>16</v>
      </c>
      <c r="F429" s="5"/>
      <c r="G429" s="5"/>
      <c r="H429" s="7"/>
    </row>
    <row r="430" customFormat="false" ht="32" hidden="false" customHeight="true" outlineLevel="0" collapsed="false">
      <c r="A430" s="1" t="s">
        <v>285</v>
      </c>
      <c r="B430" s="1"/>
      <c r="C430" s="1"/>
      <c r="D430" s="1"/>
      <c r="E430" s="1"/>
      <c r="F430" s="1"/>
      <c r="G430" s="1"/>
      <c r="H430" s="1"/>
    </row>
    <row r="431" customFormat="false" ht="30" hidden="false" customHeight="true" outlineLevel="0" collapsed="false">
      <c r="A431" s="4" t="s">
        <v>6</v>
      </c>
      <c r="B431" s="5" t="s">
        <v>286</v>
      </c>
      <c r="C431" s="6" t="str">
        <f aca="false">HYPERLINK("https://partner.tcgplayer.com/c/6278691/1780961/21018?u=https%3A%2F%2Fwww.tcgplayer.com%2Fproduct%2F526574%3Futm_source%3Dimpact%26utm_medium%3Daffiliate%26utm_campaign%3Dpoke%2Bcottage","Chi-Yu")</f>
        <v>Chi-Yu</v>
      </c>
      <c r="D431" s="5" t="s">
        <v>287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286</v>
      </c>
      <c r="C432" s="6" t="str">
        <f aca="false">HYPERLINK("https://partner.tcgplayer.com/c/6278691/1780961/21018?u=https%3A%2F%2Fwww.tcgplayer.com%2Fproduct%2F548552%3Futm_source%3Dimpact%26utm_medium%3Daffiliate%26utm_campaign%3Dpoke%2Bcottage","Chi-Yu - Staff")</f>
        <v>Chi-Yu - Staff</v>
      </c>
      <c r="D432" s="5" t="s">
        <v>288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289</v>
      </c>
      <c r="C433" s="6" t="str">
        <f aca="false">HYPERLINK("https://partner.tcgplayer.com/c/6278691/1780961/21018?u=https%3A%2F%2Fwww.tcgplayer.com%2Fproduct%2F526586%3Futm_source%3Dimpact%26utm_medium%3Daffiliate%26utm_campaign%3Dpoke%2Bcottage","Iron Bundle")</f>
        <v>Iron Bundle</v>
      </c>
      <c r="D433" s="5" t="s">
        <v>287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289</v>
      </c>
      <c r="C434" s="6" t="str">
        <f aca="false">HYPERLINK("https://partner.tcgplayer.com/c/6278691/1780961/21018?u=https%3A%2F%2Fwww.tcgplayer.com%2Fproduct%2F548553%3Futm_source%3Dimpact%26utm_medium%3Daffiliate%26utm_campaign%3Dpoke%2Bcottage","Iron Bundle - Staff")</f>
        <v>Iron Bundle - Staff</v>
      </c>
      <c r="D434" s="5" t="s">
        <v>288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290</v>
      </c>
      <c r="C435" s="6" t="str">
        <f aca="false">HYPERLINK("https://partner.tcgplayer.com/c/6278691/1780961/21018?u=https%3A%2F%2Fwww.tcgplayer.com%2Fproduct%2F526590%3Futm_source%3Dimpact%26utm_medium%3Daffiliate%26utm_campaign%3Dpoke%2Bcottage","Xatu")</f>
        <v>Xatu</v>
      </c>
      <c r="D435" s="5" t="s">
        <v>287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290</v>
      </c>
      <c r="C436" s="6" t="str">
        <f aca="false">HYPERLINK("https://partner.tcgplayer.com/c/6278691/1780961/21018?u=https%3A%2F%2Fwww.tcgplayer.com%2Fproduct%2F548554%3Futm_source%3Dimpact%26utm_medium%3Daffiliate%26utm_campaign%3Dpoke%2Bcottage","Xatu - Staff")</f>
        <v>Xatu - Staff</v>
      </c>
      <c r="D436" s="5" t="s">
        <v>288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291</v>
      </c>
      <c r="C437" s="6" t="str">
        <f aca="false">HYPERLINK("https://partner.tcgplayer.com/c/6278691/1780961/21018?u=https%3A%2F%2Fwww.tcgplayer.com%2Fproduct%2F526610%3Futm_source%3Dimpact%26utm_medium%3Daffiliate%26utm_campaign%3Dpoke%2Bcottage","Aegislash")</f>
        <v>Aegislash</v>
      </c>
      <c r="D437" s="5" t="s">
        <v>287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291</v>
      </c>
      <c r="C438" s="6" t="str">
        <f aca="false">HYPERLINK("https://partner.tcgplayer.com/c/6278691/1780961/21018?u=https%3A%2F%2Fwww.tcgplayer.com%2Fproduct%2F548555%3Futm_source%3Dimpact%26utm_medium%3Daffiliate%26utm_campaign%3Dpoke%2Bcottage","Aegislash - Staff")</f>
        <v>Aegislash - Staff</v>
      </c>
      <c r="D438" s="5" t="s">
        <v>288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292</v>
      </c>
      <c r="C439" s="6" t="str">
        <f aca="false">HYPERLINK("https://partner.tcgplayer.com/c/6278691/1780961/21018?u=https%3A%2F%2Fwww.tcgplayer.com%2Fproduct%2F526634%3Futm_source%3Dimpact%26utm_medium%3Daffiliate%26utm_campaign%3Dpoke%2Bcottage","Pineco")</f>
        <v>Pineco</v>
      </c>
      <c r="D439" s="5" t="s">
        <v>293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294</v>
      </c>
      <c r="C440" s="6" t="str">
        <f aca="false">HYPERLINK("https://partner.tcgplayer.com/c/6278691/1780961/21018?u=https%3A%2F%2Fwww.tcgplayer.com%2Fproduct%2F526638%3Futm_source%3Dimpact%26utm_medium%3Daffiliate%26utm_campaign%3Dpoke%2Bcottage","Sinistea")</f>
        <v>Sinistea</v>
      </c>
      <c r="D440" s="5" t="s">
        <v>293</v>
      </c>
      <c r="E440" s="5"/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295</v>
      </c>
      <c r="C441" s="6" t="str">
        <f aca="false">HYPERLINK("https://partner.tcgplayer.com/c/6278691/1780961/21018?u=https%3A%2F%2Fwww.tcgplayer.com%2Fproduct%2F526640%3Futm_source%3Dimpact%26utm_medium%3Daffiliate%26utm_campaign%3Dpoke%2Bcottage","Cetitan")</f>
        <v>Cetitan</v>
      </c>
      <c r="D441" s="5" t="s">
        <v>296</v>
      </c>
      <c r="E441" s="5"/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297</v>
      </c>
      <c r="C442" s="6" t="str">
        <f aca="false">HYPERLINK("https://partner.tcgplayer.com/c/6278691/1780961/21018?u=https%3A%2F%2Fwww.tcgplayer.com%2Fproduct%2F526646%3Futm_source%3Dimpact%26utm_medium%3Daffiliate%26utm_campaign%3Dpoke%2Bcottage","Arctibax")</f>
        <v>Arctibax</v>
      </c>
      <c r="D442" s="5" t="s">
        <v>296</v>
      </c>
      <c r="E442" s="5"/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298</v>
      </c>
      <c r="C443" s="6" t="str">
        <f aca="false">HYPERLINK("https://partner.tcgplayer.com/c/6278691/1780961/21018?u=https%3A%2F%2Fwww.tcgplayer.com%2Fproduct%2F526649%3Futm_source%3Dimpact%26utm_medium%3Daffiliate%26utm_campaign%3Dpoke%2Bcottage","Scream Tail")</f>
        <v>Scream Tail</v>
      </c>
      <c r="D443" s="5" t="s">
        <v>299</v>
      </c>
      <c r="E443" s="5"/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298</v>
      </c>
      <c r="C444" s="6" t="str">
        <f aca="false">HYPERLINK("https://partner.tcgplayer.com/c/6278691/1780961/21018?u=https%3A%2F%2Fwww.tcgplayer.com%2Fproduct%2F526655%3Futm_source%3Dimpact%26utm_medium%3Daffiliate%26utm_campaign%3Dpoke%2Bcottage","Scream Tail - Pokemon Center Stamp")</f>
        <v>Scream Tail - Pokemon Center Stamp</v>
      </c>
      <c r="D444" s="5" t="s">
        <v>300</v>
      </c>
      <c r="E444" s="5"/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301</v>
      </c>
      <c r="C445" s="6" t="str">
        <f aca="false">HYPERLINK("https://partner.tcgplayer.com/c/6278691/1780961/21018?u=https%3A%2F%2Fwww.tcgplayer.com%2Fproduct%2F526656%3Futm_source%3Dimpact%26utm_medium%3Daffiliate%26utm_campaign%3Dpoke%2Bcottage","Iron Bundle")</f>
        <v>Iron Bundle</v>
      </c>
      <c r="D445" s="5" t="s">
        <v>299</v>
      </c>
      <c r="E445" s="5"/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301</v>
      </c>
      <c r="C446" s="6" t="str">
        <f aca="false">HYPERLINK("https://partner.tcgplayer.com/c/6278691/1780961/21018?u=https%3A%2F%2Fwww.tcgplayer.com%2Fproduct%2F526657%3Futm_source%3Dimpact%26utm_medium%3Daffiliate%26utm_campaign%3Dpoke%2Bcottage","Iron Bundle - Pokemon Center Stamp")</f>
        <v>Iron Bundle - Pokemon Center Stamp</v>
      </c>
      <c r="D446" s="5" t="s">
        <v>300</v>
      </c>
      <c r="E446" s="5"/>
      <c r="F446" s="5"/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302</v>
      </c>
      <c r="C447" s="6" t="str">
        <f aca="false">HYPERLINK("https://partner.tcgplayer.com/c/6278691/1780961/21018?u=https%3A%2F%2Fwww.tcgplayer.com%2Fproduct%2F527878%3Futm_source%3Dimpact%26utm_medium%3Daffiliate%26utm_campaign%3Dpoke%2Bcottage","Roaring Moon ex")</f>
        <v>Roaring Moon ex</v>
      </c>
      <c r="D447" s="5" t="s">
        <v>303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304</v>
      </c>
      <c r="C448" s="6" t="str">
        <f aca="false">HYPERLINK("https://partner.tcgplayer.com/c/6278691/1780961/21018?u=https%3A%2F%2Fwww.tcgplayer.com%2Fproduct%2F527879%3Futm_source%3Dimpact%26utm_medium%3Daffiliate%26utm_campaign%3Dpoke%2Bcottage","Iron Valiant ex")</f>
        <v>Iron Valiant ex</v>
      </c>
      <c r="D448" s="5" t="s">
        <v>305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306</v>
      </c>
      <c r="C449" s="6" t="str">
        <f aca="false">HYPERLINK("https://partner.tcgplayer.com/c/6278691/1780961/21018?u=https%3A%2F%2Fwww.tcgplayer.com%2Fproduct%2F525293%3Futm_source%3Dimpact%26utm_medium%3Daffiliate%26utm_campaign%3Dpoke%2Bcottage","Oddish")</f>
        <v>Oddish</v>
      </c>
      <c r="D449" s="5" t="s">
        <v>307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37</v>
      </c>
      <c r="C450" s="6" t="str">
        <f aca="false">HYPERLINK("https://partner.tcgplayer.com/c/6278691/1780961/21018?u=https%3A%2F%2Fwww.tcgplayer.com%2Fproduct%2F557028%3Futm_source%3Dimpact%26utm_medium%3Daffiliate%26utm_campaign%3Dpoke%2Bcottage","Fuecoco #1")</f>
        <v>Fuecoco #1</v>
      </c>
      <c r="D450" s="5" t="s">
        <v>308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37</v>
      </c>
      <c r="C451" s="6" t="str">
        <f aca="false">HYPERLINK("https://partner.tcgplayer.com/c/6278691/1780961/21018?u=https%3A%2F%2Fwww.tcgplayer.com%2Fproduct%2F557029%3Futm_source%3Dimpact%26utm_medium%3Daffiliate%26utm_campaign%3Dpoke%2Bcottage","Fuecoco #14")</f>
        <v>Fuecoco #14</v>
      </c>
      <c r="D451" s="5" t="s">
        <v>309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37</v>
      </c>
      <c r="C452" s="6" t="str">
        <f aca="false">HYPERLINK("https://partner.tcgplayer.com/c/6278691/1780961/21018?u=https%3A%2F%2Fwww.tcgplayer.com%2Fproduct%2F557039%3Futm_source%3Dimpact%26utm_medium%3Daffiliate%26utm_campaign%3Dpoke%2Bcottage","Fuecoco #17")</f>
        <v>Fuecoco #17</v>
      </c>
      <c r="D452" s="5" t="s">
        <v>310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37</v>
      </c>
      <c r="C453" s="6" t="str">
        <f aca="false">HYPERLINK("https://partner.tcgplayer.com/c/6278691/1780961/21018?u=https%3A%2F%2Fwww.tcgplayer.com%2Fproduct%2F557040%3Futm_source%3Dimpact%26utm_medium%3Daffiliate%26utm_campaign%3Dpoke%2Bcottage","Fuecoco #42")</f>
        <v>Fuecoco #42</v>
      </c>
      <c r="D453" s="5" t="s">
        <v>311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37</v>
      </c>
      <c r="C454" s="6" t="str">
        <f aca="false">HYPERLINK("https://partner.tcgplayer.com/c/6278691/1780961/21018?u=https%3A%2F%2Fwww.tcgplayer.com%2Fproduct%2F568941%3Futm_source%3Dimpact%26utm_medium%3Daffiliate%26utm_campaign%3Dpoke%2Bcottage","Fuecoco")</f>
        <v>Fuecoco</v>
      </c>
      <c r="D454" s="5" t="s">
        <v>312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40</v>
      </c>
      <c r="C455" s="6" t="str">
        <f aca="false">HYPERLINK("https://partner.tcgplayer.com/c/6278691/1780961/21018?u=https%3A%2F%2Fwww.tcgplayer.com%2Fproduct%2F547654%3Futm_source%3Dimpact%26utm_medium%3Daffiliate%26utm_campaign%3Dpoke%2Bcottage","Charcadet")</f>
        <v>Charcadet</v>
      </c>
      <c r="D455" s="5" t="s">
        <v>313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42</v>
      </c>
      <c r="C456" s="6" t="str">
        <f aca="false">HYPERLINK("https://partner.tcgplayer.com/c/6278691/1780961/21018?u=https%3A%2F%2Fwww.tcgplayer.com%2Fproduct%2F528480%3Futm_source%3Dimpact%26utm_medium%3Daffiliate%26utm_campaign%3Dpoke%2Bcottage","Iron Moth")</f>
        <v>Iron Moth</v>
      </c>
      <c r="D456" s="5" t="s">
        <v>313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42</v>
      </c>
      <c r="C457" s="6" t="str">
        <f aca="false">HYPERLINK("https://partner.tcgplayer.com/c/6278691/1780961/21018?u=https%3A%2F%2Fwww.tcgplayer.com%2Fproduct%2F528430%3Futm_source%3Dimpact%26utm_medium%3Daffiliate%26utm_campaign%3Dpoke%2Bcottage","Iron Moth")</f>
        <v>Iron Moth</v>
      </c>
      <c r="D457" s="5" t="s">
        <v>314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42</v>
      </c>
      <c r="C458" s="6" t="str">
        <f aca="false">HYPERLINK("https://partner.tcgplayer.com/c/6278691/1780961/21018?u=https%3A%2F%2Fwww.tcgplayer.com%2Fproduct%2F531781%3Futm_source%3Dimpact%26utm_medium%3Daffiliate%26utm_campaign%3Dpoke%2Bcottage","Iron Moth")</f>
        <v>Iron Moth</v>
      </c>
      <c r="D458" s="5" t="s">
        <v>315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42</v>
      </c>
      <c r="C459" s="6" t="str">
        <f aca="false">HYPERLINK("https://partner.tcgplayer.com/c/6278691/1780961/21018?u=https%3A%2F%2Fwww.tcgplayer.com%2Fproduct%2F545659%3Futm_source%3Dimpact%26utm_medium%3Daffiliate%26utm_campaign%3Dpoke%2Bcottage","Iron Moth")</f>
        <v>Iron Moth</v>
      </c>
      <c r="D459" s="5" t="s">
        <v>316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42</v>
      </c>
      <c r="C460" s="6" t="str">
        <f aca="false">HYPERLINK("https://partner.tcgplayer.com/c/6278691/1780961/21018?u=https%3A%2F%2Fwww.tcgplayer.com%2Fproduct%2F527015%3Futm_source%3Dimpact%26utm_medium%3Daffiliate%26utm_campaign%3Dpoke%2Bcottage","Iron Moth")</f>
        <v>Iron Moth</v>
      </c>
      <c r="D460" s="5" t="s">
        <v>317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43</v>
      </c>
      <c r="C461" s="6" t="str">
        <f aca="false">HYPERLINK("https://partner.tcgplayer.com/c/6278691/1780961/21018?u=https%3A%2F%2Fwww.tcgplayer.com%2Fproduct%2F528309%3Futm_source%3Dimpact%26utm_medium%3Daffiliate%26utm_campaign%3Dpoke%2Bcottage","Chi-Yu")</f>
        <v>Chi-Yu</v>
      </c>
      <c r="D461" s="5" t="s">
        <v>314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46</v>
      </c>
      <c r="C462" s="6" t="str">
        <f aca="false">HYPERLINK("https://partner.tcgplayer.com/c/6278691/1780961/21018?u=https%3A%2F%2Fwww.tcgplayer.com%2Fproduct%2F617017%3Futm_source%3Dimpact%26utm_medium%3Daffiliate%26utm_campaign%3Dpoke%2Bcottage","Kingdra")</f>
        <v>Kingdra</v>
      </c>
      <c r="D462" s="5" t="s">
        <v>313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51</v>
      </c>
      <c r="C463" s="6" t="str">
        <f aca="false">HYPERLINK("https://partner.tcgplayer.com/c/6278691/1780961/21018?u=https%3A%2F%2Fwww.tcgplayer.com%2Fproduct%2F565449%3Futm_source%3Dimpact%26utm_medium%3Daffiliate%26utm_campaign%3Dpoke%2Bcottage","Snorunt")</f>
        <v>Snorunt</v>
      </c>
      <c r="D463" s="5" t="s">
        <v>318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52</v>
      </c>
      <c r="C464" s="6" t="str">
        <f aca="false">HYPERLINK("https://partner.tcgplayer.com/c/6278691/1780961/21018?u=https%3A%2F%2Fwww.tcgplayer.com%2Fproduct%2F565461%3Futm_source%3Dimpact%26utm_medium%3Daffiliate%26utm_campaign%3Dpoke%2Bcottage","Garchomp ex")</f>
        <v>Garchomp ex</v>
      </c>
      <c r="D464" s="5" t="s">
        <v>319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52</v>
      </c>
      <c r="C465" s="5" t="s">
        <v>320</v>
      </c>
      <c r="D465" s="5" t="s">
        <v>321</v>
      </c>
      <c r="E465" s="5"/>
      <c r="F465" s="5" t="str">
        <f aca="false">HYPERLINK("https://www.ebay.com/sch/i.html?_nkw=Garchomp+ex+Jumbo+Expansion+Stamp+Paradox+Rift+38+pokemon+card&amp;_sacat=0&amp;_from=R40&amp;_trksid=p4624852.m570.l1313&amp;mkcid=1&amp;mkrid=711-53200-19255-0&amp;siteid=0&amp;campid=5339158445&amp;customid=pokecottage&amp;toolid=10001&amp;mkevt=1","FIND ON EBAY")</f>
        <v>FIND ON EBAY</v>
      </c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54</v>
      </c>
      <c r="C466" s="6" t="str">
        <f aca="false">HYPERLINK("https://partner.tcgplayer.com/c/6278691/1780961/21018?u=https%3A%2F%2Fwww.tcgplayer.com%2Fproduct%2F602871%3Futm_source%3Dimpact%26utm_medium%3Daffiliate%26utm_campaign%3Dpoke%2Bcottage","Palkia")</f>
        <v>Palkia</v>
      </c>
      <c r="D466" s="5" t="s">
        <v>313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59</v>
      </c>
      <c r="C467" s="6" t="str">
        <f aca="false">HYPERLINK("https://partner.tcgplayer.com/c/6278691/1780961/21018?u=https%3A%2F%2Fwww.tcgplayer.com%2Fproduct%2F565448%3Futm_source%3Dimpact%26utm_medium%3Daffiliate%26utm_campaign%3Dpoke%2Bcottage","Vanilluxe")</f>
        <v>Vanilluxe</v>
      </c>
      <c r="D467" s="5" t="s">
        <v>318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63</v>
      </c>
      <c r="C468" s="6" t="str">
        <f aca="false">HYPERLINK("https://partner.tcgplayer.com/c/6278691/1780961/21018?u=https%3A%2F%2Fwww.tcgplayer.com%2Fproduct%2F528307%3Futm_source%3Dimpact%26utm_medium%3Daffiliate%26utm_campaign%3Dpoke%2Bcottage","Golisopod")</f>
        <v>Golisopod</v>
      </c>
      <c r="D468" s="5" t="s">
        <v>314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70</v>
      </c>
      <c r="C469" s="6" t="str">
        <f aca="false">HYPERLINK("https://partner.tcgplayer.com/c/6278691/1780961/21018?u=https%3A%2F%2Fwww.tcgplayer.com%2Fproduct%2F637543%3Futm_source%3Dimpact%26utm_medium%3Daffiliate%26utm_campaign%3Dpoke%2Bcottage","Iron Bundle")</f>
        <v>Iron Bundle</v>
      </c>
      <c r="D469" s="5" t="s">
        <v>322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71</v>
      </c>
      <c r="C470" s="6" t="str">
        <f aca="false">HYPERLINK("https://partner.tcgplayer.com/c/6278691/1780961/21018?u=https%3A%2F%2Fwww.tcgplayer.com%2Fproduct%2F623118%3Futm_source%3Dimpact%26utm_medium%3Daffiliate%26utm_campaign%3Dpoke%2Bcottage","Chien-Pao")</f>
        <v>Chien-Pao</v>
      </c>
      <c r="D470" s="5" t="s">
        <v>313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72</v>
      </c>
      <c r="C471" s="6" t="str">
        <f aca="false">HYPERLINK("https://partner.tcgplayer.com/c/6278691/1780961/21018?u=https%3A%2F%2Fwww.tcgplayer.com%2Fproduct%2F565480%3Futm_source%3Dimpact%26utm_medium%3Daffiliate%26utm_campaign%3Dpoke%2Bcottage","Mewtwo ex")</f>
        <v>Mewtwo ex</v>
      </c>
      <c r="D471" s="5" t="s">
        <v>319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80</v>
      </c>
      <c r="C472" s="6" t="str">
        <f aca="false">HYPERLINK("https://partner.tcgplayer.com/c/6278691/1780961/21018?u=https%3A%2F%2Fwww.tcgplayer.com%2Fproduct%2F602870%3Futm_source%3Dimpact%26utm_medium%3Daffiliate%26utm_campaign%3Dpoke%2Bcottage","Zekrom")</f>
        <v>Zekrom</v>
      </c>
      <c r="D472" s="5" t="s">
        <v>313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80</v>
      </c>
      <c r="C473" s="6" t="str">
        <f aca="false">HYPERLINK("https://partner.tcgplayer.com/c/6278691/1780961/21018?u=https%3A%2F%2Fwww.tcgplayer.com%2Fproduct%2F664140%3Futm_source%3Dimpact%26utm_medium%3Daffiliate%26utm_campaign%3Dpoke%2Bcottage","Zekrom")</f>
        <v>Zekrom</v>
      </c>
      <c r="D473" s="5" t="s">
        <v>316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84</v>
      </c>
      <c r="C474" s="6" t="str">
        <f aca="false">HYPERLINK("https://partner.tcgplayer.com/c/6278691/1780961/21018?u=https%3A%2F%2Fwww.tcgplayer.com%2Fproduct%2F565467%3Futm_source%3Dimpact%26utm_medium%3Daffiliate%26utm_campaign%3Dpoke%2Bcottage","Iron Hands ex")</f>
        <v>Iron Hands ex</v>
      </c>
      <c r="D474" s="5" t="s">
        <v>319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84</v>
      </c>
      <c r="C475" s="6" t="str">
        <f aca="false">HYPERLINK("https://partner.tcgplayer.com/c/6278691/1780961/21018?u=https%3A%2F%2Fwww.tcgplayer.com%2Fproduct%2F637542%3Futm_source%3Dimpact%26utm_medium%3Daffiliate%26utm_campaign%3Dpoke%2Bcottage","Iron Hands ex")</f>
        <v>Iron Hands ex</v>
      </c>
      <c r="D475" s="5" t="s">
        <v>322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84</v>
      </c>
      <c r="C476" s="6" t="str">
        <f aca="false">HYPERLINK("https://partner.tcgplayer.com/c/6278691/1780961/21018?u=https%3A%2F%2Fwww.tcgplayer.com%2Fproduct%2F689147%3Futm_source%3Dimpact%26utm_medium%3Daffiliate%26utm_campaign%3Dpoke%2Bcottage","Iron Hands ex")</f>
        <v>Iron Hands ex</v>
      </c>
      <c r="D476" s="5" t="s">
        <v>323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86</v>
      </c>
      <c r="C477" s="6" t="str">
        <f aca="false">HYPERLINK("https://partner.tcgplayer.com/c/6278691/1780961/21018?u=https%3A%2F%2Fwww.tcgplayer.com%2Fproduct%2F528428%3Futm_source%3Dimpact%26utm_medium%3Daffiliate%26utm_campaign%3Dpoke%2Bcottage","Xatu")</f>
        <v>Xatu</v>
      </c>
      <c r="D477" s="5" t="s">
        <v>314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86</v>
      </c>
      <c r="C478" s="6" t="str">
        <f aca="false">HYPERLINK("https://partner.tcgplayer.com/c/6278691/1780961/21018?u=https%3A%2F%2Fwww.tcgplayer.com%2Fproduct%2F577583%3Futm_source%3Dimpact%26utm_medium%3Daffiliate%26utm_campaign%3Dpoke%2Bcottage","Xatu")</f>
        <v>Xatu</v>
      </c>
      <c r="D478" s="5" t="s">
        <v>319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87</v>
      </c>
      <c r="C479" s="6" t="str">
        <f aca="false">HYPERLINK("https://partner.tcgplayer.com/c/6278691/1780961/21018?u=https%3A%2F%2Fwww.tcgplayer.com%2Fproduct%2F604413%3Futm_source%3Dimpact%26utm_medium%3Daffiliate%26utm_campaign%3Dpoke%2Bcottage","Latios")</f>
        <v>Latios</v>
      </c>
      <c r="D479" s="5" t="s">
        <v>313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91</v>
      </c>
      <c r="C480" s="6" t="str">
        <f aca="false">HYPERLINK("https://partner.tcgplayer.com/c/6278691/1780961/21018?u=https%3A%2F%2Fwww.tcgplayer.com%2Fproduct%2F568968%3Futm_source%3Dimpact%26utm_medium%3Daffiliate%26utm_campaign%3Dpoke%2Bcottage","Pumpkaboo")</f>
        <v>Pumpkaboo</v>
      </c>
      <c r="D480" s="5" t="s">
        <v>312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92</v>
      </c>
      <c r="C481" s="6" t="str">
        <f aca="false">HYPERLINK("https://partner.tcgplayer.com/c/6278691/1780961/21018?u=https%3A%2F%2Fwww.tcgplayer.com%2Fproduct%2F569041%3Futm_source%3Dimpact%26utm_medium%3Daffiliate%26utm_campaign%3Dpoke%2Bcottage","Gourgeist")</f>
        <v>Gourgeist</v>
      </c>
      <c r="D481" s="5" t="s">
        <v>312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95</v>
      </c>
      <c r="C482" s="6" t="str">
        <f aca="false">HYPERLINK("https://partner.tcgplayer.com/c/6278691/1780961/21018?u=https%3A%2F%2Fwww.tcgplayer.com%2Fproduct%2F633143%3Futm_source%3Dimpact%26utm_medium%3Daffiliate%26utm_campaign%3Dpoke%2Bcottage","Espathra")</f>
        <v>Espathra</v>
      </c>
      <c r="D482" s="5" t="s">
        <v>313</v>
      </c>
      <c r="E482" s="5"/>
      <c r="F482" s="5"/>
      <c r="G482" s="5"/>
      <c r="H482" s="7"/>
    </row>
    <row r="483" customFormat="false" ht="30" hidden="false" customHeight="true" outlineLevel="0" collapsed="false">
      <c r="A483" s="4" t="s">
        <v>6</v>
      </c>
      <c r="B483" s="5" t="s">
        <v>95</v>
      </c>
      <c r="C483" s="6" t="str">
        <f aca="false">HYPERLINK("https://partner.tcgplayer.com/c/6278691/1780961/21018?u=https%3A%2F%2Fwww.tcgplayer.com%2Fproduct%2F528306%3Futm_source%3Dimpact%26utm_medium%3Daffiliate%26utm_campaign%3Dpoke%2Bcottage","Espathra")</f>
        <v>Espathra</v>
      </c>
      <c r="D483" s="5" t="s">
        <v>314</v>
      </c>
      <c r="E483" s="5"/>
      <c r="F483" s="5"/>
      <c r="G483" s="5"/>
      <c r="H483" s="7"/>
    </row>
    <row r="484" customFormat="false" ht="30" hidden="false" customHeight="true" outlineLevel="0" collapsed="false">
      <c r="A484" s="4" t="s">
        <v>6</v>
      </c>
      <c r="B484" s="5" t="s">
        <v>100</v>
      </c>
      <c r="C484" s="5" t="s">
        <v>324</v>
      </c>
      <c r="D484" s="5" t="s">
        <v>325</v>
      </c>
      <c r="E484" s="5"/>
      <c r="F484" s="5" t="str">
        <f aca="false">HYPERLINK("https://www.ebay.com/sch/i.html?_nkw=Scream+Tail+World+Championships+Deck+2025+Flutter+Devo+Gardevoir+by+Riley+McKay+Paradox+Rift+86+pokemon+card&amp;_sacat=0&amp;_from=R40&amp;_trksid=p4624852.m570.l1313&amp;mkcid=1&amp;mkrid=711-53200-19255-0&amp;siteid=0&amp;campid=5339158445&amp;customid=pokecottage&amp;toolid=10001&amp;mkevt=1","FIND ON EBAY")</f>
        <v>FIND ON EBAY</v>
      </c>
      <c r="G484" s="5"/>
      <c r="H484" s="7"/>
    </row>
    <row r="485" customFormat="false" ht="30" hidden="false" customHeight="true" outlineLevel="0" collapsed="false">
      <c r="A485" s="4" t="s">
        <v>6</v>
      </c>
      <c r="B485" s="5" t="s">
        <v>103</v>
      </c>
      <c r="C485" s="6" t="str">
        <f aca="false">HYPERLINK("https://partner.tcgplayer.com/c/6278691/1780961/21018?u=https%3A%2F%2Fwww.tcgplayer.com%2Fproduct%2F565469%3Futm_source%3Dimpact%26utm_medium%3Daffiliate%26utm_campaign%3Dpoke%2Bcottage","Iron Valiant ex")</f>
        <v>Iron Valiant ex</v>
      </c>
      <c r="D485" s="5" t="s">
        <v>319</v>
      </c>
      <c r="E485" s="5"/>
      <c r="F485" s="5"/>
      <c r="G485" s="5"/>
      <c r="H485" s="7"/>
    </row>
    <row r="486" customFormat="false" ht="30" hidden="false" customHeight="true" outlineLevel="0" collapsed="false">
      <c r="A486" s="4" t="s">
        <v>6</v>
      </c>
      <c r="B486" s="5" t="s">
        <v>107</v>
      </c>
      <c r="C486" s="6" t="str">
        <f aca="false">HYPERLINK("https://partner.tcgplayer.com/c/6278691/1780961/21018?u=https%3A%2F%2Fwww.tcgplayer.com%2Fproduct%2F565464%3Futm_source%3Dimpact%26utm_medium%3Daffiliate%26utm_campaign%3Dpoke%2Bcottage","Groudon")</f>
        <v>Groudon</v>
      </c>
      <c r="D486" s="5" t="s">
        <v>319</v>
      </c>
      <c r="E486" s="5"/>
      <c r="F486" s="5"/>
      <c r="G486" s="5"/>
      <c r="H486" s="7"/>
    </row>
    <row r="487" customFormat="false" ht="30" hidden="false" customHeight="true" outlineLevel="0" collapsed="false">
      <c r="A487" s="4" t="s">
        <v>6</v>
      </c>
      <c r="B487" s="5" t="s">
        <v>118</v>
      </c>
      <c r="C487" s="6" t="str">
        <f aca="false">HYPERLINK("https://partner.tcgplayer.com/c/6278691/1780961/21018?u=https%3A%2F%2Fwww.tcgplayer.com%2Fproduct%2F565462%3Futm_source%3Dimpact%26utm_medium%3Daffiliate%26utm_campaign%3Dpoke%2Bcottage","Garganacl")</f>
        <v>Garganacl</v>
      </c>
      <c r="D487" s="5" t="s">
        <v>319</v>
      </c>
      <c r="E487" s="5"/>
      <c r="F487" s="5"/>
      <c r="G487" s="5"/>
      <c r="H487" s="7"/>
    </row>
    <row r="488" customFormat="false" ht="30" hidden="false" customHeight="true" outlineLevel="0" collapsed="false">
      <c r="A488" s="4" t="s">
        <v>6</v>
      </c>
      <c r="B488" s="5" t="s">
        <v>121</v>
      </c>
      <c r="C488" s="6" t="str">
        <f aca="false">HYPERLINK("https://partner.tcgplayer.com/c/6278691/1780961/21018?u=https%3A%2F%2Fwww.tcgplayer.com%2Fproduct%2F527030%3Futm_source%3Dimpact%26utm_medium%3Daffiliate%26utm_campaign%3Dpoke%2Bcottage","Slither Wing")</f>
        <v>Slither Wing</v>
      </c>
      <c r="D488" s="5" t="s">
        <v>316</v>
      </c>
      <c r="E488" s="5"/>
      <c r="F488" s="5"/>
      <c r="G488" s="5"/>
      <c r="H488" s="7"/>
    </row>
    <row r="489" customFormat="false" ht="30" hidden="false" customHeight="true" outlineLevel="0" collapsed="false">
      <c r="A489" s="4" t="s">
        <v>6</v>
      </c>
      <c r="B489" s="5" t="s">
        <v>122</v>
      </c>
      <c r="C489" s="6" t="str">
        <f aca="false">HYPERLINK("https://partner.tcgplayer.com/c/6278691/1780961/21018?u=https%3A%2F%2Fwww.tcgplayer.com%2Fproduct%2F577581%3Futm_source%3Dimpact%26utm_medium%3Daffiliate%26utm_campaign%3Dpoke%2Bcottage","Sandy Shocks ex")</f>
        <v>Sandy Shocks ex</v>
      </c>
      <c r="D489" s="5" t="s">
        <v>319</v>
      </c>
      <c r="E489" s="5"/>
      <c r="F489" s="5"/>
      <c r="G489" s="5"/>
      <c r="H489" s="7"/>
    </row>
    <row r="490" customFormat="false" ht="30" hidden="false" customHeight="true" outlineLevel="0" collapsed="false">
      <c r="A490" s="4" t="s">
        <v>6</v>
      </c>
      <c r="B490" s="5" t="s">
        <v>132</v>
      </c>
      <c r="C490" s="6" t="str">
        <f aca="false">HYPERLINK("https://partner.tcgplayer.com/c/6278691/1780961/21018?u=https%3A%2F%2Fwww.tcgplayer.com%2Fproduct%2F556917%3Futm_source%3Dimpact%26utm_medium%3Daffiliate%26utm_campaign%3Dpoke%2Bcottage","Yveltal")</f>
        <v>Yveltal</v>
      </c>
      <c r="D490" s="5" t="s">
        <v>326</v>
      </c>
      <c r="E490" s="5"/>
      <c r="F490" s="5"/>
      <c r="G490" s="5"/>
      <c r="H490" s="7"/>
    </row>
    <row r="491" customFormat="false" ht="30" hidden="false" customHeight="true" outlineLevel="0" collapsed="false">
      <c r="A491" s="4" t="s">
        <v>6</v>
      </c>
      <c r="B491" s="5" t="s">
        <v>135</v>
      </c>
      <c r="C491" s="6" t="str">
        <f aca="false">HYPERLINK("https://partner.tcgplayer.com/c/6278691/1780961/21018?u=https%3A%2F%2Fwww.tcgplayer.com%2Fproduct%2F547650%3Futm_source%3Dimpact%26utm_medium%3Daffiliate%26utm_campaign%3Dpoke%2Bcottage","Morpeko")</f>
        <v>Morpeko</v>
      </c>
      <c r="D491" s="5" t="s">
        <v>314</v>
      </c>
      <c r="E491" s="5"/>
      <c r="F491" s="5"/>
      <c r="G491" s="5"/>
      <c r="H491" s="7"/>
    </row>
    <row r="492" customFormat="false" ht="30" hidden="false" customHeight="true" outlineLevel="0" collapsed="false">
      <c r="A492" s="4" t="s">
        <v>6</v>
      </c>
      <c r="B492" s="5" t="s">
        <v>135</v>
      </c>
      <c r="C492" s="6" t="str">
        <f aca="false">HYPERLINK("https://partner.tcgplayer.com/c/6278691/1780961/21018?u=https%3A%2F%2Fwww.tcgplayer.com%2Fproduct%2F565488%3Futm_source%3Dimpact%26utm_medium%3Daffiliate%26utm_campaign%3Dpoke%2Bcottage","Morpeko")</f>
        <v>Morpeko</v>
      </c>
      <c r="D492" s="5" t="s">
        <v>319</v>
      </c>
      <c r="E492" s="5"/>
      <c r="F492" s="5"/>
      <c r="G492" s="5"/>
      <c r="H492" s="7"/>
    </row>
    <row r="493" customFormat="false" ht="30" hidden="false" customHeight="true" outlineLevel="0" collapsed="false">
      <c r="A493" s="4" t="s">
        <v>6</v>
      </c>
      <c r="B493" s="5" t="s">
        <v>135</v>
      </c>
      <c r="C493" s="6" t="str">
        <f aca="false">HYPERLINK("https://partner.tcgplayer.com/c/6278691/1780961/21018?u=https%3A%2F%2Fwww.tcgplayer.com%2Fproduct%2F565488%3Futm_source%3Dimpact%26utm_medium%3Daffiliate%26utm_campaign%3Dpoke%2Bcottage","Morpeko")</f>
        <v>Morpeko</v>
      </c>
      <c r="D493" s="5" t="s">
        <v>327</v>
      </c>
      <c r="E493" s="5"/>
      <c r="F493" s="5"/>
      <c r="G493" s="5"/>
      <c r="H493" s="7"/>
    </row>
    <row r="494" customFormat="false" ht="30" hidden="false" customHeight="true" outlineLevel="0" collapsed="false">
      <c r="A494" s="4" t="s">
        <v>6</v>
      </c>
      <c r="B494" s="5" t="s">
        <v>136</v>
      </c>
      <c r="C494" s="6" t="str">
        <f aca="false">HYPERLINK("https://partner.tcgplayer.com/c/6278691/1780961/21018?u=https%3A%2F%2Fwww.tcgplayer.com%2Fproduct%2F557166%3Futm_source%3Dimpact%26utm_medium%3Daffiliate%26utm_campaign%3Dpoke%2Bcottage","Lokix")</f>
        <v>Lokix</v>
      </c>
      <c r="D494" s="5" t="s">
        <v>313</v>
      </c>
      <c r="E494" s="5"/>
      <c r="F494" s="5"/>
      <c r="G494" s="5"/>
      <c r="H494" s="7"/>
    </row>
    <row r="495" customFormat="false" ht="30" hidden="false" customHeight="true" outlineLevel="0" collapsed="false">
      <c r="A495" s="4" t="s">
        <v>6</v>
      </c>
      <c r="B495" s="5" t="s">
        <v>136</v>
      </c>
      <c r="C495" s="6" t="str">
        <f aca="false">HYPERLINK("https://partner.tcgplayer.com/c/6278691/1780961/21018?u=https%3A%2F%2Fwww.tcgplayer.com%2Fproduct%2F547649%3Futm_source%3Dimpact%26utm_medium%3Daffiliate%26utm_campaign%3Dpoke%2Bcottage","Lokix")</f>
        <v>Lokix</v>
      </c>
      <c r="D495" s="5" t="s">
        <v>314</v>
      </c>
      <c r="E495" s="5"/>
      <c r="F495" s="5"/>
      <c r="G495" s="5"/>
      <c r="H495" s="7"/>
    </row>
    <row r="496" customFormat="false" ht="30" hidden="false" customHeight="true" outlineLevel="0" collapsed="false">
      <c r="A496" s="4" t="s">
        <v>6</v>
      </c>
      <c r="B496" s="5" t="s">
        <v>137</v>
      </c>
      <c r="C496" s="6" t="str">
        <f aca="false">HYPERLINK("https://partner.tcgplayer.com/c/6278691/1780961/21018?u=https%3A%2F%2Fwww.tcgplayer.com%2Fproduct%2F528477%3Futm_source%3Dimpact%26utm_medium%3Daffiliate%26utm_campaign%3Dpoke%2Bcottage","Brute Bonnet")</f>
        <v>Brute Bonnet</v>
      </c>
      <c r="D496" s="5" t="s">
        <v>313</v>
      </c>
      <c r="E496" s="5"/>
      <c r="F496" s="5"/>
      <c r="G496" s="5"/>
      <c r="H496" s="7"/>
    </row>
    <row r="497" customFormat="false" ht="30" hidden="false" customHeight="true" outlineLevel="0" collapsed="false">
      <c r="A497" s="4" t="s">
        <v>6</v>
      </c>
      <c r="B497" s="5" t="s">
        <v>137</v>
      </c>
      <c r="C497" s="6" t="str">
        <f aca="false">HYPERLINK("https://partner.tcgplayer.com/c/6278691/1780961/21018?u=https%3A%2F%2Fwww.tcgplayer.com%2Fproduct%2F565450%3Futm_source%3Dimpact%26utm_medium%3Daffiliate%26utm_campaign%3Dpoke%2Bcottage","Brute Bonnet")</f>
        <v>Brute Bonnet</v>
      </c>
      <c r="D497" s="5" t="s">
        <v>319</v>
      </c>
      <c r="E497" s="5"/>
      <c r="F497" s="5"/>
      <c r="G497" s="5"/>
      <c r="H497" s="7"/>
    </row>
    <row r="498" customFormat="false" ht="30" hidden="false" customHeight="true" outlineLevel="0" collapsed="false">
      <c r="A498" s="4" t="s">
        <v>6</v>
      </c>
      <c r="B498" s="5" t="s">
        <v>138</v>
      </c>
      <c r="C498" s="6" t="str">
        <f aca="false">HYPERLINK("https://partner.tcgplayer.com/c/6278691/1780961/21018?u=https%3A%2F%2Fwww.tcgplayer.com%2Fproduct%2F577580%3Futm_source%3Dimpact%26utm_medium%3Daffiliate%26utm_campaign%3Dpoke%2Bcottage","Roaring Moon ex")</f>
        <v>Roaring Moon ex</v>
      </c>
      <c r="D498" s="5" t="s">
        <v>319</v>
      </c>
      <c r="E498" s="5"/>
      <c r="F498" s="5"/>
      <c r="G498" s="5"/>
      <c r="H498" s="7"/>
    </row>
    <row r="499" customFormat="false" ht="30" hidden="false" customHeight="true" outlineLevel="0" collapsed="false">
      <c r="A499" s="4" t="s">
        <v>6</v>
      </c>
      <c r="B499" s="5" t="s">
        <v>139</v>
      </c>
      <c r="C499" s="6" t="str">
        <f aca="false">HYPERLINK("https://partner.tcgplayer.com/c/6278691/1780961/21018?u=https%3A%2F%2Fwww.tcgplayer.com%2Fproduct%2F557370%3Futm_source%3Dimpact%26utm_medium%3Daffiliate%26utm_campaign%3Dpoke%2Bcottage","Steelix")</f>
        <v>Steelix</v>
      </c>
      <c r="D499" s="5" t="s">
        <v>313</v>
      </c>
      <c r="E499" s="5"/>
      <c r="F499" s="5"/>
      <c r="G499" s="5"/>
      <c r="H499" s="7"/>
    </row>
    <row r="500" customFormat="false" ht="30" hidden="false" customHeight="true" outlineLevel="0" collapsed="false">
      <c r="A500" s="4" t="s">
        <v>6</v>
      </c>
      <c r="B500" s="5" t="s">
        <v>140</v>
      </c>
      <c r="C500" s="6" t="str">
        <f aca="false">HYPERLINK("https://partner.tcgplayer.com/c/6278691/1780961/21018?u=https%3A%2F%2Fwww.tcgplayer.com%2Fproduct%2F565471%3Futm_source%3Dimpact%26utm_medium%3Daffiliate%26utm_campaign%3Dpoke%2Bcottage","Jirachi")</f>
        <v>Jirachi</v>
      </c>
      <c r="D500" s="5" t="s">
        <v>327</v>
      </c>
      <c r="E500" s="5"/>
      <c r="F500" s="5"/>
      <c r="G500" s="5"/>
      <c r="H500" s="7"/>
    </row>
    <row r="501" customFormat="false" ht="30" hidden="false" customHeight="true" outlineLevel="0" collapsed="false">
      <c r="A501" s="4" t="s">
        <v>6</v>
      </c>
      <c r="B501" s="5" t="s">
        <v>145</v>
      </c>
      <c r="C501" s="6" t="str">
        <f aca="false">HYPERLINK("https://partner.tcgplayer.com/c/6278691/1780961/21018?u=https%3A%2F%2Fwww.tcgplayer.com%2Fproduct%2F643130%3Futm_source%3Dimpact%26utm_medium%3Daffiliate%26utm_campaign%3Dpoke%2Bcottage","Honedge")</f>
        <v>Honedge</v>
      </c>
      <c r="D501" s="5" t="s">
        <v>313</v>
      </c>
      <c r="E501" s="5"/>
      <c r="F501" s="5"/>
      <c r="G501" s="5"/>
      <c r="H501" s="7"/>
    </row>
    <row r="502" customFormat="false" ht="30" hidden="false" customHeight="true" outlineLevel="0" collapsed="false">
      <c r="A502" s="4" t="s">
        <v>6</v>
      </c>
      <c r="B502" s="5" t="s">
        <v>146</v>
      </c>
      <c r="C502" s="6" t="str">
        <f aca="false">HYPERLINK("https://partner.tcgplayer.com/c/6278691/1780961/21018?u=https%3A%2F%2Fwww.tcgplayer.com%2Fproduct%2F643131%3Futm_source%3Dimpact%26utm_medium%3Daffiliate%26utm_campaign%3Dpoke%2Bcottage","Doublade")</f>
        <v>Doublade</v>
      </c>
      <c r="D502" s="5" t="s">
        <v>313</v>
      </c>
      <c r="E502" s="5"/>
      <c r="F502" s="5"/>
      <c r="G502" s="5"/>
      <c r="H502" s="7"/>
    </row>
    <row r="503" customFormat="false" ht="30" hidden="false" customHeight="true" outlineLevel="0" collapsed="false">
      <c r="A503" s="4" t="s">
        <v>6</v>
      </c>
      <c r="B503" s="5" t="s">
        <v>148</v>
      </c>
      <c r="C503" s="6" t="str">
        <f aca="false">HYPERLINK("https://partner.tcgplayer.com/c/6278691/1780961/21018?u=https%3A%2F%2Fwww.tcgplayer.com%2Fproduct%2F528308%3Futm_source%3Dimpact%26utm_medium%3Daffiliate%26utm_campaign%3Dpoke%2Bcottage","Aegislash")</f>
        <v>Aegislash</v>
      </c>
      <c r="D503" s="5" t="s">
        <v>314</v>
      </c>
      <c r="E503" s="5"/>
      <c r="F503" s="5"/>
      <c r="G503" s="5"/>
      <c r="H503" s="7"/>
    </row>
    <row r="504" customFormat="false" ht="30" hidden="false" customHeight="true" outlineLevel="0" collapsed="false">
      <c r="A504" s="4" t="s">
        <v>6</v>
      </c>
      <c r="B504" s="5" t="s">
        <v>149</v>
      </c>
      <c r="C504" s="5" t="s">
        <v>328</v>
      </c>
      <c r="D504" s="5" t="s">
        <v>329</v>
      </c>
      <c r="E504" s="5"/>
      <c r="F504" s="5" t="str">
        <f aca="false">HYPERLINK("https://www.ebay.com/sch/i.html?_nkw=Aegislash+ex+Jumbo+Paradox+Rift+135+pokemon+card&amp;_sacat=0&amp;_from=R40&amp;_trksid=p4624852.m570.l1313&amp;mkcid=1&amp;mkrid=711-53200-19255-0&amp;siteid=0&amp;campid=5339158445&amp;customid=pokecottage&amp;toolid=10001&amp;mkevt=1","FIND ON EBAY")</f>
        <v>FIND ON EBAY</v>
      </c>
      <c r="G504" s="5"/>
      <c r="H504" s="7"/>
    </row>
    <row r="505" customFormat="false" ht="30" hidden="false" customHeight="true" outlineLevel="0" collapsed="false">
      <c r="A505" s="4" t="s">
        <v>6</v>
      </c>
      <c r="B505" s="5" t="s">
        <v>150</v>
      </c>
      <c r="C505" s="6" t="str">
        <f aca="false">HYPERLINK("https://partner.tcgplayer.com/c/6278691/1780961/21018?u=https%3A%2F%2Fwww.tcgplayer.com%2Fproduct%2F547652%3Futm_source%3Dimpact%26utm_medium%3Daffiliate%26utm_campaign%3Dpoke%2Bcottage","Zacian")</f>
        <v>Zacian</v>
      </c>
      <c r="D505" s="5" t="s">
        <v>314</v>
      </c>
      <c r="E505" s="5"/>
      <c r="F505" s="5"/>
      <c r="G505" s="5"/>
      <c r="H505" s="7"/>
    </row>
    <row r="506" customFormat="false" ht="30" hidden="false" customHeight="true" outlineLevel="0" collapsed="false">
      <c r="A506" s="4" t="s">
        <v>6</v>
      </c>
      <c r="B506" s="5" t="s">
        <v>151</v>
      </c>
      <c r="C506" s="6" t="str">
        <f aca="false">HYPERLINK("https://partner.tcgplayer.com/c/6278691/1780961/21018?u=https%3A%2F%2Fwww.tcgplayer.com%2Fproduct%2F577582%3Futm_source%3Dimpact%26utm_medium%3Daffiliate%26utm_campaign%3Dpoke%2Bcottage","Skeledirge ex")</f>
        <v>Skeledirge ex</v>
      </c>
      <c r="D506" s="5" t="s">
        <v>319</v>
      </c>
      <c r="E506" s="5"/>
      <c r="F506" s="5"/>
      <c r="G506" s="5"/>
      <c r="H506" s="7"/>
    </row>
    <row r="507" customFormat="false" ht="30" hidden="false" customHeight="true" outlineLevel="0" collapsed="false">
      <c r="A507" s="4" t="s">
        <v>6</v>
      </c>
      <c r="B507" s="5" t="s">
        <v>153</v>
      </c>
      <c r="C507" s="6" t="str">
        <f aca="false">HYPERLINK("https://partner.tcgplayer.com/c/6278691/1780961/21018?u=https%3A%2F%2Fwww.tcgplayer.com%2Fproduct%2F565463%3Futm_source%3Dimpact%26utm_medium%3Daffiliate%26utm_campaign%3Dpoke%2Bcottage","Gholdengo ex")</f>
        <v>Gholdengo ex</v>
      </c>
      <c r="D507" s="5" t="s">
        <v>319</v>
      </c>
      <c r="E507" s="5"/>
      <c r="F507" s="5"/>
      <c r="G507" s="5"/>
      <c r="H507" s="7"/>
    </row>
    <row r="508" customFormat="false" ht="30" hidden="false" customHeight="true" outlineLevel="0" collapsed="false">
      <c r="A508" s="4" t="s">
        <v>6</v>
      </c>
      <c r="B508" s="5" t="s">
        <v>153</v>
      </c>
      <c r="C508" s="5" t="s">
        <v>330</v>
      </c>
      <c r="D508" s="5" t="s">
        <v>323</v>
      </c>
      <c r="E508" s="5"/>
      <c r="F508" s="5" t="str">
        <f aca="false">HYPERLINK("https://www.ebay.com/sch/i.html?_nkw=Gholdengo+ex+World+Championships+Deck+2025+Joltdengo+by+Liao+Fu+Guan+Paradox+Rift+139+pokemon+card&amp;_sacat=0&amp;_from=R40&amp;_trksid=p4624852.m570.l1313&amp;mkcid=1&amp;mkrid=711-53200-19255-0&amp;siteid=0&amp;campid=5339158445&amp;customid=pokecottage&amp;toolid=10001&amp;mkevt=1","FIND ON EBAY")</f>
        <v>FIND ON EBAY</v>
      </c>
      <c r="G508" s="5"/>
      <c r="H508" s="7"/>
    </row>
    <row r="509" customFormat="false" ht="30" hidden="false" customHeight="true" outlineLevel="0" collapsed="false">
      <c r="A509" s="4" t="s">
        <v>6</v>
      </c>
      <c r="B509" s="5" t="s">
        <v>153</v>
      </c>
      <c r="C509" s="5" t="s">
        <v>330</v>
      </c>
      <c r="D509" s="5" t="s">
        <v>331</v>
      </c>
      <c r="E509" s="5"/>
      <c r="F509" s="5" t="str">
        <f aca="false">HYPERLINK("https://www.ebay.com/sch/i.html?_nkw=Gholdengo+ex+World+Championships+Deck+2025+Joltdengo+by+Liao+Fu+Guan+Gold+Signature+Paradox+Rift+139+pokemon+card&amp;_sacat=0&amp;_from=R40&amp;_trksid=p4624852.m570.l1313&amp;mkcid=1&amp;mkrid=711-53200-19255-0&amp;siteid=0&amp;campid=5339158445&amp;customid=pokecottage&amp;toolid=10001&amp;mkevt=1","FIND ON EBAY")</f>
        <v>FIND ON EBAY</v>
      </c>
      <c r="G509" s="5"/>
      <c r="H509" s="7"/>
    </row>
    <row r="510" customFormat="false" ht="30" hidden="false" customHeight="true" outlineLevel="0" collapsed="false">
      <c r="A510" s="4" t="s">
        <v>6</v>
      </c>
      <c r="B510" s="5" t="s">
        <v>158</v>
      </c>
      <c r="C510" s="6" t="str">
        <f aca="false">HYPERLINK("https://partner.tcgplayer.com/c/6278691/1780961/21018?u=https%3A%2F%2Fwww.tcgplayer.com%2Fproduct%2F557146%3Futm_source%3Dimpact%26utm_medium%3Daffiliate%26utm_campaign%3Dpoke%2Bcottage","Porygon-Z")</f>
        <v>Porygon-Z</v>
      </c>
      <c r="D510" s="5" t="s">
        <v>313</v>
      </c>
      <c r="E510" s="5"/>
      <c r="F510" s="5"/>
      <c r="G510" s="5"/>
      <c r="H510" s="7"/>
    </row>
    <row r="511" customFormat="false" ht="30" hidden="false" customHeight="true" outlineLevel="0" collapsed="false">
      <c r="A511" s="4" t="s">
        <v>6</v>
      </c>
      <c r="B511" s="5" t="s">
        <v>172</v>
      </c>
      <c r="C511" s="6" t="str">
        <f aca="false">HYPERLINK("https://partner.tcgplayer.com/c/6278691/1780961/21018?u=https%3A%2F%2Fwww.tcgplayer.com%2Fproduct%2F631074%3Futm_source%3Dimpact%26utm_medium%3Daffiliate%26utm_campaign%3Dpoke%2Bcottage","Iron Jugulis")</f>
        <v>Iron Jugulis</v>
      </c>
      <c r="D511" s="5" t="s">
        <v>313</v>
      </c>
      <c r="E511" s="5"/>
      <c r="F511" s="5"/>
      <c r="G511" s="5"/>
      <c r="H511" s="7"/>
    </row>
    <row r="512" customFormat="false" ht="30" hidden="false" customHeight="true" outlineLevel="0" collapsed="false">
      <c r="A512" s="4" t="s">
        <v>6</v>
      </c>
      <c r="B512" s="5" t="s">
        <v>173</v>
      </c>
      <c r="C512" s="6" t="str">
        <f aca="false">HYPERLINK("https://partner.tcgplayer.com/c/6278691/1780961/21018?u=https%3A%2F%2Fwww.tcgplayer.com%2Fproduct%2F527881%3Futm_source%3Dimpact%26utm_medium%3Daffiliate%26utm_campaign%3Dpoke%2Bcottage","Ancient Booster Energy Capsule")</f>
        <v>Ancient Booster Energy Capsule</v>
      </c>
      <c r="D512" s="5" t="s">
        <v>313</v>
      </c>
      <c r="E512" s="5"/>
      <c r="F512" s="5"/>
      <c r="G512" s="5"/>
      <c r="H512" s="7"/>
    </row>
    <row r="513" customFormat="false" ht="30" hidden="false" customHeight="true" outlineLevel="0" collapsed="false">
      <c r="A513" s="4" t="s">
        <v>6</v>
      </c>
      <c r="B513" s="5" t="s">
        <v>173</v>
      </c>
      <c r="C513" s="6" t="str">
        <f aca="false">HYPERLINK("https://partner.tcgplayer.com/c/6278691/1780961/21018?u=https%3A%2F%2Fwww.tcgplayer.com%2Fproduct%2F565278%3Futm_source%3Dimpact%26utm_medium%3Daffiliate%26utm_campaign%3Dpoke%2Bcottage","Ancient Booster Energy Capsule")</f>
        <v>Ancient Booster Energy Capsule</v>
      </c>
      <c r="D513" s="5" t="s">
        <v>319</v>
      </c>
      <c r="E513" s="5"/>
      <c r="F513" s="5"/>
      <c r="G513" s="5"/>
      <c r="H513" s="7"/>
    </row>
    <row r="514" customFormat="false" ht="30" hidden="false" customHeight="true" outlineLevel="0" collapsed="false">
      <c r="A514" s="4" t="s">
        <v>6</v>
      </c>
      <c r="B514" s="5" t="s">
        <v>173</v>
      </c>
      <c r="C514" s="6" t="str">
        <f aca="false">HYPERLINK("https://partner.tcgplayer.com/c/6278691/1780961/21018?u=https%3A%2F%2Fwww.tcgplayer.com%2Fproduct%2F565278%3Futm_source%3Dimpact%26utm_medium%3Daffiliate%26utm_campaign%3Dpoke%2Bcottage","Ancient Booster Energy Capsule")</f>
        <v>Ancient Booster Energy Capsule</v>
      </c>
      <c r="D514" s="5" t="s">
        <v>327</v>
      </c>
      <c r="E514" s="5"/>
      <c r="F514" s="5"/>
      <c r="G514" s="5"/>
      <c r="H514" s="7"/>
    </row>
    <row r="515" customFormat="false" ht="30" hidden="false" customHeight="true" outlineLevel="0" collapsed="false">
      <c r="A515" s="4" t="s">
        <v>6</v>
      </c>
      <c r="B515" s="5" t="s">
        <v>174</v>
      </c>
      <c r="C515" s="6" t="str">
        <f aca="false">HYPERLINK("https://partner.tcgplayer.com/c/6278691/1780961/21018?u=https%3A%2F%2Fwww.tcgplayer.com%2Fproduct%2F565453%3Futm_source%3Dimpact%26utm_medium%3Daffiliate%26utm_campaign%3Dpoke%2Bcottage","Counter Catcher")</f>
        <v>Counter Catcher</v>
      </c>
      <c r="D515" s="5" t="s">
        <v>319</v>
      </c>
      <c r="E515" s="5"/>
      <c r="F515" s="5"/>
      <c r="G515" s="5"/>
      <c r="H515" s="7"/>
    </row>
    <row r="516" customFormat="false" ht="30" hidden="false" customHeight="true" outlineLevel="0" collapsed="false">
      <c r="A516" s="4" t="s">
        <v>6</v>
      </c>
      <c r="B516" s="5" t="s">
        <v>174</v>
      </c>
      <c r="C516" s="6" t="str">
        <f aca="false">HYPERLINK("https://partner.tcgplayer.com/c/6278691/1780961/21018?u=https%3A%2F%2Fwww.tcgplayer.com%2Fproduct%2F565453%3Futm_source%3Dimpact%26utm_medium%3Daffiliate%26utm_campaign%3Dpoke%2Bcottage","Counter Catcher")</f>
        <v>Counter Catcher</v>
      </c>
      <c r="D516" s="5" t="s">
        <v>327</v>
      </c>
      <c r="E516" s="5"/>
      <c r="F516" s="5"/>
      <c r="G516" s="5"/>
      <c r="H516" s="7"/>
    </row>
    <row r="517" customFormat="false" ht="30" hidden="false" customHeight="true" outlineLevel="0" collapsed="false">
      <c r="A517" s="4" t="s">
        <v>6</v>
      </c>
      <c r="B517" s="5" t="s">
        <v>174</v>
      </c>
      <c r="C517" s="6" t="str">
        <f aca="false">HYPERLINK("https://partner.tcgplayer.com/c/6278691/1780961/21018?u=https%3A%2F%2Fwww.tcgplayer.com%2Fproduct%2F637540%3Futm_source%3Dimpact%26utm_medium%3Daffiliate%26utm_campaign%3Dpoke%2Bcottage","Counter Catcher")</f>
        <v>Counter Catcher</v>
      </c>
      <c r="D517" s="5" t="s">
        <v>332</v>
      </c>
      <c r="E517" s="5"/>
      <c r="F517" s="5"/>
      <c r="G517" s="5"/>
      <c r="H517" s="7"/>
    </row>
    <row r="518" customFormat="false" ht="30" hidden="false" customHeight="true" outlineLevel="0" collapsed="false">
      <c r="A518" s="4" t="s">
        <v>6</v>
      </c>
      <c r="B518" s="5" t="s">
        <v>174</v>
      </c>
      <c r="C518" s="6" t="str">
        <f aca="false">HYPERLINK("https://partner.tcgplayer.com/c/6278691/1780961/21018?u=https%3A%2F%2Fwww.tcgplayer.com%2Fproduct%2F689033%3Futm_source%3Dimpact%26utm_medium%3Daffiliate%26utm_campaign%3Dpoke%2Bcottage","Counter Catcher")</f>
        <v>Counter Catcher</v>
      </c>
      <c r="D518" s="5" t="s">
        <v>325</v>
      </c>
      <c r="E518" s="5"/>
      <c r="F518" s="5"/>
      <c r="G518" s="5"/>
      <c r="H518" s="7"/>
    </row>
    <row r="519" customFormat="false" ht="30" hidden="false" customHeight="true" outlineLevel="0" collapsed="false">
      <c r="A519" s="4" t="s">
        <v>6</v>
      </c>
      <c r="B519" s="5" t="s">
        <v>174</v>
      </c>
      <c r="C519" s="6" t="str">
        <f aca="false">HYPERLINK("https://partner.tcgplayer.com/c/6278691/1780961/21018?u=https%3A%2F%2Fwww.tcgplayer.com%2Fproduct%2F690507%3Futm_source%3Dimpact%26utm_medium%3Daffiliate%26utm_campaign%3Dpoke%2Bcottage","Counter Catcher")</f>
        <v>Counter Catcher</v>
      </c>
      <c r="D519" s="5" t="s">
        <v>333</v>
      </c>
      <c r="E519" s="5"/>
      <c r="F519" s="5"/>
      <c r="G519" s="5"/>
      <c r="H519" s="7"/>
    </row>
    <row r="520" customFormat="false" ht="30" hidden="false" customHeight="true" outlineLevel="0" collapsed="false">
      <c r="A520" s="4" t="s">
        <v>6</v>
      </c>
      <c r="B520" s="5" t="s">
        <v>177</v>
      </c>
      <c r="C520" s="6" t="str">
        <f aca="false">HYPERLINK("https://partner.tcgplayer.com/c/6278691/1780961/21018?u=https%3A%2F%2Fwww.tcgplayer.com%2Fproduct%2F565266%3Futm_source%3Dimpact%26utm_medium%3Daffiliate%26utm_campaign%3Dpoke%2Bcottage","Earthen Vessel")</f>
        <v>Earthen Vessel</v>
      </c>
      <c r="D520" s="5" t="s">
        <v>319</v>
      </c>
      <c r="E520" s="5"/>
      <c r="F520" s="5"/>
      <c r="G520" s="5"/>
      <c r="H520" s="7"/>
    </row>
    <row r="521" customFormat="false" ht="30" hidden="false" customHeight="true" outlineLevel="0" collapsed="false">
      <c r="A521" s="4" t="s">
        <v>6</v>
      </c>
      <c r="B521" s="5" t="s">
        <v>177</v>
      </c>
      <c r="C521" s="6" t="str">
        <f aca="false">HYPERLINK("https://partner.tcgplayer.com/c/6278691/1780961/21018?u=https%3A%2F%2Fwww.tcgplayer.com%2Fproduct%2F565266%3Futm_source%3Dimpact%26utm_medium%3Daffiliate%26utm_campaign%3Dpoke%2Bcottage","Earthen Vessel")</f>
        <v>Earthen Vessel</v>
      </c>
      <c r="D521" s="5" t="s">
        <v>327</v>
      </c>
      <c r="E521" s="5"/>
      <c r="F521" s="5"/>
      <c r="G521" s="5"/>
      <c r="H521" s="7"/>
    </row>
    <row r="522" customFormat="false" ht="30" hidden="false" customHeight="true" outlineLevel="0" collapsed="false">
      <c r="A522" s="4" t="s">
        <v>6</v>
      </c>
      <c r="B522" s="5" t="s">
        <v>177</v>
      </c>
      <c r="C522" s="5" t="s">
        <v>334</v>
      </c>
      <c r="D522" s="5" t="s">
        <v>335</v>
      </c>
      <c r="E522" s="5"/>
      <c r="F522" s="5" t="str">
        <f aca="false">HYPERLINK("https://www.ebay.com/sch/i.html?_nkw=Earthen+Vessel+Great+Ball+League+Paradox+Rift+163+pokemon+card&amp;_sacat=0&amp;_from=R40&amp;_trksid=p4624852.m570.l1313&amp;mkcid=1&amp;mkrid=711-53200-19255-0&amp;siteid=0&amp;campid=5339158445&amp;customid=pokecottage&amp;toolid=10001&amp;mkevt=1","FIND ON EBAY")</f>
        <v>FIND ON EBAY</v>
      </c>
      <c r="G522" s="5"/>
      <c r="H522" s="7"/>
    </row>
    <row r="523" customFormat="false" ht="30" hidden="false" customHeight="true" outlineLevel="0" collapsed="false">
      <c r="A523" s="4" t="s">
        <v>6</v>
      </c>
      <c r="B523" s="5" t="s">
        <v>177</v>
      </c>
      <c r="C523" s="6" t="str">
        <f aca="false">HYPERLINK("https://partner.tcgplayer.com/c/6278691/1780961/21018?u=https%3A%2F%2Fwww.tcgplayer.com%2Fproduct%2F647063%3Futm_source%3Dimpact%26utm_medium%3Daffiliate%26utm_campaign%3Dpoke%2Bcottage","Earthen Vessel")</f>
        <v>Earthen Vessel</v>
      </c>
      <c r="D523" s="5" t="s">
        <v>332</v>
      </c>
      <c r="E523" s="5"/>
      <c r="F523" s="5"/>
      <c r="G523" s="5"/>
      <c r="H523" s="7"/>
    </row>
    <row r="524" customFormat="false" ht="30" hidden="false" customHeight="true" outlineLevel="0" collapsed="false">
      <c r="A524" s="4" t="s">
        <v>6</v>
      </c>
      <c r="B524" s="5" t="s">
        <v>177</v>
      </c>
      <c r="C524" s="6" t="str">
        <f aca="false">HYPERLINK("https://partner.tcgplayer.com/c/6278691/1780961/21018?u=https%3A%2F%2Fwww.tcgplayer.com%2Fproduct%2F637545%3Futm_source%3Dimpact%26utm_medium%3Daffiliate%26utm_campaign%3Dpoke%2Bcottage","Earthen Vessel")</f>
        <v>Earthen Vessel</v>
      </c>
      <c r="D524" s="5" t="s">
        <v>336</v>
      </c>
      <c r="E524" s="5"/>
      <c r="F524" s="5"/>
      <c r="G524" s="5"/>
      <c r="H524" s="7"/>
    </row>
    <row r="525" customFormat="false" ht="30" hidden="false" customHeight="true" outlineLevel="0" collapsed="false">
      <c r="A525" s="4" t="s">
        <v>6</v>
      </c>
      <c r="B525" s="5" t="s">
        <v>177</v>
      </c>
      <c r="C525" s="6" t="str">
        <f aca="false">HYPERLINK("https://partner.tcgplayer.com/c/6278691/1780961/21018?u=https%3A%2F%2Fwww.tcgplayer.com%2Fproduct%2F637541%3Futm_source%3Dimpact%26utm_medium%3Daffiliate%26utm_campaign%3Dpoke%2Bcottage","Earthen Vessel")</f>
        <v>Earthen Vessel</v>
      </c>
      <c r="D525" s="5" t="s">
        <v>337</v>
      </c>
      <c r="E525" s="5"/>
      <c r="F525" s="5"/>
      <c r="G525" s="5"/>
      <c r="H525" s="7"/>
    </row>
    <row r="526" customFormat="false" ht="30" hidden="false" customHeight="true" outlineLevel="0" collapsed="false">
      <c r="A526" s="4" t="s">
        <v>6</v>
      </c>
      <c r="B526" s="5" t="s">
        <v>177</v>
      </c>
      <c r="C526" s="6" t="str">
        <f aca="false">HYPERLINK("https://partner.tcgplayer.com/c/6278691/1780961/21018?u=https%3A%2F%2Fwww.tcgplayer.com%2Fproduct%2F689029%3Futm_source%3Dimpact%26utm_medium%3Daffiliate%26utm_campaign%3Dpoke%2Bcottage","Earthen Vessel")</f>
        <v>Earthen Vessel</v>
      </c>
      <c r="D526" s="5" t="s">
        <v>325</v>
      </c>
      <c r="E526" s="5"/>
      <c r="F526" s="5"/>
      <c r="G526" s="5"/>
      <c r="H526" s="7"/>
    </row>
    <row r="527" customFormat="false" ht="30" hidden="false" customHeight="true" outlineLevel="0" collapsed="false">
      <c r="A527" s="4" t="s">
        <v>6</v>
      </c>
      <c r="B527" s="5" t="s">
        <v>177</v>
      </c>
      <c r="C527" s="6" t="str">
        <f aca="false">HYPERLINK("https://partner.tcgplayer.com/c/6278691/1780961/21018?u=https%3A%2F%2Fwww.tcgplayer.com%2Fproduct%2F690276%3Futm_source%3Dimpact%26utm_medium%3Daffiliate%26utm_campaign%3Dpoke%2Bcottage","Earthen Vessel")</f>
        <v>Earthen Vessel</v>
      </c>
      <c r="D527" s="5" t="s">
        <v>323</v>
      </c>
      <c r="E527" s="5"/>
      <c r="F527" s="5"/>
      <c r="G527" s="5"/>
      <c r="H527" s="7"/>
    </row>
    <row r="528" customFormat="false" ht="30" hidden="false" customHeight="true" outlineLevel="0" collapsed="false">
      <c r="A528" s="4" t="s">
        <v>6</v>
      </c>
      <c r="B528" s="5" t="s">
        <v>177</v>
      </c>
      <c r="C528" s="5" t="s">
        <v>334</v>
      </c>
      <c r="D528" s="5" t="s">
        <v>338</v>
      </c>
      <c r="E528" s="5"/>
      <c r="F528" s="5" t="str">
        <f aca="false">HYPERLINK("https://www.ebay.com/sch/i.html?_nkw=Earthen+Vessel+World+Championships+Deck+2025+JP+Raging+Bolt+by+Yuya+Okita+Paradox+Rift+163+pokemon+card&amp;_sacat=0&amp;_from=R40&amp;_trksid=p4624852.m570.l1313&amp;mkcid=1&amp;mkrid=711-53200-19255-0&amp;siteid=0&amp;campid=5339158445&amp;customid=pokecottage&amp;toolid=10001&amp;mkevt=1","FIND ON EBAY")</f>
        <v>FIND ON EBAY</v>
      </c>
      <c r="G528" s="5"/>
      <c r="H528" s="7"/>
    </row>
    <row r="529" customFormat="false" ht="30" hidden="false" customHeight="true" outlineLevel="0" collapsed="false">
      <c r="A529" s="4" t="s">
        <v>6</v>
      </c>
      <c r="B529" s="5" t="s">
        <v>178</v>
      </c>
      <c r="C529" s="6" t="str">
        <f aca="false">HYPERLINK("https://partner.tcgplayer.com/c/6278691/1780961/21018?u=https%3A%2F%2Fwww.tcgplayer.com%2Fproduct%2F527880%3Futm_source%3Dimpact%26utm_medium%3Daffiliate%26utm_campaign%3Dpoke%2Bcottage","Future Booster Energy Capsule")</f>
        <v>Future Booster Energy Capsule</v>
      </c>
      <c r="D529" s="5" t="s">
        <v>313</v>
      </c>
      <c r="E529" s="5"/>
      <c r="F529" s="5"/>
      <c r="G529" s="5"/>
      <c r="H529" s="7"/>
    </row>
    <row r="530" customFormat="false" ht="30" hidden="false" customHeight="true" outlineLevel="0" collapsed="false">
      <c r="A530" s="4" t="s">
        <v>6</v>
      </c>
      <c r="B530" s="5" t="s">
        <v>178</v>
      </c>
      <c r="C530" s="6" t="str">
        <f aca="false">HYPERLINK("https://partner.tcgplayer.com/c/6278691/1780961/21018?u=https%3A%2F%2Fwww.tcgplayer.com%2Fproduct%2F565460%3Futm_source%3Dimpact%26utm_medium%3Daffiliate%26utm_campaign%3Dpoke%2Bcottage","Future Booster Energy Capsule")</f>
        <v>Future Booster Energy Capsule</v>
      </c>
      <c r="D530" s="5" t="s">
        <v>319</v>
      </c>
      <c r="E530" s="5"/>
      <c r="F530" s="5"/>
      <c r="G530" s="5"/>
      <c r="H530" s="7"/>
    </row>
    <row r="531" customFormat="false" ht="30" hidden="false" customHeight="true" outlineLevel="0" collapsed="false">
      <c r="A531" s="4" t="s">
        <v>6</v>
      </c>
      <c r="B531" s="5" t="s">
        <v>178</v>
      </c>
      <c r="C531" s="6" t="str">
        <f aca="false">HYPERLINK("https://partner.tcgplayer.com/c/6278691/1780961/21018?u=https%3A%2F%2Fwww.tcgplayer.com%2Fproduct%2F565460%3Futm_source%3Dimpact%26utm_medium%3Daffiliate%26utm_campaign%3Dpoke%2Bcottage","Future Booster Energy Capsule")</f>
        <v>Future Booster Energy Capsule</v>
      </c>
      <c r="D531" s="5" t="s">
        <v>327</v>
      </c>
      <c r="E531" s="5"/>
      <c r="F531" s="5"/>
      <c r="G531" s="5"/>
      <c r="H531" s="7"/>
    </row>
    <row r="532" customFormat="false" ht="30" hidden="false" customHeight="true" outlineLevel="0" collapsed="false">
      <c r="A532" s="4" t="s">
        <v>6</v>
      </c>
      <c r="B532" s="5" t="s">
        <v>180</v>
      </c>
      <c r="C532" s="6" t="str">
        <f aca="false">HYPERLINK("https://partner.tcgplayer.com/c/6278691/1780961/21018?u=https%3A%2F%2Fwww.tcgplayer.com%2Fproduct%2F565474%3Futm_source%3Dimpact%26utm_medium%3Daffiliate%26utm_campaign%3Dpoke%2Bcottage","Luxurious Cape")</f>
        <v>Luxurious Cape</v>
      </c>
      <c r="D532" s="5" t="s">
        <v>319</v>
      </c>
      <c r="E532" s="5"/>
      <c r="F532" s="5"/>
      <c r="G532" s="5"/>
      <c r="H532" s="7"/>
    </row>
    <row r="533" customFormat="false" ht="30" hidden="false" customHeight="true" outlineLevel="0" collapsed="false">
      <c r="A533" s="4" t="s">
        <v>6</v>
      </c>
      <c r="B533" s="5" t="s">
        <v>181</v>
      </c>
      <c r="C533" s="6" t="str">
        <f aca="false">HYPERLINK("https://partner.tcgplayer.com/c/6278691/1780961/21018?u=https%3A%2F%2Fwww.tcgplayer.com%2Fproduct%2F565477%3Futm_source%3Dimpact%26utm_medium%3Daffiliate%26utm_campaign%3Dpoke%2Bcottage","Mela")</f>
        <v>Mela</v>
      </c>
      <c r="D533" s="5" t="s">
        <v>319</v>
      </c>
      <c r="E533" s="5"/>
      <c r="F533" s="5"/>
      <c r="G533" s="5"/>
      <c r="H533" s="7"/>
    </row>
    <row r="534" customFormat="false" ht="30" hidden="false" customHeight="true" outlineLevel="0" collapsed="false">
      <c r="A534" s="4" t="s">
        <v>6</v>
      </c>
      <c r="B534" s="5" t="s">
        <v>181</v>
      </c>
      <c r="C534" s="6" t="str">
        <f aca="false">HYPERLINK("https://partner.tcgplayer.com/c/6278691/1780961/21018?u=https%3A%2F%2Fwww.tcgplayer.com%2Fproduct%2F557057%3Futm_source%3Dimpact%26utm_medium%3Daffiliate%26utm_campaign%3Dpoke%2Bcottage","Mela")</f>
        <v>Mela</v>
      </c>
      <c r="D534" s="5" t="s">
        <v>339</v>
      </c>
      <c r="E534" s="5"/>
      <c r="F534" s="5"/>
      <c r="G534" s="5"/>
      <c r="H534" s="7"/>
    </row>
    <row r="535" customFormat="false" ht="30" hidden="false" customHeight="true" outlineLevel="0" collapsed="false">
      <c r="A535" s="4" t="s">
        <v>6</v>
      </c>
      <c r="B535" s="5" t="s">
        <v>184</v>
      </c>
      <c r="C535" s="6" t="str">
        <f aca="false">HYPERLINK("https://partner.tcgplayer.com/c/6278691/1780961/21018?u=https%3A%2F%2Fwww.tcgplayer.com%2Fproduct%2F577586%3Futm_source%3Dimpact%26utm_medium%3Daffiliate%26utm_campaign%3Dpoke%2Bcottage","Professor Sada's Vitality")</f>
        <v>Professor Sada's Vitality</v>
      </c>
      <c r="D535" s="5" t="s">
        <v>319</v>
      </c>
      <c r="E535" s="5"/>
      <c r="F535" s="5"/>
      <c r="G535" s="5"/>
      <c r="H535" s="7"/>
    </row>
    <row r="536" customFormat="false" ht="30" hidden="false" customHeight="true" outlineLevel="0" collapsed="false">
      <c r="A536" s="4" t="s">
        <v>6</v>
      </c>
      <c r="B536" s="5" t="s">
        <v>184</v>
      </c>
      <c r="C536" s="6" t="str">
        <f aca="false">HYPERLINK("https://partner.tcgplayer.com/c/6278691/1780961/21018?u=https%3A%2F%2Fwww.tcgplayer.com%2Fproduct%2F694976%3Futm_source%3Dimpact%26utm_medium%3Daffiliate%26utm_campaign%3Dpoke%2Bcottage","Professor Sada's Vitality")</f>
        <v>Professor Sada's Vitality</v>
      </c>
      <c r="D536" s="5" t="s">
        <v>340</v>
      </c>
      <c r="E536" s="5"/>
      <c r="F536" s="5"/>
      <c r="G536" s="5"/>
      <c r="H536" s="7"/>
    </row>
    <row r="537" customFormat="false" ht="30" hidden="false" customHeight="true" outlineLevel="0" collapsed="false">
      <c r="A537" s="4" t="s">
        <v>6</v>
      </c>
      <c r="B537" s="5" t="s">
        <v>184</v>
      </c>
      <c r="C537" s="6" t="str">
        <f aca="false">HYPERLINK("https://partner.tcgplayer.com/c/6278691/1780961/21018?u=https%3A%2F%2Fwww.tcgplayer.com%2Fproduct%2F577586%3Futm_source%3Dimpact%26utm_medium%3Daffiliate%26utm_campaign%3Dpoke%2Bcottage","Professor Sada's Vitality")</f>
        <v>Professor Sada's Vitality</v>
      </c>
      <c r="D537" s="5" t="s">
        <v>327</v>
      </c>
      <c r="E537" s="5"/>
      <c r="F537" s="5"/>
      <c r="G537" s="5"/>
      <c r="H537" s="7"/>
    </row>
    <row r="538" customFormat="false" ht="30" hidden="false" customHeight="true" outlineLevel="0" collapsed="false">
      <c r="A538" s="4" t="s">
        <v>6</v>
      </c>
      <c r="B538" s="5" t="s">
        <v>184</v>
      </c>
      <c r="C538" s="6" t="str">
        <f aca="false">HYPERLINK("https://partner.tcgplayer.com/c/6278691/1780961/21018?u=https%3A%2F%2Fwww.tcgplayer.com%2Fproduct%2F637538%3Futm_source%3Dimpact%26utm_medium%3Daffiliate%26utm_campaign%3Dpoke%2Bcottage","Professor Sada's Vitality")</f>
        <v>Professor Sada's Vitality</v>
      </c>
      <c r="D538" s="5" t="s">
        <v>332</v>
      </c>
      <c r="E538" s="5"/>
      <c r="F538" s="5"/>
      <c r="G538" s="5"/>
      <c r="H538" s="7"/>
    </row>
    <row r="539" customFormat="false" ht="30" hidden="false" customHeight="true" outlineLevel="0" collapsed="false">
      <c r="A539" s="4" t="s">
        <v>6</v>
      </c>
      <c r="B539" s="5" t="s">
        <v>184</v>
      </c>
      <c r="C539" s="5" t="s">
        <v>341</v>
      </c>
      <c r="D539" s="5" t="s">
        <v>338</v>
      </c>
      <c r="E539" s="5"/>
      <c r="F539" s="5" t="str">
        <f aca="false">HYPERLINK("https://www.ebay.com/sch/i.html?_nkw=Professor+Sada+s+Vitality+World+Championships+Deck+2025+JP+Raging+Bolt+by+Yuya+Okita+Paradox+Rift+170+pokemon+card&amp;_sacat=0&amp;_from=R40&amp;_trksid=p4624852.m570.l1313&amp;mkcid=1&amp;mkrid=711-53200-19255-0&amp;siteid=0&amp;campid=5339158445&amp;customid=pokecottage&amp;toolid=10001&amp;mkevt=1","FIND ON EBAY")</f>
        <v>FIND ON EBAY</v>
      </c>
      <c r="G539" s="5"/>
      <c r="H539" s="7"/>
    </row>
    <row r="540" customFormat="false" ht="30" hidden="false" customHeight="true" outlineLevel="0" collapsed="false">
      <c r="A540" s="4" t="s">
        <v>6</v>
      </c>
      <c r="B540" s="5" t="s">
        <v>185</v>
      </c>
      <c r="C540" s="6" t="str">
        <f aca="false">HYPERLINK("https://partner.tcgplayer.com/c/6278691/1780961/21018?u=https%3A%2F%2Fwww.tcgplayer.com%2Fproduct%2F547730%3Futm_source%3Dimpact%26utm_medium%3Daffiliate%26utm_campaign%3Dpoke%2Bcottage","Professor Turo's Scenario")</f>
        <v>Professor Turo's Scenario</v>
      </c>
      <c r="D540" s="5" t="s">
        <v>342</v>
      </c>
      <c r="E540" s="5"/>
      <c r="F540" s="5"/>
      <c r="G540" s="5"/>
      <c r="H540" s="7"/>
    </row>
    <row r="541" customFormat="false" ht="30" hidden="false" customHeight="true" outlineLevel="0" collapsed="false">
      <c r="A541" s="4" t="s">
        <v>6</v>
      </c>
      <c r="B541" s="5" t="s">
        <v>185</v>
      </c>
      <c r="C541" s="6" t="str">
        <f aca="false">HYPERLINK("https://partner.tcgplayer.com/c/6278691/1780961/21018?u=https%3A%2F%2Fwww.tcgplayer.com%2Fproduct%2F557100%3Futm_source%3Dimpact%26utm_medium%3Daffiliate%26utm_campaign%3Dpoke%2Bcottage","Professor Turo's Scenario")</f>
        <v>Professor Turo's Scenario</v>
      </c>
      <c r="D541" s="5" t="s">
        <v>343</v>
      </c>
      <c r="E541" s="5"/>
      <c r="F541" s="5"/>
      <c r="G541" s="5"/>
      <c r="H541" s="7"/>
    </row>
    <row r="542" customFormat="false" ht="30" hidden="false" customHeight="true" outlineLevel="0" collapsed="false">
      <c r="A542" s="4" t="s">
        <v>6</v>
      </c>
      <c r="B542" s="5" t="s">
        <v>185</v>
      </c>
      <c r="C542" s="5" t="s">
        <v>344</v>
      </c>
      <c r="D542" s="5" t="s">
        <v>345</v>
      </c>
      <c r="E542" s="5"/>
      <c r="F542" s="5" t="str">
        <f aca="false">HYPERLINK("https://www.ebay.com/sch/i.html?_nkw=Professor+Turo+s+Scenario+Ultra+League+Ball+Paradox+Rift+171+pokemon+card&amp;_sacat=0&amp;_from=R40&amp;_trksid=p4624852.m570.l1313&amp;mkcid=1&amp;mkrid=711-53200-19255-0&amp;siteid=0&amp;campid=5339158445&amp;customid=pokecottage&amp;toolid=10001&amp;mkevt=1","FIND ON EBAY")</f>
        <v>FIND ON EBAY</v>
      </c>
      <c r="G542" s="5"/>
      <c r="H542" s="7"/>
    </row>
    <row r="543" customFormat="false" ht="30" hidden="false" customHeight="true" outlineLevel="0" collapsed="false">
      <c r="A543" s="4" t="s">
        <v>6</v>
      </c>
      <c r="B543" s="5" t="s">
        <v>185</v>
      </c>
      <c r="C543" s="6" t="str">
        <f aca="false">HYPERLINK("https://partner.tcgplayer.com/c/6278691/1780961/21018?u=https%3A%2F%2Fwww.tcgplayer.com%2Fproduct%2F577587%3Futm_source%3Dimpact%26utm_medium%3Daffiliate%26utm_campaign%3Dpoke%2Bcottage","Professor Turo's Scenario")</f>
        <v>Professor Turo's Scenario</v>
      </c>
      <c r="D543" s="5" t="s">
        <v>319</v>
      </c>
      <c r="E543" s="5"/>
      <c r="F543" s="5"/>
      <c r="G543" s="5"/>
      <c r="H543" s="7"/>
    </row>
    <row r="544" customFormat="false" ht="30" hidden="false" customHeight="true" outlineLevel="0" collapsed="false">
      <c r="A544" s="4" t="s">
        <v>6</v>
      </c>
      <c r="B544" s="5" t="s">
        <v>185</v>
      </c>
      <c r="C544" s="6" t="str">
        <f aca="false">HYPERLINK("https://partner.tcgplayer.com/c/6278691/1780961/21018?u=https%3A%2F%2Fwww.tcgplayer.com%2Fproduct%2F658742%3Futm_source%3Dimpact%26utm_medium%3Daffiliate%26utm_campaign%3Dpoke%2Bcottage","Professor Turo's Scenario")</f>
        <v>Professor Turo's Scenario</v>
      </c>
      <c r="D544" s="5" t="s">
        <v>340</v>
      </c>
      <c r="E544" s="5"/>
      <c r="F544" s="5"/>
      <c r="G544" s="5"/>
      <c r="H544" s="7"/>
    </row>
    <row r="545" customFormat="false" ht="30" hidden="false" customHeight="true" outlineLevel="0" collapsed="false">
      <c r="A545" s="4" t="s">
        <v>6</v>
      </c>
      <c r="B545" s="5" t="s">
        <v>185</v>
      </c>
      <c r="C545" s="6" t="str">
        <f aca="false">HYPERLINK("https://partner.tcgplayer.com/c/6278691/1780961/21018?u=https%3A%2F%2Fwww.tcgplayer.com%2Fproduct%2F577587%3Futm_source%3Dimpact%26utm_medium%3Daffiliate%26utm_campaign%3Dpoke%2Bcottage","Professor Turo's Scenario")</f>
        <v>Professor Turo's Scenario</v>
      </c>
      <c r="D545" s="5" t="s">
        <v>327</v>
      </c>
      <c r="E545" s="5"/>
      <c r="F545" s="5"/>
      <c r="G545" s="5"/>
      <c r="H545" s="7"/>
    </row>
    <row r="546" customFormat="false" ht="30" hidden="false" customHeight="true" outlineLevel="0" collapsed="false">
      <c r="A546" s="4" t="s">
        <v>6</v>
      </c>
      <c r="B546" s="5" t="s">
        <v>185</v>
      </c>
      <c r="C546" s="5" t="s">
        <v>344</v>
      </c>
      <c r="D546" s="5" t="s">
        <v>323</v>
      </c>
      <c r="E546" s="5"/>
      <c r="F546" s="5" t="str">
        <f aca="false">HYPERLINK("https://www.ebay.com/sch/i.html?_nkw=Professor+Turo+s+Scenario+World+Championships+Deck+2025+Joltdengo+by+Liao+Fu+Guan+Paradox+Rift+171+pokemon+card&amp;_sacat=0&amp;_from=R40&amp;_trksid=p4624852.m570.l1313&amp;mkcid=1&amp;mkrid=711-53200-19255-0&amp;siteid=0&amp;campid=5339158445&amp;customid=pokecottage&amp;toolid=10001&amp;mkevt=1","FIND ON EBAY")</f>
        <v>FIND ON EBAY</v>
      </c>
      <c r="G546" s="5"/>
      <c r="H546" s="7"/>
    </row>
    <row r="547" customFormat="false" ht="30" hidden="false" customHeight="true" outlineLevel="0" collapsed="false">
      <c r="A547" s="4" t="s">
        <v>6</v>
      </c>
      <c r="B547" s="5" t="s">
        <v>185</v>
      </c>
      <c r="C547" s="5" t="s">
        <v>344</v>
      </c>
      <c r="D547" s="5" t="s">
        <v>338</v>
      </c>
      <c r="E547" s="5"/>
      <c r="F547" s="5" t="str">
        <f aca="false">HYPERLINK("https://www.ebay.com/sch/i.html?_nkw=Professor+Turo+s+Scenario+World+Championships+Deck+2025+JP+Raging+Bolt+by+Yuya+Okita+Paradox+Rift+171+pokemon+card&amp;_sacat=0&amp;_from=R40&amp;_trksid=p4624852.m570.l1313&amp;mkcid=1&amp;mkrid=711-53200-19255-0&amp;siteid=0&amp;campid=5339158445&amp;customid=pokecottage&amp;toolid=10001&amp;mkevt=1","FIND ON EBAY")</f>
        <v>FIND ON EBAY</v>
      </c>
      <c r="G547" s="5"/>
      <c r="H547" s="7"/>
    </row>
    <row r="548" customFormat="false" ht="30" hidden="false" customHeight="true" outlineLevel="0" collapsed="false">
      <c r="A548" s="4" t="s">
        <v>6</v>
      </c>
      <c r="B548" s="5" t="s">
        <v>190</v>
      </c>
      <c r="C548" s="6" t="str">
        <f aca="false">HYPERLINK("https://partner.tcgplayer.com/c/6278691/1780961/21018?u=https%3A%2F%2Fwww.tcgplayer.com%2Fproduct%2F619168%3Futm_source%3Dimpact%26utm_medium%3Daffiliate%26utm_campaign%3Dpoke%2Bcottage","Technical Machine: Blindside")</f>
        <v>Technical Machine: Blindside</v>
      </c>
      <c r="D548" s="5" t="s">
        <v>327</v>
      </c>
      <c r="E548" s="5"/>
      <c r="F548" s="5"/>
      <c r="G548" s="5"/>
      <c r="H548" s="7"/>
    </row>
    <row r="549" customFormat="false" ht="30" hidden="false" customHeight="true" outlineLevel="0" collapsed="false">
      <c r="A549" s="4" t="s">
        <v>6</v>
      </c>
      <c r="B549" s="5" t="s">
        <v>191</v>
      </c>
      <c r="C549" s="6" t="str">
        <f aca="false">HYPERLINK("https://partner.tcgplayer.com/c/6278691/1780961/21018?u=https%3A%2F%2Fwww.tcgplayer.com%2Fproduct%2F577591%3Futm_source%3Dimpact%26utm_medium%3Daffiliate%26utm_campaign%3Dpoke%2Bcottage","Technical Machine: Devolution")</f>
        <v>Technical Machine: Devolution</v>
      </c>
      <c r="D549" s="5" t="s">
        <v>327</v>
      </c>
      <c r="E549" s="5"/>
      <c r="F549" s="5"/>
      <c r="G549" s="5"/>
      <c r="H549" s="7"/>
    </row>
    <row r="550" customFormat="false" ht="30" hidden="false" customHeight="true" outlineLevel="0" collapsed="false">
      <c r="A550" s="4" t="s">
        <v>6</v>
      </c>
      <c r="B550" s="5" t="s">
        <v>191</v>
      </c>
      <c r="C550" s="5" t="s">
        <v>346</v>
      </c>
      <c r="D550" s="5" t="s">
        <v>325</v>
      </c>
      <c r="E550" s="5"/>
      <c r="F550" s="5" t="str">
        <f aca="false">HYPERLINK("https://www.ebay.com/sch/i.html?_nkw=Technical+Machine+Devolution+World+Championships+Deck+2025+Flutter+Devo+Gardevoir+by+Riley+McKay+Paradox+Rift+177+pokemon+card&amp;_sacat=0&amp;_from=R40&amp;_trksid=p4624852.m570.l1313&amp;mkcid=1&amp;mkrid=711-53200-19255-0&amp;siteid=0&amp;campid=5339158445&amp;customid=pokecottage&amp;toolid=10001&amp;mkevt=1","FIND ON EBAY")</f>
        <v>FIND ON EBAY</v>
      </c>
      <c r="G550" s="5"/>
      <c r="H550" s="7"/>
    </row>
    <row r="551" customFormat="false" ht="30" hidden="false" customHeight="true" outlineLevel="0" collapsed="false">
      <c r="A551" s="4" t="s">
        <v>6</v>
      </c>
      <c r="B551" s="5" t="s">
        <v>192</v>
      </c>
      <c r="C551" s="6" t="str">
        <f aca="false">HYPERLINK("https://partner.tcgplayer.com/c/6278691/1780961/21018?u=https%3A%2F%2Fwww.tcgplayer.com%2Fproduct%2F577592%3Futm_source%3Dimpact%26utm_medium%3Daffiliate%26utm_campaign%3Dpoke%2Bcottage","Technical Machine: Evolution")</f>
        <v>Technical Machine: Evolution</v>
      </c>
      <c r="D551" s="5" t="s">
        <v>347</v>
      </c>
      <c r="E551" s="5"/>
      <c r="F551" s="5"/>
      <c r="G551" s="5"/>
      <c r="H551" s="7"/>
    </row>
    <row r="552" customFormat="false" ht="30" hidden="false" customHeight="true" outlineLevel="0" collapsed="false">
      <c r="A552" s="4" t="s">
        <v>6</v>
      </c>
      <c r="B552" s="5" t="s">
        <v>192</v>
      </c>
      <c r="C552" s="6" t="str">
        <f aca="false">HYPERLINK("https://partner.tcgplayer.com/c/6278691/1780961/21018?u=https%3A%2F%2Fwww.tcgplayer.com%2Fproduct%2F577592%3Futm_source%3Dimpact%26utm_medium%3Daffiliate%26utm_campaign%3Dpoke%2Bcottage","Technical Machine: Evolution")</f>
        <v>Technical Machine: Evolution</v>
      </c>
      <c r="D552" s="5" t="s">
        <v>327</v>
      </c>
      <c r="E552" s="5"/>
      <c r="F552" s="5"/>
      <c r="G552" s="5"/>
      <c r="H552" s="7"/>
    </row>
    <row r="553" customFormat="false" ht="30" hidden="false" customHeight="true" outlineLevel="0" collapsed="false">
      <c r="A553" s="4" t="s">
        <v>6</v>
      </c>
      <c r="B553" s="5" t="s">
        <v>192</v>
      </c>
      <c r="C553" s="5" t="s">
        <v>348</v>
      </c>
      <c r="D553" s="5" t="s">
        <v>325</v>
      </c>
      <c r="E553" s="5"/>
      <c r="F553" s="5" t="str">
        <f aca="false">HYPERLINK("https://www.ebay.com/sch/i.html?_nkw=Technical+Machine+Evolution+World+Championships+Deck+2025+Flutter+Devo+Gardevoir+by+Riley+McKay+Paradox+Rift+178+pokemon+card&amp;_sacat=0&amp;_from=R40&amp;_trksid=p4624852.m570.l1313&amp;mkcid=1&amp;mkrid=711-53200-19255-0&amp;siteid=0&amp;campid=5339158445&amp;customid=pokecottage&amp;toolid=10001&amp;mkevt=1","FIND ON EBAY")</f>
        <v>FIND ON EBAY</v>
      </c>
      <c r="G553" s="5"/>
      <c r="H553" s="7"/>
    </row>
    <row r="554" customFormat="false" ht="30" hidden="false" customHeight="true" outlineLevel="0" collapsed="false">
      <c r="A554" s="4" t="s">
        <v>6</v>
      </c>
      <c r="B554" s="5" t="s">
        <v>193</v>
      </c>
      <c r="C554" s="6" t="str">
        <f aca="false">HYPERLINK("https://partner.tcgplayer.com/c/6278691/1780961/21018?u=https%3A%2F%2Fwww.tcgplayer.com%2Fproduct%2F619170%3Futm_source%3Dimpact%26utm_medium%3Daffiliate%26utm_campaign%3Dpoke%2Bcottage","Technical Machine: Turbo Energize")</f>
        <v>Technical Machine: Turbo Energize</v>
      </c>
      <c r="D554" s="5" t="s">
        <v>327</v>
      </c>
      <c r="E554" s="5"/>
      <c r="F554" s="5"/>
      <c r="G554" s="5"/>
      <c r="H554" s="7"/>
    </row>
    <row r="555" customFormat="false" ht="30" hidden="false" customHeight="true" outlineLevel="0" collapsed="false">
      <c r="A555" s="4" t="s">
        <v>6</v>
      </c>
      <c r="B555" s="5" t="s">
        <v>193</v>
      </c>
      <c r="C555" s="6" t="str">
        <f aca="false">HYPERLINK("https://partner.tcgplayer.com/c/6278691/1780961/21018?u=https%3A%2F%2Fwww.tcgplayer.com%2Fproduct%2F637546%3Futm_source%3Dimpact%26utm_medium%3Daffiliate%26utm_campaign%3Dpoke%2Bcottage","Technical Machine: Turbo Energize")</f>
        <v>Technical Machine: Turbo Energize</v>
      </c>
      <c r="D555" s="5" t="s">
        <v>336</v>
      </c>
      <c r="E555" s="5"/>
      <c r="F555" s="5"/>
      <c r="G555" s="5"/>
      <c r="H555" s="7"/>
    </row>
    <row r="556" customFormat="false" ht="30" hidden="false" customHeight="true" outlineLevel="0" collapsed="false">
      <c r="A556" s="4" t="s">
        <v>6</v>
      </c>
      <c r="B556" s="5" t="s">
        <v>194</v>
      </c>
      <c r="C556" s="6" t="str">
        <f aca="false">HYPERLINK("https://partner.tcgplayer.com/c/6278691/1780961/21018?u=https%3A%2F%2Fwww.tcgplayer.com%2Fproduct%2F577593%3Futm_source%3Dimpact%26utm_medium%3Daffiliate%26utm_campaign%3Dpoke%2Bcottage","Techno Radar")</f>
        <v>Techno Radar</v>
      </c>
      <c r="D556" s="5" t="s">
        <v>319</v>
      </c>
      <c r="E556" s="5"/>
      <c r="F556" s="5"/>
      <c r="G556" s="5"/>
      <c r="H556" s="7"/>
    </row>
    <row r="557" customFormat="false" ht="30" hidden="false" customHeight="true" outlineLevel="0" collapsed="false">
      <c r="A557" s="4" t="s">
        <v>6</v>
      </c>
      <c r="B557" s="5" t="s">
        <v>194</v>
      </c>
      <c r="C557" s="6" t="str">
        <f aca="false">HYPERLINK("https://partner.tcgplayer.com/c/6278691/1780961/21018?u=https%3A%2F%2Fwww.tcgplayer.com%2Fproduct%2F577593%3Futm_source%3Dimpact%26utm_medium%3Daffiliate%26utm_campaign%3Dpoke%2Bcottage","Techno Radar")</f>
        <v>Techno Radar</v>
      </c>
      <c r="D557" s="5" t="s">
        <v>327</v>
      </c>
      <c r="E557" s="5"/>
      <c r="F557" s="5"/>
      <c r="G557" s="5"/>
      <c r="H557" s="7"/>
    </row>
    <row r="558" customFormat="false" ht="30" hidden="false" customHeight="true" outlineLevel="0" collapsed="false">
      <c r="A558" s="4" t="s">
        <v>6</v>
      </c>
      <c r="B558" s="5" t="s">
        <v>194</v>
      </c>
      <c r="C558" s="6" t="str">
        <f aca="false">HYPERLINK("https://partner.tcgplayer.com/c/6278691/1780961/21018?u=https%3A%2F%2Fwww.tcgplayer.com%2Fproduct%2F637544%3Futm_source%3Dimpact%26utm_medium%3Daffiliate%26utm_campaign%3Dpoke%2Bcottage","Techno Radar")</f>
        <v>Techno Radar</v>
      </c>
      <c r="D558" s="5" t="s">
        <v>336</v>
      </c>
      <c r="E558" s="5"/>
      <c r="F558" s="5"/>
      <c r="G558" s="5"/>
      <c r="H558" s="7"/>
    </row>
    <row r="559" customFormat="false" ht="30" hidden="false" customHeight="true" outlineLevel="0" collapsed="false">
      <c r="A559" s="4" t="s">
        <v>6</v>
      </c>
      <c r="B559" s="5" t="s">
        <v>195</v>
      </c>
      <c r="C559" s="6" t="str">
        <f aca="false">HYPERLINK("https://partner.tcgplayer.com/c/6278691/1780961/21018?u=https%3A%2F%2Fwww.tcgplayer.com%2Fproduct%2F577594%3Futm_source%3Dimpact%26utm_medium%3Daffiliate%26utm_campaign%3Dpoke%2Bcottage","Tulip")</f>
        <v>Tulip</v>
      </c>
      <c r="D559" s="5" t="s">
        <v>319</v>
      </c>
      <c r="E559" s="5"/>
      <c r="F559" s="5"/>
      <c r="G559" s="5"/>
      <c r="H559" s="7"/>
    </row>
    <row r="560" customFormat="false" ht="30" hidden="false" customHeight="true" outlineLevel="0" collapsed="false">
      <c r="A560" s="4" t="s">
        <v>6</v>
      </c>
      <c r="B560" s="5" t="s">
        <v>205</v>
      </c>
      <c r="C560" s="6" t="str">
        <f aca="false">HYPERLINK("https://partner.tcgplayer.com/c/6278691/1780961/21018?u=https%3A%2F%2Fwww.tcgplayer.com%2Fproduct%2F650957%3Futm_source%3Dimpact%26utm_medium%3Daffiliate%26utm_campaign%3Dpoke%2Bcottage","Vanillish")</f>
        <v>Vanillish</v>
      </c>
      <c r="D560" s="5" t="s">
        <v>349</v>
      </c>
      <c r="E560" s="5"/>
      <c r="F560" s="5"/>
      <c r="G560" s="5"/>
      <c r="H560" s="7"/>
    </row>
    <row r="561" customFormat="false" ht="30" hidden="false" customHeight="true" outlineLevel="0" collapsed="false">
      <c r="A561" s="4" t="s">
        <v>6</v>
      </c>
      <c r="B561" s="5" t="s">
        <v>251</v>
      </c>
      <c r="C561" s="5" t="s">
        <v>350</v>
      </c>
      <c r="D561" s="5" t="s">
        <v>340</v>
      </c>
      <c r="E561" s="5"/>
      <c r="F561" s="5" t="str">
        <f aca="false">HYPERLINK("https://www.ebay.com/sch/i.html?_nkw=Larry+Professor+Program+Paradox+Rift+235+pokemon+card&amp;_sacat=0&amp;_from=R40&amp;_trksid=p4624852.m570.l1313&amp;mkcid=1&amp;mkrid=711-53200-19255-0&amp;siteid=0&amp;campid=5339158445&amp;customid=pokecottage&amp;toolid=10001&amp;mkevt=1","FIND ON EBAY")</f>
        <v>FIND ON EBAY</v>
      </c>
      <c r="G561" s="5"/>
      <c r="H561" s="7"/>
    </row>
    <row r="562" customFormat="false" ht="30" hidden="false" customHeight="true" outlineLevel="0" collapsed="false">
      <c r="A562" s="4" t="s">
        <v>6</v>
      </c>
      <c r="B562" s="5" t="s">
        <v>260</v>
      </c>
      <c r="C562" s="5" t="s">
        <v>351</v>
      </c>
      <c r="D562" s="5" t="s">
        <v>340</v>
      </c>
      <c r="E562" s="5"/>
      <c r="F562" s="5" t="str">
        <f aca="false">HYPERLINK("https://www.ebay.com/sch/i.html?_nkw=Tulip+Professor+Program+Paradox+Rift+244+pokemon+card&amp;_sacat=0&amp;_from=R40&amp;_trksid=p4624852.m570.l1313&amp;mkcid=1&amp;mkrid=711-53200-19255-0&amp;siteid=0&amp;campid=5339158445&amp;customid=pokecottage&amp;toolid=10001&amp;mkevt=1","FIND ON EBAY")</f>
        <v>FIND ON EBAY</v>
      </c>
      <c r="G562" s="5"/>
      <c r="H562" s="7"/>
    </row>
    <row r="564" customFormat="false" ht="24" hidden="false" customHeight="true" outlineLevel="0" collapsed="false">
      <c r="A564" s="8" t="s">
        <v>352</v>
      </c>
      <c r="B564" s="8"/>
      <c r="C564" s="8"/>
      <c r="D564" s="8"/>
      <c r="E564" s="8"/>
      <c r="F564" s="8"/>
      <c r="G564" s="8"/>
      <c r="H564" s="8"/>
    </row>
    <row r="565" customFormat="false" ht="24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</row>
  </sheetData>
  <mergeCells count="2">
    <mergeCell ref="A430:H430"/>
    <mergeCell ref="A564:H565"/>
  </mergeCells>
  <dataValidations count="1">
    <dataValidation allowBlank="false" errorStyle="stop" operator="between" showDropDown="false" showErrorMessage="false" showInputMessage="false" sqref="A2:A562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353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HYPERLINK("https://pokecottage.com/paradox-rift-master-set-guide","Download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354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355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356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354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355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