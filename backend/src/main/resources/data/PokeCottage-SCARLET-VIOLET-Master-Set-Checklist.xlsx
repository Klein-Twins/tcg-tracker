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arlet &amp; Violet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<sst xmlns="http://schemas.openxmlformats.org/spreadsheetml/2006/main" count="2601" uniqueCount="406">
  <si>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</si>
  <si>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</si>
  <si>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</si>
  <si>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</si>
  <si>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</si>
  <si>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</si>
  <si>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</si>
  <si>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001/198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</si>
  <si>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</si>
  <si>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</si>
  <si>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</si>
  <si>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</si>
  <si>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002/198</t>
  </si>
  <si>
    <t xml:space="preserve">Uncommon</t>
  </si>
  <si>
    <t xml:space="preserve">003/198</t>
  </si>
  <si>
    <t xml:space="preserve">004/198</t>
  </si>
  <si>
    <t xml:space="preserve">005/198</t>
  </si>
  <si>
    <t xml:space="preserve">006/198</t>
  </si>
  <si>
    <t xml:space="preserve">007/198</t>
  </si>
  <si>
    <t xml:space="preserve">008/198</t>
  </si>
  <si>
    <t xml:space="preserve">009/198</t>
  </si>
  <si>
    <t xml:space="preserve">010/198</t>
  </si>
  <si>
    <t xml:space="preserve">011/198</t>
  </si>
  <si>
    <t xml:space="preserve">012/198</t>
  </si>
  <si>
    <t xml:space="preserve">013/198</t>
  </si>
  <si>
    <t xml:space="preserve">014/198</t>
  </si>
  <si>
    <t xml:space="preserve">015/198</t>
  </si>
  <si>
    <t xml:space="preserve">Rare</t>
  </si>
  <si>
    <t xml:space="preserve">Holo</t>
  </si>
  <si>
    <t xml:space="preserve">016/198</t>
  </si>
  <si>
    <t xml:space="preserve">017/198</t>
  </si>
  <si>
    <t xml:space="preserve">018/198</t>
  </si>
  <si>
    <t xml:space="preserve">019/198</t>
  </si>
  <si>
    <t xml:space="preserve">Double Rare</t>
  </si>
  <si>
    <t xml:space="preserve">020/198</t>
  </si>
  <si>
    <t xml:space="preserve">021/198</t>
  </si>
  <si>
    <t xml:space="preserve">022/198</t>
  </si>
  <si>
    <t xml:space="preserve">023/198</t>
  </si>
  <si>
    <t xml:space="preserve">024/198</t>
  </si>
  <si>
    <t xml:space="preserve">025/198</t>
  </si>
  <si>
    <t xml:space="preserve">026/198</t>
  </si>
  <si>
    <t xml:space="preserve">027/198</t>
  </si>
  <si>
    <t xml:space="preserve">028/198</t>
  </si>
  <si>
    <t xml:space="preserve">029/198</t>
  </si>
  <si>
    <t xml:space="preserve">030/198</t>
  </si>
  <si>
    <t xml:space="preserve">031/198</t>
  </si>
  <si>
    <t xml:space="preserve">032/198</t>
  </si>
  <si>
    <t xml:space="preserve">033/198</t>
  </si>
  <si>
    <t xml:space="preserve">034/198</t>
  </si>
  <si>
    <t xml:space="preserve">035/198</t>
  </si>
  <si>
    <t xml:space="preserve">036/198</t>
  </si>
  <si>
    <t xml:space="preserve">037/198</t>
  </si>
  <si>
    <t xml:space="preserve">038/198</t>
  </si>
  <si>
    <t xml:space="preserve">039/198</t>
  </si>
  <si>
    <t xml:space="preserve">040/198</t>
  </si>
  <si>
    <t xml:space="preserve">041/198</t>
  </si>
  <si>
    <t xml:space="preserve">042/198</t>
  </si>
  <si>
    <t xml:space="preserve">043/198</t>
  </si>
  <si>
    <t xml:space="preserve">044/198</t>
  </si>
  <si>
    <t xml:space="preserve">045/198</t>
  </si>
  <si>
    <t xml:space="preserve">046/198</t>
  </si>
  <si>
    <t xml:space="preserve">047/198</t>
  </si>
  <si>
    <t xml:space="preserve">048/198</t>
  </si>
  <si>
    <t xml:space="preserve">049/198</t>
  </si>
  <si>
    <t xml:space="preserve">050/198</t>
  </si>
  <si>
    <t xml:space="preserve">051/198</t>
  </si>
  <si>
    <t xml:space="preserve">052/198</t>
  </si>
  <si>
    <t xml:space="preserve">053/198</t>
  </si>
  <si>
    <t xml:space="preserve">054/198</t>
  </si>
  <si>
    <t xml:space="preserve">055/198</t>
  </si>
  <si>
    <t xml:space="preserve">056/198</t>
  </si>
  <si>
    <t xml:space="preserve">057/198</t>
  </si>
  <si>
    <t xml:space="preserve">058/198</t>
  </si>
  <si>
    <t xml:space="preserve">059/198</t>
  </si>
  <si>
    <t xml:space="preserve">060/198</t>
  </si>
  <si>
    <t xml:space="preserve">061/198</t>
  </si>
  <si>
    <t xml:space="preserve">062/198</t>
  </si>
  <si>
    <t xml:space="preserve">063/198</t>
  </si>
  <si>
    <t xml:space="preserve">064/198</t>
  </si>
  <si>
    <t xml:space="preserve">065/198</t>
  </si>
  <si>
    <t xml:space="preserve">066/198</t>
  </si>
  <si>
    <t xml:space="preserve">067/198</t>
  </si>
  <si>
    <t xml:space="preserve">068/198</t>
  </si>
  <si>
    <t xml:space="preserve">069/198</t>
  </si>
  <si>
    <t xml:space="preserve">070/198</t>
  </si>
  <si>
    <t xml:space="preserve">071/198</t>
  </si>
  <si>
    <t xml:space="preserve">072/198</t>
  </si>
  <si>
    <t xml:space="preserve">073/198</t>
  </si>
  <si>
    <t xml:space="preserve">074/198</t>
  </si>
  <si>
    <t xml:space="preserve">075/198</t>
  </si>
  <si>
    <t xml:space="preserve">076/198</t>
  </si>
  <si>
    <t xml:space="preserve">077/198</t>
  </si>
  <si>
    <t xml:space="preserve">078/198</t>
  </si>
  <si>
    <t xml:space="preserve">079/198</t>
  </si>
  <si>
    <t xml:space="preserve">080/198</t>
  </si>
  <si>
    <t xml:space="preserve">081/198</t>
  </si>
  <si>
    <t xml:space="preserve">082/198</t>
  </si>
  <si>
    <t xml:space="preserve">083/198</t>
  </si>
  <si>
    <t xml:space="preserve">084/198</t>
  </si>
  <si>
    <t xml:space="preserve">085/198</t>
  </si>
  <si>
    <t xml:space="preserve">086/198</t>
  </si>
  <si>
    <t xml:space="preserve">087/198</t>
  </si>
  <si>
    <t xml:space="preserve">088/198</t>
  </si>
  <si>
    <t xml:space="preserve">089/198</t>
  </si>
  <si>
    <t xml:space="preserve">090/198</t>
  </si>
  <si>
    <t xml:space="preserve">091/198</t>
  </si>
  <si>
    <t xml:space="preserve">092/198</t>
  </si>
  <si>
    <t xml:space="preserve">093/198</t>
  </si>
  <si>
    <t xml:space="preserve">094/198</t>
  </si>
  <si>
    <t xml:space="preserve">095/198</t>
  </si>
  <si>
    <t xml:space="preserve">096/198</t>
  </si>
  <si>
    <t xml:space="preserve">097/198</t>
  </si>
  <si>
    <t xml:space="preserve">098/198</t>
  </si>
  <si>
    <t xml:space="preserve">099/198</t>
  </si>
  <si>
    <t xml:space="preserve">100/198</t>
  </si>
  <si>
    <t xml:space="preserve">101/198</t>
  </si>
  <si>
    <t xml:space="preserve">102/198</t>
  </si>
  <si>
    <t xml:space="preserve">103/198</t>
  </si>
  <si>
    <t xml:space="preserve">104/198</t>
  </si>
  <si>
    <t xml:space="preserve">105/198</t>
  </si>
  <si>
    <t xml:space="preserve">106/198</t>
  </si>
  <si>
    <t xml:space="preserve">107/198</t>
  </si>
  <si>
    <t xml:space="preserve">108/198</t>
  </si>
  <si>
    <t xml:space="preserve">109/198</t>
  </si>
  <si>
    <t xml:space="preserve">110/198</t>
  </si>
  <si>
    <t xml:space="preserve">111/198</t>
  </si>
  <si>
    <t xml:space="preserve">112/198</t>
  </si>
  <si>
    <t xml:space="preserve">113/198</t>
  </si>
  <si>
    <t xml:space="preserve">114/198</t>
  </si>
  <si>
    <t xml:space="preserve">115/198</t>
  </si>
  <si>
    <t xml:space="preserve">116/198</t>
  </si>
  <si>
    <t xml:space="preserve">117/198</t>
  </si>
  <si>
    <t xml:space="preserve">118/198</t>
  </si>
  <si>
    <t xml:space="preserve">119/198</t>
  </si>
  <si>
    <t xml:space="preserve">120/198</t>
  </si>
  <si>
    <t xml:space="preserve">121/198</t>
  </si>
  <si>
    <t xml:space="preserve">122/198</t>
  </si>
  <si>
    <t xml:space="preserve">123/198</t>
  </si>
  <si>
    <t xml:space="preserve">124/198</t>
  </si>
  <si>
    <t xml:space="preserve">125/198</t>
  </si>
  <si>
    <t xml:space="preserve">126/198</t>
  </si>
  <si>
    <t xml:space="preserve">127/198</t>
  </si>
  <si>
    <t xml:space="preserve">128/198</t>
  </si>
  <si>
    <t xml:space="preserve">129/198</t>
  </si>
  <si>
    <t xml:space="preserve">130/198</t>
  </si>
  <si>
    <t xml:space="preserve">131/198</t>
  </si>
  <si>
    <t xml:space="preserve">132/198</t>
  </si>
  <si>
    <t xml:space="preserve">133/198</t>
  </si>
  <si>
    <t xml:space="preserve">134/198</t>
  </si>
  <si>
    <t xml:space="preserve">135/198</t>
  </si>
  <si>
    <t xml:space="preserve">136/198</t>
  </si>
  <si>
    <t xml:space="preserve">137/198</t>
  </si>
  <si>
    <t xml:space="preserve">138/198</t>
  </si>
  <si>
    <t xml:space="preserve">139/198</t>
  </si>
  <si>
    <t xml:space="preserve">140/198</t>
  </si>
  <si>
    <t xml:space="preserve">141/198</t>
  </si>
  <si>
    <t xml:space="preserve">142/198</t>
  </si>
  <si>
    <t xml:space="preserve">143/198</t>
  </si>
  <si>
    <t xml:space="preserve">144/198</t>
  </si>
  <si>
    <t xml:space="preserve">145/198</t>
  </si>
  <si>
    <t xml:space="preserve">146/198</t>
  </si>
  <si>
    <t xml:space="preserve">147/198</t>
  </si>
  <si>
    <t xml:space="preserve">148/198</t>
  </si>
  <si>
    <t xml:space="preserve">149/198</t>
  </si>
  <si>
    <t xml:space="preserve">150/198</t>
  </si>
  <si>
    <t xml:space="preserve">151/198</t>
  </si>
  <si>
    <t xml:space="preserve">152/198</t>
  </si>
  <si>
    <t xml:space="preserve">153/198</t>
  </si>
  <si>
    <t xml:space="preserve">154/198</t>
  </si>
  <si>
    <t xml:space="preserve">155/198</t>
  </si>
  <si>
    <t xml:space="preserve">156/198</t>
  </si>
  <si>
    <t xml:space="preserve">157/198</t>
  </si>
  <si>
    <t xml:space="preserve">158/198</t>
  </si>
  <si>
    <t xml:space="preserve">159/198</t>
  </si>
  <si>
    <t xml:space="preserve">160/198</t>
  </si>
  <si>
    <t xml:space="preserve">161/198</t>
  </si>
  <si>
    <t xml:space="preserve">162/198</t>
  </si>
  <si>
    <t xml:space="preserve">163/198</t>
  </si>
  <si>
    <t xml:space="preserve">164/198</t>
  </si>
  <si>
    <t xml:space="preserve">165/198</t>
  </si>
  <si>
    <t xml:space="preserve">166/198</t>
  </si>
  <si>
    <t xml:space="preserve">167/198</t>
  </si>
  <si>
    <t xml:space="preserve">168/198</t>
  </si>
  <si>
    <t xml:space="preserve">169/198</t>
  </si>
  <si>
    <t xml:space="preserve">170/198</t>
  </si>
  <si>
    <t xml:space="preserve">171/198</t>
  </si>
  <si>
    <t xml:space="preserve">172/198</t>
  </si>
  <si>
    <t xml:space="preserve">173/198</t>
  </si>
  <si>
    <t xml:space="preserve">174/198</t>
  </si>
  <si>
    <t xml:space="preserve">175/198</t>
  </si>
  <si>
    <t xml:space="preserve">176/198</t>
  </si>
  <si>
    <t xml:space="preserve">177/198</t>
  </si>
  <si>
    <t xml:space="preserve">178/198</t>
  </si>
  <si>
    <t xml:space="preserve">179/198</t>
  </si>
  <si>
    <t xml:space="preserve">180/198</t>
  </si>
  <si>
    <t xml:space="preserve">181/198</t>
  </si>
  <si>
    <t xml:space="preserve">182/198</t>
  </si>
  <si>
    <t xml:space="preserve">183/198</t>
  </si>
  <si>
    <t xml:space="preserve">184/198</t>
  </si>
  <si>
    <t xml:space="preserve">185/198</t>
  </si>
  <si>
    <t xml:space="preserve">186/198</t>
  </si>
  <si>
    <t xml:space="preserve">187/198</t>
  </si>
  <si>
    <t xml:space="preserve">188/198</t>
  </si>
  <si>
    <t xml:space="preserve">189/198</t>
  </si>
  <si>
    <t xml:space="preserve">190/198</t>
  </si>
  <si>
    <t xml:space="preserve">191/198</t>
  </si>
  <si>
    <t xml:space="preserve">192/198</t>
  </si>
  <si>
    <t xml:space="preserve">193/198</t>
  </si>
  <si>
    <t xml:space="preserve">194/198</t>
  </si>
  <si>
    <t xml:space="preserve">195/198</t>
  </si>
  <si>
    <t xml:space="preserve">196/198</t>
  </si>
  <si>
    <t xml:space="preserve">197/198</t>
  </si>
  <si>
    <t xml:space="preserve">198/198</t>
  </si>
  <si>
    <t xml:space="preserve">199/198</t>
  </si>
  <si>
    <t xml:space="preserve">Illustration Rare</t>
  </si>
  <si>
    <t xml:space="preserve">200/198</t>
  </si>
  <si>
    <t xml:space="preserve">201/198</t>
  </si>
  <si>
    <t xml:space="preserve">202/198</t>
  </si>
  <si>
    <t xml:space="preserve">203/198</t>
  </si>
  <si>
    <t xml:space="preserve">204/198</t>
  </si>
  <si>
    <t xml:space="preserve">205/198</t>
  </si>
  <si>
    <t xml:space="preserve">206/198</t>
  </si>
  <si>
    <t xml:space="preserve">207/198</t>
  </si>
  <si>
    <t xml:space="preserve">208/198</t>
  </si>
  <si>
    <t xml:space="preserve">209/198</t>
  </si>
  <si>
    <t xml:space="preserve">210/198</t>
  </si>
  <si>
    <t xml:space="preserve">211/198</t>
  </si>
  <si>
    <t xml:space="preserve">212/198</t>
  </si>
  <si>
    <t xml:space="preserve">213/198</t>
  </si>
  <si>
    <t xml:space="preserve">214/198</t>
  </si>
  <si>
    <t xml:space="preserve">215/198</t>
  </si>
  <si>
    <t xml:space="preserve">216/198</t>
  </si>
  <si>
    <t xml:space="preserve">217/198</t>
  </si>
  <si>
    <t xml:space="preserve">218/198</t>
  </si>
  <si>
    <t xml:space="preserve">219/198</t>
  </si>
  <si>
    <t xml:space="preserve">220/198</t>
  </si>
  <si>
    <t xml:space="preserve">221/198</t>
  </si>
  <si>
    <t xml:space="preserve">222/198</t>
  </si>
  <si>
    <t xml:space="preserve">223/198</t>
  </si>
  <si>
    <t xml:space="preserve">Ultra Rare</t>
  </si>
  <si>
    <t xml:space="preserve">224/198</t>
  </si>
  <si>
    <t xml:space="preserve">225/198</t>
  </si>
  <si>
    <t xml:space="preserve">226/198</t>
  </si>
  <si>
    <t xml:space="preserve">227/198</t>
  </si>
  <si>
    <t xml:space="preserve">228/198</t>
  </si>
  <si>
    <t xml:space="preserve">229/198</t>
  </si>
  <si>
    <t xml:space="preserve">230/198</t>
  </si>
  <si>
    <t xml:space="preserve">231/198</t>
  </si>
  <si>
    <t xml:space="preserve">232/198</t>
  </si>
  <si>
    <t xml:space="preserve">233/198</t>
  </si>
  <si>
    <t xml:space="preserve">234/198</t>
  </si>
  <si>
    <t xml:space="preserve">235/198</t>
  </si>
  <si>
    <t xml:space="preserve">236/198</t>
  </si>
  <si>
    <t xml:space="preserve">237/198</t>
  </si>
  <si>
    <t xml:space="preserve">238/198</t>
  </si>
  <si>
    <t xml:space="preserve">239/198</t>
  </si>
  <si>
    <t xml:space="preserve">240/198</t>
  </si>
  <si>
    <t xml:space="preserve">241/198</t>
  </si>
  <si>
    <t xml:space="preserve">242/198</t>
  </si>
  <si>
    <t xml:space="preserve">243/198</t>
  </si>
  <si>
    <t xml:space="preserve">Special Illustration Rare</t>
  </si>
  <si>
    <t xml:space="preserve">244/198</t>
  </si>
  <si>
    <t xml:space="preserve">245/198</t>
  </si>
  <si>
    <t xml:space="preserve">246/198</t>
  </si>
  <si>
    <t xml:space="preserve">247/198</t>
  </si>
  <si>
    <t xml:space="preserve">248/198</t>
  </si>
  <si>
    <t xml:space="preserve">249/198</t>
  </si>
  <si>
    <t xml:space="preserve">250/198</t>
  </si>
  <si>
    <t xml:space="preserve">251/198</t>
  </si>
  <si>
    <t xml:space="preserve">252/198</t>
  </si>
  <si>
    <t xml:space="preserve">253/198</t>
  </si>
  <si>
    <t xml:space="preserve">Hyper Rare</t>
  </si>
  <si>
    <t xml:space="preserve">254/198</t>
  </si>
  <si>
    <t xml:space="preserve">255/198</t>
  </si>
  <si>
    <t xml:space="preserve">256/198</t>
  </si>
  <si>
    <t xml:space="preserve">257/198</t>
  </si>
  <si>
    <t xml:space="preserve">258/198</t>
  </si>
  <si>
    <t xml:space="preserve">Promos &amp; Variants - Optional</t>
  </si>
  <si>
    <t xml:space="preserve">SVP 001</t>
  </si>
  <si>
    <t xml:space="preserve">Sprigatito Paldea Collection</t>
  </si>
  <si>
    <t xml:space="preserve">SVP 002</t>
  </si>
  <si>
    <t xml:space="preserve">Fuecoco Paldea Collection</t>
  </si>
  <si>
    <t xml:space="preserve">SVP 003</t>
  </si>
  <si>
    <t xml:space="preserve">Quaxly Paldea Collection</t>
  </si>
  <si>
    <t xml:space="preserve">SVP 004</t>
  </si>
  <si>
    <t xml:space="preserve">Play! Pokémon</t>
  </si>
  <si>
    <t xml:space="preserve">Mimikyu ex Box</t>
  </si>
  <si>
    <t xml:space="preserve">SVP 005</t>
  </si>
  <si>
    <t xml:space="preserve">Build &amp; Battle Box</t>
  </si>
  <si>
    <t xml:space="preserve">Prerelease - STAFF</t>
  </si>
  <si>
    <t xml:space="preserve">SVP 006</t>
  </si>
  <si>
    <t xml:space="preserve">SVP 007</t>
  </si>
  <si>
    <t xml:space="preserve">SVP 008</t>
  </si>
  <si>
    <t xml:space="preserve">SVP 009</t>
  </si>
  <si>
    <t xml:space="preserve">Scarlet &amp; Violet Blister</t>
  </si>
  <si>
    <t xml:space="preserve">SVP 010</t>
  </si>
  <si>
    <t xml:space="preserve">SVP 011</t>
  </si>
  <si>
    <t xml:space="preserve">SVP 012</t>
  </si>
  <si>
    <t xml:space="preserve">SVP 013</t>
  </si>
  <si>
    <t xml:space="preserve">Elite Trainer Box Promo</t>
  </si>
  <si>
    <t xml:space="preserve">Pokemon Center ETB Promo</t>
  </si>
  <si>
    <t xml:space="preserve">SVP 014</t>
  </si>
  <si>
    <t xml:space="preserve">SVP 015</t>
  </si>
  <si>
    <t xml:space="preserve">Ampharos ex League Battle Deck</t>
  </si>
  <si>
    <t xml:space="preserve">SVP 016</t>
  </si>
  <si>
    <t xml:space="preserve">SVP 017</t>
  </si>
  <si>
    <t xml:space="preserve">Lucario ex League Battle Deck</t>
  </si>
  <si>
    <t xml:space="preserve">SVP 018</t>
  </si>
  <si>
    <t xml:space="preserve">Cyclizar ex Box</t>
  </si>
  <si>
    <t xml:space="preserve">Sprigatito</t>
  </si>
  <si>
    <t xml:space="preserve">Beginner's Session</t>
  </si>
  <si>
    <t xml:space="preserve">Cosmos Holo</t>
  </si>
  <si>
    <t xml:space="preserve">Starlight Holo</t>
  </si>
  <si>
    <t xml:space="preserve">Non-Holo</t>
  </si>
  <si>
    <t xml:space="preserve">Vertical Line Holo</t>
  </si>
  <si>
    <t xml:space="preserve">Battle Academy 2024: Armarouge Deck Stamp 21</t>
  </si>
  <si>
    <t xml:space="preserve">Battle Academy 2024: Armarouge Deck Stamp 39</t>
  </si>
  <si>
    <t xml:space="preserve">Battle Academy 2024: Armarouge Deck Stamp 7</t>
  </si>
  <si>
    <t xml:space="preserve">Battle Academy 2024: Armarouge Deck Stamp 23</t>
  </si>
  <si>
    <t xml:space="preserve">Battle Academy 2024: Armarouge Deck Stamp 27</t>
  </si>
  <si>
    <t xml:space="preserve">Trick or Trade 2023</t>
  </si>
  <si>
    <t xml:space="preserve">Battle Academy 2024: Armarouge Deck Stamp 4</t>
  </si>
  <si>
    <t xml:space="preserve">Battle Academy 2024: Armarouge Deck Stamp 53</t>
  </si>
  <si>
    <t xml:space="preserve">Fuecoco</t>
  </si>
  <si>
    <t xml:space="preserve">Battle Academy 2024: Armarouge Deck</t>
  </si>
  <si>
    <t xml:space="preserve">Quaxly</t>
  </si>
  <si>
    <t xml:space="preserve">Play! Pokémon (Cosmos Holo)</t>
  </si>
  <si>
    <t xml:space="preserve">Battle Academy 2024: Pikachu Deck</t>
  </si>
  <si>
    <t xml:space="preserve">Battle Academy 2024: Pikachu Deck Stamp 17</t>
  </si>
  <si>
    <t xml:space="preserve">Battle Academy 2024: Pikachu Deck Stamp 58</t>
  </si>
  <si>
    <t xml:space="preserve">Jumbo (Expansion Stamp)</t>
  </si>
  <si>
    <t xml:space="preserve">Jumbo (Redacted)</t>
  </si>
  <si>
    <t xml:space="preserve">Miraidon ex</t>
  </si>
  <si>
    <t xml:space="preserve">Pokémon TCG Gym</t>
  </si>
  <si>
    <t xml:space="preserve">World Championships Deck 2024: The 'Don by Jesse Parker</t>
  </si>
  <si>
    <t xml:space="preserve">World Championships Deck 2024: The 'Don by Jesse Parker (Gold Signature)</t>
  </si>
  <si>
    <t xml:space="preserve">World Championships Deck 2025: Joltdengo by Liao Fu Guan</t>
  </si>
  <si>
    <t xml:space="preserve">Ralts</t>
  </si>
  <si>
    <t xml:space="preserve">World Championships Deck 2025: Flutter Devo Gardevoir by Riley McKay</t>
  </si>
  <si>
    <t xml:space="preserve">Kirlia</t>
  </si>
  <si>
    <t xml:space="preserve">World Championships Deck 2023: Psychic Elegance by Tord Reklev</t>
  </si>
  <si>
    <t xml:space="preserve">Gardevoir ex</t>
  </si>
  <si>
    <t xml:space="preserve">World Championships Deck 2025: Flutter Devo Gardevoir by Riley McKay (Gold Signature)</t>
  </si>
  <si>
    <t xml:space="preserve">Jumbo</t>
  </si>
  <si>
    <t xml:space="preserve">Expansion Stamp</t>
  </si>
  <si>
    <t xml:space="preserve">Hawlucha</t>
  </si>
  <si>
    <t xml:space="preserve">World Championships Deck 2024: Regidrago VSTAR by Evan Pavelski</t>
  </si>
  <si>
    <t xml:space="preserve">World Championships Deck 2025: Pult Bomb by Jose Cruz Galindo-Resendiz</t>
  </si>
  <si>
    <t xml:space="preserve">EB Games</t>
  </si>
  <si>
    <t xml:space="preserve">GameStop</t>
  </si>
  <si>
    <t xml:space="preserve">Pokémon Center</t>
  </si>
  <si>
    <t xml:space="preserve">Battle Academy 2024: Darkrai Deck</t>
  </si>
  <si>
    <t xml:space="preserve">Regional Championships</t>
  </si>
  <si>
    <t xml:space="preserve">Regional Championships (Staff)</t>
  </si>
  <si>
    <t xml:space="preserve">Arven</t>
  </si>
  <si>
    <t xml:space="preserve">Hong Kong National Championships</t>
  </si>
  <si>
    <t xml:space="preserve">Malaysia National Championships</t>
  </si>
  <si>
    <t xml:space="preserve">Philippines National Championships</t>
  </si>
  <si>
    <t xml:space="preserve">Singapore National Championships</t>
  </si>
  <si>
    <t xml:space="preserve">Beach Court</t>
  </si>
  <si>
    <t xml:space="preserve">World Championships Deck 2024: Crushing Thorn by Fernando Cifuentes</t>
  </si>
  <si>
    <t xml:space="preserve">World Championships Deck 2024: Ancient Toolbox by Sakuya Ota</t>
  </si>
  <si>
    <t xml:space="preserve">Electric Generator</t>
  </si>
  <si>
    <t xml:space="preserve">World Championships Deck 2025: JP Raging Bolt by Yuya Okita</t>
  </si>
  <si>
    <t xml:space="preserve">Professor Program</t>
  </si>
  <si>
    <t xml:space="preserve">World Championships Deck 2023: Mew's Revenge by Vance Kelley</t>
  </si>
  <si>
    <t xml:space="preserve">Miriam</t>
  </si>
  <si>
    <t xml:space="preserve">Battle Academy 2024: Armarouge Deck Stamp 28</t>
  </si>
  <si>
    <t xml:space="preserve">Battle Academy 2024: Armarouge Deck Stamp 41</t>
  </si>
  <si>
    <t xml:space="preserve">Battle Academy 2024: Armarouge Deck Stamp 52</t>
  </si>
  <si>
    <t xml:space="preserve">Battle Academy 2024: Armarouge Deck Stamp 57</t>
  </si>
  <si>
    <t xml:space="preserve">Battle Academy 2024: Pikachu Deck Stamp 13</t>
  </si>
  <si>
    <t xml:space="preserve">Battle Academy 2024: Pikachu Deck Stamp 33</t>
  </si>
  <si>
    <t xml:space="preserve">Battle Academy 2024: Pikachu Deck Stamp 42</t>
  </si>
  <si>
    <t xml:space="preserve">Battle Academy 2024: Pikachu Deck Stamp 54</t>
  </si>
  <si>
    <t xml:space="preserve">Nest Ball</t>
  </si>
  <si>
    <t xml:space="preserve">Europe Championships</t>
  </si>
  <si>
    <t xml:space="preserve">Europe Championships (Staff)</t>
  </si>
  <si>
    <t xml:space="preserve">Europe Championships (Top 8)</t>
  </si>
  <si>
    <t xml:space="preserve">Europe Championships (Champion)</t>
  </si>
  <si>
    <t xml:space="preserve">North America Championships</t>
  </si>
  <si>
    <t xml:space="preserve">North America Championships (Staff)</t>
  </si>
  <si>
    <t xml:space="preserve">North America Championships (Top 8)</t>
  </si>
  <si>
    <t xml:space="preserve">North America Championships (Champion)</t>
  </si>
  <si>
    <t xml:space="preserve">World Championships Deck 2023: Colorless Lugia by Gabriel Fernandez</t>
  </si>
  <si>
    <t xml:space="preserve">World Championships Deck 2023: Lost Box Kyogre by Shao Tong Yen</t>
  </si>
  <si>
    <t xml:space="preserve">Battle Academy 2024: Armarouge Deck Stamp 25</t>
  </si>
  <si>
    <t xml:space="preserve">Battle Academy 2024: Armarouge Deck Stamp 37</t>
  </si>
  <si>
    <t xml:space="preserve">Battle Academy 2024: Pikachu Deck Stamp 15</t>
  </si>
  <si>
    <t xml:space="preserve">Battle Academy 2024: Pikachu Deck Stamp 18</t>
  </si>
  <si>
    <t xml:space="preserve">Battle Academy 2024: Armarouge Deck Stamp 40</t>
  </si>
  <si>
    <t xml:space="preserve">Battle Academy 2024: Armarouge Deck Stamp 58</t>
  </si>
  <si>
    <t xml:space="preserve">Battle Academy 2024: Pikachu Deck Stamp 36</t>
  </si>
  <si>
    <t xml:space="preserve">Battle Academy 2024: Pikachu Deck Stamp 52</t>
  </si>
  <si>
    <t xml:space="preserve">Battle Academy 2024: Armarouge Deck Stamp 18</t>
  </si>
  <si>
    <t xml:space="preserve">Battle Academy 2024: Armarouge Deck Stamp 50</t>
  </si>
  <si>
    <t xml:space="preserve">Battle Academy 2024: Armarouge Deck Stamp 59</t>
  </si>
  <si>
    <t xml:space="preserve">Battle Academy 2024: Pikachu Deck Stamp 21</t>
  </si>
  <si>
    <t xml:space="preserve">Battle Academy 2024: Pikachu Deck Stamp 50</t>
  </si>
  <si>
    <t xml:space="preserve">Battle Academy 2024: Pikachu Deck Stamp 59</t>
  </si>
  <si>
    <t xml:space="preserve">Katy</t>
  </si>
  <si>
    <t xml:space="preserve">This checklist contains affiliate links for which I may be compensated.</t>
  </si>
  <si>
    <t xml:space="preserve">Want free Scarlet &amp; Violet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</si>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</sst>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IFERROR((COUNTIF(A2:A445,"☑"))/((COUNTIF(A2:A445,"☑"))+(COUNTIF(A2:A445,"☐"))),0)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HYPERLINK("https://partner.tcgplayer.com/c/6278691/1780961/21018?u=https%3A%2F%2Fwww.tcgplayer.com%2Fproduct%2F487828%3Futm_source%3Dimpact%26utm_medium%3Daffiliate%26utm_campaign%3Dpoke%2Bcottage","Pineco")</f>
        <v>Pineco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IFERROR(COUNTIF(A2:A708,"☑")/(COUNTIF(A2:A708,"☑")+COUNTIF(A2:A708,"☐")),0)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HYPERLINK("https://partner.tcgplayer.com/c/6278691/1780961/21018?u=https%3A%2F%2Fwww.tcgplayer.com%2Fproduct%2F487828%3Futm_source%3Dimpact%26utm_medium%3Daffiliate%26utm_campaign%3Dpoke%2Bcottage","Pineco")</f>
        <v>Pineco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12</v>
      </c>
      <c r="C4" s="6" t="str">
        <f aca="false">HYPERLINK("https://partner.tcgplayer.com/c/6278691/1780961/21018?u=https%3A%2F%2Fwww.tcgplayer.com%2Fproduct%2F487831%3Futm_source%3Dimpact%26utm_medium%3Daffiliate%26utm_campaign%3Dpoke%2Bcottage","Heracross")</f>
        <v>Heracross</v>
      </c>
      <c r="D4" s="5" t="s">
        <v>13</v>
      </c>
      <c r="E4" s="5" t="s">
        <v>9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12</v>
      </c>
      <c r="C5" s="6" t="str">
        <f aca="false">HYPERLINK("https://partner.tcgplayer.com/c/6278691/1780961/21018?u=https%3A%2F%2Fwww.tcgplayer.com%2Fproduct%2F487831%3Futm_source%3Dimpact%26utm_medium%3Daffiliate%26utm_campaign%3Dpoke%2Bcottage","Heracross")</f>
        <v>Heracross</v>
      </c>
      <c r="D5" s="5" t="s">
        <v>13</v>
      </c>
      <c r="E5" s="5" t="s">
        <v>11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14</v>
      </c>
      <c r="C6" s="6" t="str">
        <f aca="false">HYPERLINK("https://partner.tcgplayer.com/c/6278691/1780961/21018?u=https%3A%2F%2Fwww.tcgplayer.com%2Fproduct%2F487832%3Futm_source%3Dimpact%26utm_medium%3Daffiliate%26utm_campaign%3Dpoke%2Bcottage","Shroomish")</f>
        <v>Shroomish</v>
      </c>
      <c r="D6" s="5" t="s">
        <v>8</v>
      </c>
      <c r="E6" s="5" t="s">
        <v>9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14</v>
      </c>
      <c r="C7" s="6" t="str">
        <f aca="false">HYPERLINK("https://partner.tcgplayer.com/c/6278691/1780961/21018?u=https%3A%2F%2Fwww.tcgplayer.com%2Fproduct%2F487832%3Futm_source%3Dimpact%26utm_medium%3Daffiliate%26utm_campaign%3Dpoke%2Bcottage","Shroomish")</f>
        <v>Shroomish</v>
      </c>
      <c r="D7" s="5" t="s">
        <v>8</v>
      </c>
      <c r="E7" s="5" t="s">
        <v>11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15</v>
      </c>
      <c r="C8" s="6" t="str">
        <f aca="false">HYPERLINK("https://partner.tcgplayer.com/c/6278691/1780961/21018?u=https%3A%2F%2Fwww.tcgplayer.com%2Fproduct%2F487833%3Futm_source%3Dimpact%26utm_medium%3Daffiliate%26utm_campaign%3Dpoke%2Bcottage","Breloom")</f>
        <v>Breloom</v>
      </c>
      <c r="D8" s="5" t="s">
        <v>13</v>
      </c>
      <c r="E8" s="5" t="s">
        <v>9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15</v>
      </c>
      <c r="C9" s="6" t="str">
        <f aca="false">HYPERLINK("https://partner.tcgplayer.com/c/6278691/1780961/21018?u=https%3A%2F%2Fwww.tcgplayer.com%2Fproduct%2F487833%3Futm_source%3Dimpact%26utm_medium%3Daffiliate%26utm_campaign%3Dpoke%2Bcottage","Breloom")</f>
        <v>Breloom</v>
      </c>
      <c r="D9" s="5" t="s">
        <v>13</v>
      </c>
      <c r="E9" s="5" t="s">
        <v>11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16</v>
      </c>
      <c r="C10" s="6" t="str">
        <f aca="false">HYPERLINK("https://partner.tcgplayer.com/c/6278691/1780961/21018?u=https%3A%2F%2Fwww.tcgplayer.com%2Fproduct%2F487834%3Futm_source%3Dimpact%26utm_medium%3Daffiliate%26utm_campaign%3Dpoke%2Bcottage","Cacnea")</f>
        <v>Cacnea</v>
      </c>
      <c r="D10" s="5" t="s">
        <v>8</v>
      </c>
      <c r="E10" s="5" t="s">
        <v>9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16</v>
      </c>
      <c r="C11" s="6" t="str">
        <f aca="false">HYPERLINK("https://partner.tcgplayer.com/c/6278691/1780961/21018?u=https%3A%2F%2Fwww.tcgplayer.com%2Fproduct%2F487834%3Futm_source%3Dimpact%26utm_medium%3Daffiliate%26utm_campaign%3Dpoke%2Bcottage","Cacnea")</f>
        <v>Cacnea</v>
      </c>
      <c r="D11" s="5" t="s">
        <v>8</v>
      </c>
      <c r="E11" s="5" t="s">
        <v>11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17</v>
      </c>
      <c r="C12" s="6" t="str">
        <f aca="false">HYPERLINK("https://partner.tcgplayer.com/c/6278691/1780961/21018?u=https%3A%2F%2Fwww.tcgplayer.com%2Fproduct%2F487836%3Futm_source%3Dimpact%26utm_medium%3Daffiliate%26utm_campaign%3Dpoke%2Bcottage","Cacturne")</f>
        <v>Cacturne</v>
      </c>
      <c r="D12" s="5" t="s">
        <v>13</v>
      </c>
      <c r="E12" s="5" t="s">
        <v>9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17</v>
      </c>
      <c r="C13" s="6" t="str">
        <f aca="false">HYPERLINK("https://partner.tcgplayer.com/c/6278691/1780961/21018?u=https%3A%2F%2Fwww.tcgplayer.com%2Fproduct%2F487836%3Futm_source%3Dimpact%26utm_medium%3Daffiliate%26utm_campaign%3Dpoke%2Bcottage","Cacturne")</f>
        <v>Cacturne</v>
      </c>
      <c r="D13" s="5" t="s">
        <v>13</v>
      </c>
      <c r="E13" s="5" t="s">
        <v>11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18</v>
      </c>
      <c r="C14" s="6" t="str">
        <f aca="false">HYPERLINK("https://partner.tcgplayer.com/c/6278691/1780961/21018?u=https%3A%2F%2Fwww.tcgplayer.com%2Fproduct%2F487838%3Futm_source%3Dimpact%26utm_medium%3Daffiliate%26utm_campaign%3Dpoke%2Bcottage","Tropius")</f>
        <v>Tropius</v>
      </c>
      <c r="D14" s="5" t="s">
        <v>8</v>
      </c>
      <c r="E14" s="5" t="s">
        <v>9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18</v>
      </c>
      <c r="C15" s="6" t="str">
        <f aca="false">HYPERLINK("https://partner.tcgplayer.com/c/6278691/1780961/21018?u=https%3A%2F%2Fwww.tcgplayer.com%2Fproduct%2F487838%3Futm_source%3Dimpact%26utm_medium%3Daffiliate%26utm_campaign%3Dpoke%2Bcottage","Tropius")</f>
        <v>Tropius</v>
      </c>
      <c r="D15" s="5" t="s">
        <v>8</v>
      </c>
      <c r="E15" s="5" t="s">
        <v>11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19</v>
      </c>
      <c r="C16" s="6" t="str">
        <f aca="false">HYPERLINK("https://partner.tcgplayer.com/c/6278691/1780961/21018?u=https%3A%2F%2Fwww.tcgplayer.com%2Fproduct%2F487839%3Futm_source%3Dimpact%26utm_medium%3Daffiliate%26utm_campaign%3Dpoke%2Bcottage","Scatterbug")</f>
        <v>Scatterbug</v>
      </c>
      <c r="D16" s="5" t="s">
        <v>8</v>
      </c>
      <c r="E16" s="5" t="s">
        <v>9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19</v>
      </c>
      <c r="C17" s="6" t="str">
        <f aca="false">HYPERLINK("https://partner.tcgplayer.com/c/6278691/1780961/21018?u=https%3A%2F%2Fwww.tcgplayer.com%2Fproduct%2F487839%3Futm_source%3Dimpact%26utm_medium%3Daffiliate%26utm_campaign%3Dpoke%2Bcottage","Scatterbug")</f>
        <v>Scatterbug</v>
      </c>
      <c r="D17" s="5" t="s">
        <v>8</v>
      </c>
      <c r="E17" s="5" t="s">
        <v>11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20</v>
      </c>
      <c r="C18" s="6" t="str">
        <f aca="false">HYPERLINK("https://partner.tcgplayer.com/c/6278691/1780961/21018?u=https%3A%2F%2Fwww.tcgplayer.com%2Fproduct%2F487840%3Futm_source%3Dimpact%26utm_medium%3Daffiliate%26utm_campaign%3Dpoke%2Bcottage","Spewpa")</f>
        <v>Spewpa</v>
      </c>
      <c r="D18" s="5" t="s">
        <v>8</v>
      </c>
      <c r="E18" s="5" t="s">
        <v>9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20</v>
      </c>
      <c r="C19" s="6" t="str">
        <f aca="false">HYPERLINK("https://partner.tcgplayer.com/c/6278691/1780961/21018?u=https%3A%2F%2Fwww.tcgplayer.com%2Fproduct%2F487840%3Futm_source%3Dimpact%26utm_medium%3Daffiliate%26utm_campaign%3Dpoke%2Bcottage","Spewpa")</f>
        <v>Spewpa</v>
      </c>
      <c r="D19" s="5" t="s">
        <v>8</v>
      </c>
      <c r="E19" s="5" t="s">
        <v>11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21</v>
      </c>
      <c r="C20" s="6" t="str">
        <f aca="false">HYPERLINK("https://partner.tcgplayer.com/c/6278691/1780961/21018?u=https%3A%2F%2Fwww.tcgplayer.com%2Fproduct%2F487842%3Futm_source%3Dimpact%26utm_medium%3Daffiliate%26utm_campaign%3Dpoke%2Bcottage","Vivillon")</f>
        <v>Vivillon</v>
      </c>
      <c r="D20" s="5" t="s">
        <v>13</v>
      </c>
      <c r="E20" s="5" t="s">
        <v>9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21</v>
      </c>
      <c r="C21" s="6" t="str">
        <f aca="false">HYPERLINK("https://partner.tcgplayer.com/c/6278691/1780961/21018?u=https%3A%2F%2Fwww.tcgplayer.com%2Fproduct%2F487842%3Futm_source%3Dimpact%26utm_medium%3Daffiliate%26utm_campaign%3Dpoke%2Bcottage","Vivillon")</f>
        <v>Vivillon</v>
      </c>
      <c r="D21" s="5" t="s">
        <v>13</v>
      </c>
      <c r="E21" s="5" t="s">
        <v>11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22</v>
      </c>
      <c r="C22" s="6" t="str">
        <f aca="false">HYPERLINK("https://partner.tcgplayer.com/c/6278691/1780961/21018?u=https%3A%2F%2Fwww.tcgplayer.com%2Fproduct%2F487053%3Futm_source%3Dimpact%26utm_medium%3Daffiliate%26utm_campaign%3Dpoke%2Bcottage","Skiddo")</f>
        <v>Skiddo</v>
      </c>
      <c r="D22" s="5" t="s">
        <v>8</v>
      </c>
      <c r="E22" s="5" t="s">
        <v>9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22</v>
      </c>
      <c r="C23" s="6" t="str">
        <f aca="false">HYPERLINK("https://partner.tcgplayer.com/c/6278691/1780961/21018?u=https%3A%2F%2Fwww.tcgplayer.com%2Fproduct%2F487053%3Futm_source%3Dimpact%26utm_medium%3Daffiliate%26utm_campaign%3Dpoke%2Bcottage","Skiddo")</f>
        <v>Skiddo</v>
      </c>
      <c r="D23" s="5" t="s">
        <v>8</v>
      </c>
      <c r="E23" s="5" t="s">
        <v>11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23</v>
      </c>
      <c r="C24" s="6" t="str">
        <f aca="false">HYPERLINK("https://partner.tcgplayer.com/c/6278691/1780961/21018?u=https%3A%2F%2Fwww.tcgplayer.com%2Fproduct%2F487843%3Futm_source%3Dimpact%26utm_medium%3Daffiliate%26utm_campaign%3Dpoke%2Bcottage","Gogoat")</f>
        <v>Gogoat</v>
      </c>
      <c r="D24" s="5" t="s">
        <v>8</v>
      </c>
      <c r="E24" s="5" t="s">
        <v>9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23</v>
      </c>
      <c r="C25" s="6" t="str">
        <f aca="false">HYPERLINK("https://partner.tcgplayer.com/c/6278691/1780961/21018?u=https%3A%2F%2Fwww.tcgplayer.com%2Fproduct%2F487843%3Futm_source%3Dimpact%26utm_medium%3Daffiliate%26utm_campaign%3Dpoke%2Bcottage","Gogoat")</f>
        <v>Gogoat</v>
      </c>
      <c r="D25" s="5" t="s">
        <v>8</v>
      </c>
      <c r="E25" s="5" t="s">
        <v>11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24</v>
      </c>
      <c r="C26" s="6" t="str">
        <f aca="false">HYPERLINK("https://partner.tcgplayer.com/c/6278691/1780961/21018?u=https%3A%2F%2Fwww.tcgplayer.com%2Fproduct%2F475417%3Futm_source%3Dimpact%26utm_medium%3Daffiliate%26utm_campaign%3Dpoke%2Bcottage","Sprigatito")</f>
        <v>Sprigatito</v>
      </c>
      <c r="D26" s="5" t="s">
        <v>8</v>
      </c>
      <c r="E26" s="5" t="s">
        <v>9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24</v>
      </c>
      <c r="C27" s="6" t="str">
        <f aca="false">HYPERLINK("https://partner.tcgplayer.com/c/6278691/1780961/21018?u=https%3A%2F%2Fwww.tcgplayer.com%2Fproduct%2F475417%3Futm_source%3Dimpact%26utm_medium%3Daffiliate%26utm_campaign%3Dpoke%2Bcottage","Sprigatito")</f>
        <v>Sprigatito</v>
      </c>
      <c r="D27" s="5" t="s">
        <v>8</v>
      </c>
      <c r="E27" s="5" t="s">
        <v>11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25</v>
      </c>
      <c r="C28" s="6" t="str">
        <f aca="false">HYPERLINK("https://partner.tcgplayer.com/c/6278691/1780961/21018?u=https%3A%2F%2Fwww.tcgplayer.com%2Fproduct%2F487846%3Futm_source%3Dimpact%26utm_medium%3Daffiliate%26utm_campaign%3Dpoke%2Bcottage","Floragato")</f>
        <v>Floragato</v>
      </c>
      <c r="D28" s="5" t="s">
        <v>13</v>
      </c>
      <c r="E28" s="5" t="s">
        <v>9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25</v>
      </c>
      <c r="C29" s="6" t="str">
        <f aca="false">HYPERLINK("https://partner.tcgplayer.com/c/6278691/1780961/21018?u=https%3A%2F%2Fwww.tcgplayer.com%2Fproduct%2F487846%3Futm_source%3Dimpact%26utm_medium%3Daffiliate%26utm_campaign%3Dpoke%2Bcottage","Floragato")</f>
        <v>Floragato</v>
      </c>
      <c r="D29" s="5" t="s">
        <v>13</v>
      </c>
      <c r="E29" s="5" t="s">
        <v>11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26</v>
      </c>
      <c r="C30" s="6" t="str">
        <f aca="false">HYPERLINK("https://partner.tcgplayer.com/c/6278691/1780961/21018?u=https%3A%2F%2Fwww.tcgplayer.com%2Fproduct%2F487848%3Futm_source%3Dimpact%26utm_medium%3Daffiliate%26utm_campaign%3Dpoke%2Bcottage","Meowscarada")</f>
        <v>Meowscarada</v>
      </c>
      <c r="D30" s="5" t="s">
        <v>27</v>
      </c>
      <c r="E30" s="5" t="s">
        <v>28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26</v>
      </c>
      <c r="C31" s="6" t="str">
        <f aca="false">HYPERLINK("https://partner.tcgplayer.com/c/6278691/1780961/21018?u=https%3A%2F%2Fwww.tcgplayer.com%2Fproduct%2F487848%3Futm_source%3Dimpact%26utm_medium%3Daffiliate%26utm_campaign%3Dpoke%2Bcottage","Meowscarada")</f>
        <v>Meowscarada</v>
      </c>
      <c r="D31" s="5" t="s">
        <v>27</v>
      </c>
      <c r="E31" s="5" t="s">
        <v>11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29</v>
      </c>
      <c r="C32" s="6" t="str">
        <f aca="false">HYPERLINK("https://partner.tcgplayer.com/c/6278691/1780961/21018?u=https%3A%2F%2Fwww.tcgplayer.com%2Fproduct%2F487851%3Futm_source%3Dimpact%26utm_medium%3Daffiliate%26utm_campaign%3Dpoke%2Bcottage","Tarountula")</f>
        <v>Tarountula</v>
      </c>
      <c r="D32" s="5" t="s">
        <v>8</v>
      </c>
      <c r="E32" s="5" t="s">
        <v>9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29</v>
      </c>
      <c r="C33" s="6" t="str">
        <f aca="false">HYPERLINK("https://partner.tcgplayer.com/c/6278691/1780961/21018?u=https%3A%2F%2Fwww.tcgplayer.com%2Fproduct%2F487851%3Futm_source%3Dimpact%26utm_medium%3Daffiliate%26utm_campaign%3Dpoke%2Bcottage","Tarountula")</f>
        <v>Tarountula</v>
      </c>
      <c r="D33" s="5" t="s">
        <v>8</v>
      </c>
      <c r="E33" s="5" t="s">
        <v>11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30</v>
      </c>
      <c r="C34" s="6" t="str">
        <f aca="false">HYPERLINK("https://partner.tcgplayer.com/c/6278691/1780961/21018?u=https%3A%2F%2Fwww.tcgplayer.com%2Fproduct%2F487854%3Futm_source%3Dimpact%26utm_medium%3Daffiliate%26utm_campaign%3Dpoke%2Bcottage","Tarountula")</f>
        <v>Tarountula</v>
      </c>
      <c r="D34" s="5" t="s">
        <v>8</v>
      </c>
      <c r="E34" s="5" t="s">
        <v>9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30</v>
      </c>
      <c r="C35" s="6" t="str">
        <f aca="false">HYPERLINK("https://partner.tcgplayer.com/c/6278691/1780961/21018?u=https%3A%2F%2Fwww.tcgplayer.com%2Fproduct%2F487854%3Futm_source%3Dimpact%26utm_medium%3Daffiliate%26utm_campaign%3Dpoke%2Bcottage","Tarountula")</f>
        <v>Tarountula</v>
      </c>
      <c r="D35" s="5" t="s">
        <v>8</v>
      </c>
      <c r="E35" s="5" t="s">
        <v>11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31</v>
      </c>
      <c r="C36" s="6" t="str">
        <f aca="false">HYPERLINK("https://partner.tcgplayer.com/c/6278691/1780961/21018?u=https%3A%2F%2Fwww.tcgplayer.com%2Fproduct%2F487855%3Futm_source%3Dimpact%26utm_medium%3Daffiliate%26utm_campaign%3Dpoke%2Bcottage","Tarountula")</f>
        <v>Tarountula</v>
      </c>
      <c r="D36" s="5" t="s">
        <v>8</v>
      </c>
      <c r="E36" s="5" t="s">
        <v>9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31</v>
      </c>
      <c r="C37" s="6" t="str">
        <f aca="false">HYPERLINK("https://partner.tcgplayer.com/c/6278691/1780961/21018?u=https%3A%2F%2Fwww.tcgplayer.com%2Fproduct%2F487855%3Futm_source%3Dimpact%26utm_medium%3Daffiliate%26utm_campaign%3Dpoke%2Bcottage","Tarountula")</f>
        <v>Tarountula</v>
      </c>
      <c r="D37" s="5" t="s">
        <v>8</v>
      </c>
      <c r="E37" s="5" t="s">
        <v>11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32</v>
      </c>
      <c r="C38" s="6" t="str">
        <f aca="false">HYPERLINK("https://partner.tcgplayer.com/c/6278691/1780961/21018?u=https%3A%2F%2Fwww.tcgplayer.com%2Fproduct%2F487856%3Futm_source%3Dimpact%26utm_medium%3Daffiliate%26utm_campaign%3Dpoke%2Bcottage","Spidops ex")</f>
        <v>Spidops ex</v>
      </c>
      <c r="D38" s="5" t="s">
        <v>33</v>
      </c>
      <c r="E38" s="5" t="s">
        <v>28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34</v>
      </c>
      <c r="C39" s="6" t="str">
        <f aca="false">HYPERLINK("https://partner.tcgplayer.com/c/6278691/1780961/21018?u=https%3A%2F%2Fwww.tcgplayer.com%2Fproduct%2F487857%3Futm_source%3Dimpact%26utm_medium%3Daffiliate%26utm_campaign%3Dpoke%2Bcottage","Smoliv")</f>
        <v>Smoliv</v>
      </c>
      <c r="D39" s="5" t="s">
        <v>8</v>
      </c>
      <c r="E39" s="5" t="s">
        <v>9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34</v>
      </c>
      <c r="C40" s="6" t="str">
        <f aca="false">HYPERLINK("https://partner.tcgplayer.com/c/6278691/1780961/21018?u=https%3A%2F%2Fwww.tcgplayer.com%2Fproduct%2F487857%3Futm_source%3Dimpact%26utm_medium%3Daffiliate%26utm_campaign%3Dpoke%2Bcottage","Smoliv")</f>
        <v>Smoliv</v>
      </c>
      <c r="D40" s="5" t="s">
        <v>8</v>
      </c>
      <c r="E40" s="5" t="s">
        <v>11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35</v>
      </c>
      <c r="C41" s="6" t="str">
        <f aca="false">HYPERLINK("https://partner.tcgplayer.com/c/6278691/1780961/21018?u=https%3A%2F%2Fwww.tcgplayer.com%2Fproduct%2F487858%3Futm_source%3Dimpact%26utm_medium%3Daffiliate%26utm_campaign%3Dpoke%2Bcottage","Smoliv")</f>
        <v>Smoliv</v>
      </c>
      <c r="D41" s="5" t="s">
        <v>8</v>
      </c>
      <c r="E41" s="5" t="s">
        <v>9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35</v>
      </c>
      <c r="C42" s="6" t="str">
        <f aca="false">HYPERLINK("https://partner.tcgplayer.com/c/6278691/1780961/21018?u=https%3A%2F%2Fwww.tcgplayer.com%2Fproduct%2F487858%3Futm_source%3Dimpact%26utm_medium%3Daffiliate%26utm_campaign%3Dpoke%2Bcottage","Smoliv")</f>
        <v>Smoliv</v>
      </c>
      <c r="D42" s="5" t="s">
        <v>8</v>
      </c>
      <c r="E42" s="5" t="s">
        <v>11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36</v>
      </c>
      <c r="C43" s="6" t="str">
        <f aca="false">HYPERLINK("https://partner.tcgplayer.com/c/6278691/1780961/21018?u=https%3A%2F%2Fwww.tcgplayer.com%2Fproduct%2F487859%3Futm_source%3Dimpact%26utm_medium%3Daffiliate%26utm_campaign%3Dpoke%2Bcottage","Dolliv")</f>
        <v>Dolliv</v>
      </c>
      <c r="D43" s="5" t="s">
        <v>8</v>
      </c>
      <c r="E43" s="5" t="s">
        <v>9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36</v>
      </c>
      <c r="C44" s="6" t="str">
        <f aca="false">HYPERLINK("https://partner.tcgplayer.com/c/6278691/1780961/21018?u=https%3A%2F%2Fwww.tcgplayer.com%2Fproduct%2F487859%3Futm_source%3Dimpact%26utm_medium%3Daffiliate%26utm_campaign%3Dpoke%2Bcottage","Dolliv")</f>
        <v>Dolliv</v>
      </c>
      <c r="D44" s="5" t="s">
        <v>8</v>
      </c>
      <c r="E44" s="5" t="s">
        <v>11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37</v>
      </c>
      <c r="C45" s="6" t="str">
        <f aca="false">HYPERLINK("https://partner.tcgplayer.com/c/6278691/1780961/21018?u=https%3A%2F%2Fwww.tcgplayer.com%2Fproduct%2F487860%3Futm_source%3Dimpact%26utm_medium%3Daffiliate%26utm_campaign%3Dpoke%2Bcottage","Arboliva")</f>
        <v>Arboliva</v>
      </c>
      <c r="D45" s="5" t="s">
        <v>27</v>
      </c>
      <c r="E45" s="5" t="s">
        <v>28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37</v>
      </c>
      <c r="C46" s="6" t="str">
        <f aca="false">HYPERLINK("https://partner.tcgplayer.com/c/6278691/1780961/21018?u=https%3A%2F%2Fwww.tcgplayer.com%2Fproduct%2F487860%3Futm_source%3Dimpact%26utm_medium%3Daffiliate%26utm_campaign%3Dpoke%2Bcottage","Arboliva")</f>
        <v>Arboliva</v>
      </c>
      <c r="D46" s="5" t="s">
        <v>27</v>
      </c>
      <c r="E46" s="5" t="s">
        <v>11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38</v>
      </c>
      <c r="C47" s="6" t="str">
        <f aca="false">HYPERLINK("https://partner.tcgplayer.com/c/6278691/1780961/21018?u=https%3A%2F%2Fwww.tcgplayer.com%2Fproduct%2F487861%3Futm_source%3Dimpact%26utm_medium%3Daffiliate%26utm_campaign%3Dpoke%2Bcottage","Toedscool")</f>
        <v>Toedscool</v>
      </c>
      <c r="D47" s="5" t="s">
        <v>8</v>
      </c>
      <c r="E47" s="5" t="s">
        <v>9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38</v>
      </c>
      <c r="C48" s="6" t="str">
        <f aca="false">HYPERLINK("https://partner.tcgplayer.com/c/6278691/1780961/21018?u=https%3A%2F%2Fwww.tcgplayer.com%2Fproduct%2F487861%3Futm_source%3Dimpact%26utm_medium%3Daffiliate%26utm_campaign%3Dpoke%2Bcottage","Toedscool")</f>
        <v>Toedscool</v>
      </c>
      <c r="D48" s="5" t="s">
        <v>8</v>
      </c>
      <c r="E48" s="5" t="s">
        <v>11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39</v>
      </c>
      <c r="C49" s="6" t="str">
        <f aca="false">HYPERLINK("https://partner.tcgplayer.com/c/6278691/1780961/21018?u=https%3A%2F%2Fwww.tcgplayer.com%2Fproduct%2F487862%3Futm_source%3Dimpact%26utm_medium%3Daffiliate%26utm_campaign%3Dpoke%2Bcottage","Toedscool")</f>
        <v>Toedscool</v>
      </c>
      <c r="D49" s="5" t="s">
        <v>8</v>
      </c>
      <c r="E49" s="5" t="s">
        <v>9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39</v>
      </c>
      <c r="C50" s="6" t="str">
        <f aca="false">HYPERLINK("https://partner.tcgplayer.com/c/6278691/1780961/21018?u=https%3A%2F%2Fwww.tcgplayer.com%2Fproduct%2F487862%3Futm_source%3Dimpact%26utm_medium%3Daffiliate%26utm_campaign%3Dpoke%2Bcottage","Toedscool")</f>
        <v>Toedscool</v>
      </c>
      <c r="D50" s="5" t="s">
        <v>8</v>
      </c>
      <c r="E50" s="5" t="s">
        <v>11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40</v>
      </c>
      <c r="C51" s="6" t="str">
        <f aca="false">HYPERLINK("https://partner.tcgplayer.com/c/6278691/1780961/21018?u=https%3A%2F%2Fwww.tcgplayer.com%2Fproduct%2F487864%3Futm_source%3Dimpact%26utm_medium%3Daffiliate%26utm_campaign%3Dpoke%2Bcottage","Toedscruel")</f>
        <v>Toedscruel</v>
      </c>
      <c r="D51" s="5" t="s">
        <v>13</v>
      </c>
      <c r="E51" s="5" t="s">
        <v>9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40</v>
      </c>
      <c r="C52" s="6" t="str">
        <f aca="false">HYPERLINK("https://partner.tcgplayer.com/c/6278691/1780961/21018?u=https%3A%2F%2Fwww.tcgplayer.com%2Fproduct%2F487864%3Futm_source%3Dimpact%26utm_medium%3Daffiliate%26utm_campaign%3Dpoke%2Bcottage","Toedscruel")</f>
        <v>Toedscruel</v>
      </c>
      <c r="D52" s="5" t="s">
        <v>13</v>
      </c>
      <c r="E52" s="5" t="s">
        <v>11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41</v>
      </c>
      <c r="C53" s="6" t="str">
        <f aca="false">HYPERLINK("https://partner.tcgplayer.com/c/6278691/1780961/21018?u=https%3A%2F%2Fwww.tcgplayer.com%2Fproduct%2F487866%3Futm_source%3Dimpact%26utm_medium%3Daffiliate%26utm_campaign%3Dpoke%2Bcottage","Capsakid")</f>
        <v>Capsakid</v>
      </c>
      <c r="D53" s="5" t="s">
        <v>8</v>
      </c>
      <c r="E53" s="5" t="s">
        <v>9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41</v>
      </c>
      <c r="C54" s="6" t="str">
        <f aca="false">HYPERLINK("https://partner.tcgplayer.com/c/6278691/1780961/21018?u=https%3A%2F%2Fwww.tcgplayer.com%2Fproduct%2F487866%3Futm_source%3Dimpact%26utm_medium%3Daffiliate%26utm_campaign%3Dpoke%2Bcottage","Capsakid")</f>
        <v>Capsakid</v>
      </c>
      <c r="D54" s="5" t="s">
        <v>8</v>
      </c>
      <c r="E54" s="5" t="s">
        <v>11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42</v>
      </c>
      <c r="C55" s="6" t="str">
        <f aca="false">HYPERLINK("https://partner.tcgplayer.com/c/6278691/1780961/21018?u=https%3A%2F%2Fwww.tcgplayer.com%2Fproduct%2F487867%3Futm_source%3Dimpact%26utm_medium%3Daffiliate%26utm_campaign%3Dpoke%2Bcottage","Capsakid")</f>
        <v>Capsakid</v>
      </c>
      <c r="D55" s="5" t="s">
        <v>8</v>
      </c>
      <c r="E55" s="5" t="s">
        <v>9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42</v>
      </c>
      <c r="C56" s="6" t="str">
        <f aca="false">HYPERLINK("https://partner.tcgplayer.com/c/6278691/1780961/21018?u=https%3A%2F%2Fwww.tcgplayer.com%2Fproduct%2F487867%3Futm_source%3Dimpact%26utm_medium%3Daffiliate%26utm_campaign%3Dpoke%2Bcottage","Capsakid")</f>
        <v>Capsakid</v>
      </c>
      <c r="D56" s="5" t="s">
        <v>8</v>
      </c>
      <c r="E56" s="5" t="s">
        <v>11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43</v>
      </c>
      <c r="C57" s="6" t="str">
        <f aca="false">HYPERLINK("https://partner.tcgplayer.com/c/6278691/1780961/21018?u=https%3A%2F%2Fwww.tcgplayer.com%2Fproduct%2F487868%3Futm_source%3Dimpact%26utm_medium%3Daffiliate%26utm_campaign%3Dpoke%2Bcottage","Scovillain")</f>
        <v>Scovillain</v>
      </c>
      <c r="D57" s="5" t="s">
        <v>13</v>
      </c>
      <c r="E57" s="5" t="s">
        <v>9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43</v>
      </c>
      <c r="C58" s="6" t="str">
        <f aca="false">HYPERLINK("https://partner.tcgplayer.com/c/6278691/1780961/21018?u=https%3A%2F%2Fwww.tcgplayer.com%2Fproduct%2F487868%3Futm_source%3Dimpact%26utm_medium%3Daffiliate%26utm_campaign%3Dpoke%2Bcottage","Scovillain")</f>
        <v>Scovillain</v>
      </c>
      <c r="D58" s="5" t="s">
        <v>13</v>
      </c>
      <c r="E58" s="5" t="s">
        <v>11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44</v>
      </c>
      <c r="C59" s="6" t="str">
        <f aca="false">HYPERLINK("https://partner.tcgplayer.com/c/6278691/1780961/21018?u=https%3A%2F%2Fwww.tcgplayer.com%2Fproduct%2F487869%3Futm_source%3Dimpact%26utm_medium%3Daffiliate%26utm_campaign%3Dpoke%2Bcottage","Growlithe")</f>
        <v>Growlithe</v>
      </c>
      <c r="D59" s="5" t="s">
        <v>8</v>
      </c>
      <c r="E59" s="5" t="s">
        <v>9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44</v>
      </c>
      <c r="C60" s="6" t="str">
        <f aca="false">HYPERLINK("https://partner.tcgplayer.com/c/6278691/1780961/21018?u=https%3A%2F%2Fwww.tcgplayer.com%2Fproduct%2F487869%3Futm_source%3Dimpact%26utm_medium%3Daffiliate%26utm_campaign%3Dpoke%2Bcottage","Growlithe")</f>
        <v>Growlithe</v>
      </c>
      <c r="D60" s="5" t="s">
        <v>8</v>
      </c>
      <c r="E60" s="5" t="s">
        <v>11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45</v>
      </c>
      <c r="C61" s="6" t="str">
        <f aca="false">HYPERLINK("https://partner.tcgplayer.com/c/6278691/1780961/21018?u=https%3A%2F%2Fwww.tcgplayer.com%2Fproduct%2F487870%3Futm_source%3Dimpact%26utm_medium%3Daffiliate%26utm_campaign%3Dpoke%2Bcottage","Growlithe")</f>
        <v>Growlithe</v>
      </c>
      <c r="D61" s="5" t="s">
        <v>8</v>
      </c>
      <c r="E61" s="5" t="s">
        <v>9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45</v>
      </c>
      <c r="C62" s="6" t="str">
        <f aca="false">HYPERLINK("https://partner.tcgplayer.com/c/6278691/1780961/21018?u=https%3A%2F%2Fwww.tcgplayer.com%2Fproduct%2F487870%3Futm_source%3Dimpact%26utm_medium%3Daffiliate%26utm_campaign%3Dpoke%2Bcottage","Growlithe")</f>
        <v>Growlithe</v>
      </c>
      <c r="D62" s="5" t="s">
        <v>8</v>
      </c>
      <c r="E62" s="5" t="s">
        <v>11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46</v>
      </c>
      <c r="C63" s="6" t="str">
        <f aca="false">HYPERLINK("https://partner.tcgplayer.com/c/6278691/1780961/21018?u=https%3A%2F%2Fwww.tcgplayer.com%2Fproduct%2F487872%3Futm_source%3Dimpact%26utm_medium%3Daffiliate%26utm_campaign%3Dpoke%2Bcottage","Arcanine ex")</f>
        <v>Arcanine ex</v>
      </c>
      <c r="D63" s="5" t="s">
        <v>33</v>
      </c>
      <c r="E63" s="5" t="s">
        <v>28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47</v>
      </c>
      <c r="C64" s="6" t="str">
        <f aca="false">HYPERLINK("https://partner.tcgplayer.com/c/6278691/1780961/21018?u=https%3A%2F%2Fwww.tcgplayer.com%2Fproduct%2F487873%3Futm_source%3Dimpact%26utm_medium%3Daffiliate%26utm_campaign%3Dpoke%2Bcottage","Houndour")</f>
        <v>Houndour</v>
      </c>
      <c r="D64" s="5" t="s">
        <v>8</v>
      </c>
      <c r="E64" s="5" t="s">
        <v>9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47</v>
      </c>
      <c r="C65" s="6" t="str">
        <f aca="false">HYPERLINK("https://partner.tcgplayer.com/c/6278691/1780961/21018?u=https%3A%2F%2Fwww.tcgplayer.com%2Fproduct%2F487873%3Futm_source%3Dimpact%26utm_medium%3Daffiliate%26utm_campaign%3Dpoke%2Bcottage","Houndour")</f>
        <v>Houndour</v>
      </c>
      <c r="D65" s="5" t="s">
        <v>8</v>
      </c>
      <c r="E65" s="5" t="s">
        <v>11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48</v>
      </c>
      <c r="C66" s="6" t="str">
        <f aca="false">HYPERLINK("https://partner.tcgplayer.com/c/6278691/1780961/21018?u=https%3A%2F%2Fwww.tcgplayer.com%2Fproduct%2F487874%3Futm_source%3Dimpact%26utm_medium%3Daffiliate%26utm_campaign%3Dpoke%2Bcottage","Houndoom")</f>
        <v>Houndoom</v>
      </c>
      <c r="D66" s="5" t="s">
        <v>8</v>
      </c>
      <c r="E66" s="5" t="s">
        <v>9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48</v>
      </c>
      <c r="C67" s="6" t="str">
        <f aca="false">HYPERLINK("https://partner.tcgplayer.com/c/6278691/1780961/21018?u=https%3A%2F%2Fwww.tcgplayer.com%2Fproduct%2F487874%3Futm_source%3Dimpact%26utm_medium%3Daffiliate%26utm_campaign%3Dpoke%2Bcottage","Houndoom")</f>
        <v>Houndoom</v>
      </c>
      <c r="D67" s="5" t="s">
        <v>8</v>
      </c>
      <c r="E67" s="5" t="s">
        <v>11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49</v>
      </c>
      <c r="C68" s="6" t="str">
        <f aca="false">HYPERLINK("https://partner.tcgplayer.com/c/6278691/1780961/21018?u=https%3A%2F%2Fwww.tcgplayer.com%2Fproduct%2F487875%3Futm_source%3Dimpact%26utm_medium%3Daffiliate%26utm_campaign%3Dpoke%2Bcottage","Torkoal")</f>
        <v>Torkoal</v>
      </c>
      <c r="D68" s="5" t="s">
        <v>13</v>
      </c>
      <c r="E68" s="5" t="s">
        <v>9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49</v>
      </c>
      <c r="C69" s="6" t="str">
        <f aca="false">HYPERLINK("https://partner.tcgplayer.com/c/6278691/1780961/21018?u=https%3A%2F%2Fwww.tcgplayer.com%2Fproduct%2F487875%3Futm_source%3Dimpact%26utm_medium%3Daffiliate%26utm_campaign%3Dpoke%2Bcottage","Torkoal")</f>
        <v>Torkoal</v>
      </c>
      <c r="D69" s="5" t="s">
        <v>13</v>
      </c>
      <c r="E69" s="5" t="s">
        <v>11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50</v>
      </c>
      <c r="C70" s="6" t="str">
        <f aca="false">HYPERLINK("https://partner.tcgplayer.com/c/6278691/1780961/21018?u=https%3A%2F%2Fwww.tcgplayer.com%2Fproduct%2F475418%3Futm_source%3Dimpact%26utm_medium%3Daffiliate%26utm_campaign%3Dpoke%2Bcottage","Fuecoco")</f>
        <v>Fuecoco</v>
      </c>
      <c r="D70" s="5" t="s">
        <v>8</v>
      </c>
      <c r="E70" s="5" t="s">
        <v>9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50</v>
      </c>
      <c r="C71" s="6" t="str">
        <f aca="false">HYPERLINK("https://partner.tcgplayer.com/c/6278691/1780961/21018?u=https%3A%2F%2Fwww.tcgplayer.com%2Fproduct%2F475418%3Futm_source%3Dimpact%26utm_medium%3Daffiliate%26utm_campaign%3Dpoke%2Bcottage","Fuecoco")</f>
        <v>Fuecoco</v>
      </c>
      <c r="D71" s="5" t="s">
        <v>8</v>
      </c>
      <c r="E71" s="5" t="s">
        <v>11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51</v>
      </c>
      <c r="C72" s="6" t="str">
        <f aca="false">HYPERLINK("https://partner.tcgplayer.com/c/6278691/1780961/21018?u=https%3A%2F%2Fwww.tcgplayer.com%2Fproduct%2F487877%3Futm_source%3Dimpact%26utm_medium%3Daffiliate%26utm_campaign%3Dpoke%2Bcottage","Crocalor")</f>
        <v>Crocalor</v>
      </c>
      <c r="D72" s="5" t="s">
        <v>13</v>
      </c>
      <c r="E72" s="5" t="s">
        <v>9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51</v>
      </c>
      <c r="C73" s="6" t="str">
        <f aca="false">HYPERLINK("https://partner.tcgplayer.com/c/6278691/1780961/21018?u=https%3A%2F%2Fwww.tcgplayer.com%2Fproduct%2F487877%3Futm_source%3Dimpact%26utm_medium%3Daffiliate%26utm_campaign%3Dpoke%2Bcottage","Crocalor")</f>
        <v>Crocalor</v>
      </c>
      <c r="D73" s="5" t="s">
        <v>13</v>
      </c>
      <c r="E73" s="5" t="s">
        <v>11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52</v>
      </c>
      <c r="C74" s="6" t="str">
        <f aca="false">HYPERLINK("https://partner.tcgplayer.com/c/6278691/1780961/21018?u=https%3A%2F%2Fwww.tcgplayer.com%2Fproduct%2F487879%3Futm_source%3Dimpact%26utm_medium%3Daffiliate%26utm_campaign%3Dpoke%2Bcottage","Skeledirge")</f>
        <v>Skeledirge</v>
      </c>
      <c r="D74" s="5" t="s">
        <v>27</v>
      </c>
      <c r="E74" s="5" t="s">
        <v>28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52</v>
      </c>
      <c r="C75" s="6" t="str">
        <f aca="false">HYPERLINK("https://partner.tcgplayer.com/c/6278691/1780961/21018?u=https%3A%2F%2Fwww.tcgplayer.com%2Fproduct%2F487879%3Futm_source%3Dimpact%26utm_medium%3Daffiliate%26utm_campaign%3Dpoke%2Bcottage","Skeledirge")</f>
        <v>Skeledirge</v>
      </c>
      <c r="D75" s="5" t="s">
        <v>27</v>
      </c>
      <c r="E75" s="5" t="s">
        <v>11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53</v>
      </c>
      <c r="C76" s="6" t="str">
        <f aca="false">HYPERLINK("https://partner.tcgplayer.com/c/6278691/1780961/21018?u=https%3A%2F%2Fwww.tcgplayer.com%2Fproduct%2F487881%3Futm_source%3Dimpact%26utm_medium%3Daffiliate%26utm_campaign%3Dpoke%2Bcottage","Charcadet")</f>
        <v>Charcadet</v>
      </c>
      <c r="D76" s="5" t="s">
        <v>8</v>
      </c>
      <c r="E76" s="5" t="s">
        <v>9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53</v>
      </c>
      <c r="C77" s="6" t="str">
        <f aca="false">HYPERLINK("https://partner.tcgplayer.com/c/6278691/1780961/21018?u=https%3A%2F%2Fwww.tcgplayer.com%2Fproduct%2F487881%3Futm_source%3Dimpact%26utm_medium%3Daffiliate%26utm_campaign%3Dpoke%2Bcottage","Charcadet")</f>
        <v>Charcadet</v>
      </c>
      <c r="D77" s="5" t="s">
        <v>8</v>
      </c>
      <c r="E77" s="5" t="s">
        <v>11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54</v>
      </c>
      <c r="C78" s="6" t="str">
        <f aca="false">HYPERLINK("https://partner.tcgplayer.com/c/6278691/1780961/21018?u=https%3A%2F%2Fwww.tcgplayer.com%2Fproduct%2F487882%3Futm_source%3Dimpact%26utm_medium%3Daffiliate%26utm_campaign%3Dpoke%2Bcottage","Charcadet")</f>
        <v>Charcadet</v>
      </c>
      <c r="D78" s="5" t="s">
        <v>8</v>
      </c>
      <c r="E78" s="5" t="s">
        <v>9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54</v>
      </c>
      <c r="C79" s="6" t="str">
        <f aca="false">HYPERLINK("https://partner.tcgplayer.com/c/6278691/1780961/21018?u=https%3A%2F%2Fwww.tcgplayer.com%2Fproduct%2F487882%3Futm_source%3Dimpact%26utm_medium%3Daffiliate%26utm_campaign%3Dpoke%2Bcottage","Charcadet")</f>
        <v>Charcadet</v>
      </c>
      <c r="D79" s="5" t="s">
        <v>8</v>
      </c>
      <c r="E79" s="5" t="s">
        <v>11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55</v>
      </c>
      <c r="C80" s="6" t="str">
        <f aca="false">HYPERLINK("https://partner.tcgplayer.com/c/6278691/1780961/21018?u=https%3A%2F%2Fwww.tcgplayer.com%2Fproduct%2F487883%3Futm_source%3Dimpact%26utm_medium%3Daffiliate%26utm_campaign%3Dpoke%2Bcottage","Armarouge")</f>
        <v>Armarouge</v>
      </c>
      <c r="D80" s="5" t="s">
        <v>27</v>
      </c>
      <c r="E80" s="5" t="s">
        <v>28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55</v>
      </c>
      <c r="C81" s="6" t="str">
        <f aca="false">HYPERLINK("https://partner.tcgplayer.com/c/6278691/1780961/21018?u=https%3A%2F%2Fwww.tcgplayer.com%2Fproduct%2F487883%3Futm_source%3Dimpact%26utm_medium%3Daffiliate%26utm_campaign%3Dpoke%2Bcottage","Armarouge")</f>
        <v>Armarouge</v>
      </c>
      <c r="D81" s="5" t="s">
        <v>27</v>
      </c>
      <c r="E81" s="5" t="s">
        <v>11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56</v>
      </c>
      <c r="C82" s="6" t="str">
        <f aca="false">HYPERLINK("https://partner.tcgplayer.com/c/6278691/1780961/21018?u=https%3A%2F%2Fwww.tcgplayer.com%2Fproduct%2F487885%3Futm_source%3Dimpact%26utm_medium%3Daffiliate%26utm_campaign%3Dpoke%2Bcottage","Slowpoke")</f>
        <v>Slowpoke</v>
      </c>
      <c r="D82" s="5" t="s">
        <v>8</v>
      </c>
      <c r="E82" s="5" t="s">
        <v>9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56</v>
      </c>
      <c r="C83" s="6" t="str">
        <f aca="false">HYPERLINK("https://partner.tcgplayer.com/c/6278691/1780961/21018?u=https%3A%2F%2Fwww.tcgplayer.com%2Fproduct%2F487885%3Futm_source%3Dimpact%26utm_medium%3Daffiliate%26utm_campaign%3Dpoke%2Bcottage","Slowpoke")</f>
        <v>Slowpoke</v>
      </c>
      <c r="D83" s="5" t="s">
        <v>8</v>
      </c>
      <c r="E83" s="5" t="s">
        <v>11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57</v>
      </c>
      <c r="C84" s="6" t="str">
        <f aca="false">HYPERLINK("https://partner.tcgplayer.com/c/6278691/1780961/21018?u=https%3A%2F%2Fwww.tcgplayer.com%2Fproduct%2F487887%3Futm_source%3Dimpact%26utm_medium%3Daffiliate%26utm_campaign%3Dpoke%2Bcottage","Slowbro")</f>
        <v>Slowbro</v>
      </c>
      <c r="D84" s="5" t="s">
        <v>27</v>
      </c>
      <c r="E84" s="5" t="s">
        <v>28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57</v>
      </c>
      <c r="C85" s="6" t="str">
        <f aca="false">HYPERLINK("https://partner.tcgplayer.com/c/6278691/1780961/21018?u=https%3A%2F%2Fwww.tcgplayer.com%2Fproduct%2F487887%3Futm_source%3Dimpact%26utm_medium%3Daffiliate%26utm_campaign%3Dpoke%2Bcottage","Slowbro")</f>
        <v>Slowbro</v>
      </c>
      <c r="D85" s="5" t="s">
        <v>27</v>
      </c>
      <c r="E85" s="5" t="s">
        <v>11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58</v>
      </c>
      <c r="C86" s="6" t="str">
        <f aca="false">HYPERLINK("https://partner.tcgplayer.com/c/6278691/1780961/21018?u=https%3A%2F%2Fwww.tcgplayer.com%2Fproduct%2F487888%3Futm_source%3Dimpact%26utm_medium%3Daffiliate%26utm_campaign%3Dpoke%2Bcottage","Magikarp")</f>
        <v>Magikarp</v>
      </c>
      <c r="D86" s="5" t="s">
        <v>8</v>
      </c>
      <c r="E86" s="5" t="s">
        <v>9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58</v>
      </c>
      <c r="C87" s="6" t="str">
        <f aca="false">HYPERLINK("https://partner.tcgplayer.com/c/6278691/1780961/21018?u=https%3A%2F%2Fwww.tcgplayer.com%2Fproduct%2F487888%3Futm_source%3Dimpact%26utm_medium%3Daffiliate%26utm_campaign%3Dpoke%2Bcottage","Magikarp")</f>
        <v>Magikarp</v>
      </c>
      <c r="D87" s="5" t="s">
        <v>8</v>
      </c>
      <c r="E87" s="5" t="s">
        <v>11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59</v>
      </c>
      <c r="C88" s="6" t="str">
        <f aca="false">HYPERLINK("https://partner.tcgplayer.com/c/6278691/1780961/21018?u=https%3A%2F%2Fwww.tcgplayer.com%2Fproduct%2F487889%3Futm_source%3Dimpact%26utm_medium%3Daffiliate%26utm_campaign%3Dpoke%2Bcottage","Gyarados ex")</f>
        <v>Gyarados ex</v>
      </c>
      <c r="D88" s="5" t="s">
        <v>33</v>
      </c>
      <c r="E88" s="5" t="s">
        <v>28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60</v>
      </c>
      <c r="C89" s="6" t="str">
        <f aca="false">HYPERLINK("https://partner.tcgplayer.com/c/6278691/1780961/21018?u=https%3A%2F%2Fwww.tcgplayer.com%2Fproduct%2F487891%3Futm_source%3Dimpact%26utm_medium%3Daffiliate%26utm_campaign%3Dpoke%2Bcottage","Buizel")</f>
        <v>Buizel</v>
      </c>
      <c r="D89" s="5" t="s">
        <v>8</v>
      </c>
      <c r="E89" s="5" t="s">
        <v>9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60</v>
      </c>
      <c r="C90" s="6" t="str">
        <f aca="false">HYPERLINK("https://partner.tcgplayer.com/c/6278691/1780961/21018?u=https%3A%2F%2Fwww.tcgplayer.com%2Fproduct%2F487891%3Futm_source%3Dimpact%26utm_medium%3Daffiliate%26utm_campaign%3Dpoke%2Bcottage","Buizel")</f>
        <v>Buizel</v>
      </c>
      <c r="D90" s="5" t="s">
        <v>8</v>
      </c>
      <c r="E90" s="5" t="s">
        <v>11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61</v>
      </c>
      <c r="C91" s="6" t="str">
        <f aca="false">HYPERLINK("https://partner.tcgplayer.com/c/6278691/1780961/21018?u=https%3A%2F%2Fwww.tcgplayer.com%2Fproduct%2F487893%3Futm_source%3Dimpact%26utm_medium%3Daffiliate%26utm_campaign%3Dpoke%2Bcottage","Floatzel")</f>
        <v>Floatzel</v>
      </c>
      <c r="D91" s="5" t="s">
        <v>13</v>
      </c>
      <c r="E91" s="5" t="s">
        <v>9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61</v>
      </c>
      <c r="C92" s="6" t="str">
        <f aca="false">HYPERLINK("https://partner.tcgplayer.com/c/6278691/1780961/21018?u=https%3A%2F%2Fwww.tcgplayer.com%2Fproduct%2F487893%3Futm_source%3Dimpact%26utm_medium%3Daffiliate%26utm_campaign%3Dpoke%2Bcottage","Floatzel")</f>
        <v>Floatzel</v>
      </c>
      <c r="D92" s="5" t="s">
        <v>13</v>
      </c>
      <c r="E92" s="5" t="s">
        <v>11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62</v>
      </c>
      <c r="C93" s="6" t="str">
        <f aca="false">HYPERLINK("https://partner.tcgplayer.com/c/6278691/1780961/21018?u=https%3A%2F%2Fwww.tcgplayer.com%2Fproduct%2F487894%3Futm_source%3Dimpact%26utm_medium%3Daffiliate%26utm_campaign%3Dpoke%2Bcottage","Alomomola")</f>
        <v>Alomomola</v>
      </c>
      <c r="D93" s="5" t="s">
        <v>8</v>
      </c>
      <c r="E93" s="5" t="s">
        <v>9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62</v>
      </c>
      <c r="C94" s="6" t="str">
        <f aca="false">HYPERLINK("https://partner.tcgplayer.com/c/6278691/1780961/21018?u=https%3A%2F%2Fwww.tcgplayer.com%2Fproduct%2F487894%3Futm_source%3Dimpact%26utm_medium%3Daffiliate%26utm_campaign%3Dpoke%2Bcottage","Alomomola")</f>
        <v>Alomomola</v>
      </c>
      <c r="D94" s="5" t="s">
        <v>8</v>
      </c>
      <c r="E94" s="5" t="s">
        <v>11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63</v>
      </c>
      <c r="C95" s="6" t="str">
        <f aca="false">HYPERLINK("https://partner.tcgplayer.com/c/6278691/1780961/21018?u=https%3A%2F%2Fwww.tcgplayer.com%2Fproduct%2F487895%3Futm_source%3Dimpact%26utm_medium%3Daffiliate%26utm_campaign%3Dpoke%2Bcottage","Clauncher")</f>
        <v>Clauncher</v>
      </c>
      <c r="D95" s="5" t="s">
        <v>8</v>
      </c>
      <c r="E95" s="5" t="s">
        <v>9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63</v>
      </c>
      <c r="C96" s="6" t="str">
        <f aca="false">HYPERLINK("https://partner.tcgplayer.com/c/6278691/1780961/21018?u=https%3A%2F%2Fwww.tcgplayer.com%2Fproduct%2F487895%3Futm_source%3Dimpact%26utm_medium%3Daffiliate%26utm_campaign%3Dpoke%2Bcottage","Clauncher")</f>
        <v>Clauncher</v>
      </c>
      <c r="D96" s="5" t="s">
        <v>8</v>
      </c>
      <c r="E96" s="5" t="s">
        <v>11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64</v>
      </c>
      <c r="C97" s="6" t="str">
        <f aca="false">HYPERLINK("https://partner.tcgplayer.com/c/6278691/1780961/21018?u=https%3A%2F%2Fwww.tcgplayer.com%2Fproduct%2F487897%3Futm_source%3Dimpact%26utm_medium%3Daffiliate%26utm_campaign%3Dpoke%2Bcottage","Clawitzer")</f>
        <v>Clawitzer</v>
      </c>
      <c r="D97" s="5" t="s">
        <v>8</v>
      </c>
      <c r="E97" s="5" t="s">
        <v>9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64</v>
      </c>
      <c r="C98" s="6" t="str">
        <f aca="false">HYPERLINK("https://partner.tcgplayer.com/c/6278691/1780961/21018?u=https%3A%2F%2Fwww.tcgplayer.com%2Fproduct%2F487897%3Futm_source%3Dimpact%26utm_medium%3Daffiliate%26utm_campaign%3Dpoke%2Bcottage","Clawitzer")</f>
        <v>Clawitzer</v>
      </c>
      <c r="D98" s="5" t="s">
        <v>8</v>
      </c>
      <c r="E98" s="5" t="s">
        <v>11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65</v>
      </c>
      <c r="C99" s="6" t="str">
        <f aca="false">HYPERLINK("https://partner.tcgplayer.com/c/6278691/1780961/21018?u=https%3A%2F%2Fwww.tcgplayer.com%2Fproduct%2F487898%3Futm_source%3Dimpact%26utm_medium%3Daffiliate%26utm_campaign%3Dpoke%2Bcottage","Bruxish")</f>
        <v>Bruxish</v>
      </c>
      <c r="D99" s="5" t="s">
        <v>8</v>
      </c>
      <c r="E99" s="5" t="s">
        <v>9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65</v>
      </c>
      <c r="C100" s="6" t="str">
        <f aca="false">HYPERLINK("https://partner.tcgplayer.com/c/6278691/1780961/21018?u=https%3A%2F%2Fwww.tcgplayer.com%2Fproduct%2F487898%3Futm_source%3Dimpact%26utm_medium%3Daffiliate%26utm_campaign%3Dpoke%2Bcottage","Bruxish")</f>
        <v>Bruxish</v>
      </c>
      <c r="D100" s="5" t="s">
        <v>8</v>
      </c>
      <c r="E100" s="5" t="s">
        <v>11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66</v>
      </c>
      <c r="C101" s="6" t="str">
        <f aca="false">HYPERLINK("https://partner.tcgplayer.com/c/6278691/1780961/21018?u=https%3A%2F%2Fwww.tcgplayer.com%2Fproduct%2F475419%3Futm_source%3Dimpact%26utm_medium%3Daffiliate%26utm_campaign%3Dpoke%2Bcottage","Quaxly")</f>
        <v>Quaxly</v>
      </c>
      <c r="D101" s="5" t="s">
        <v>8</v>
      </c>
      <c r="E101" s="5" t="s">
        <v>9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66</v>
      </c>
      <c r="C102" s="6" t="str">
        <f aca="false">HYPERLINK("https://partner.tcgplayer.com/c/6278691/1780961/21018?u=https%3A%2F%2Fwww.tcgplayer.com%2Fproduct%2F475419%3Futm_source%3Dimpact%26utm_medium%3Daffiliate%26utm_campaign%3Dpoke%2Bcottage","Quaxly")</f>
        <v>Quaxly</v>
      </c>
      <c r="D102" s="5" t="s">
        <v>8</v>
      </c>
      <c r="E102" s="5" t="s">
        <v>11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67</v>
      </c>
      <c r="C103" s="6" t="str">
        <f aca="false">HYPERLINK("https://partner.tcgplayer.com/c/6278691/1780961/21018?u=https%3A%2F%2Fwww.tcgplayer.com%2Fproduct%2F487899%3Futm_source%3Dimpact%26utm_medium%3Daffiliate%26utm_campaign%3Dpoke%2Bcottage","Quaxwell")</f>
        <v>Quaxwell</v>
      </c>
      <c r="D103" s="5" t="s">
        <v>13</v>
      </c>
      <c r="E103" s="5" t="s">
        <v>9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67</v>
      </c>
      <c r="C104" s="6" t="str">
        <f aca="false">HYPERLINK("https://partner.tcgplayer.com/c/6278691/1780961/21018?u=https%3A%2F%2Fwww.tcgplayer.com%2Fproduct%2F487899%3Futm_source%3Dimpact%26utm_medium%3Daffiliate%26utm_campaign%3Dpoke%2Bcottage","Quaxwell")</f>
        <v>Quaxwell</v>
      </c>
      <c r="D104" s="5" t="s">
        <v>13</v>
      </c>
      <c r="E104" s="5" t="s">
        <v>11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68</v>
      </c>
      <c r="C105" s="6" t="str">
        <f aca="false">HYPERLINK("https://partner.tcgplayer.com/c/6278691/1780961/21018?u=https%3A%2F%2Fwww.tcgplayer.com%2Fproduct%2F487902%3Futm_source%3Dimpact%26utm_medium%3Daffiliate%26utm_campaign%3Dpoke%2Bcottage","Quaquaval")</f>
        <v>Quaquaval</v>
      </c>
      <c r="D105" s="5" t="s">
        <v>27</v>
      </c>
      <c r="E105" s="5" t="s">
        <v>28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68</v>
      </c>
      <c r="C106" s="6" t="str">
        <f aca="false">HYPERLINK("https://partner.tcgplayer.com/c/6278691/1780961/21018?u=https%3A%2F%2Fwww.tcgplayer.com%2Fproduct%2F487902%3Futm_source%3Dimpact%26utm_medium%3Daffiliate%26utm_campaign%3Dpoke%2Bcottage","Quaquaval")</f>
        <v>Quaquaval</v>
      </c>
      <c r="D106" s="5" t="s">
        <v>27</v>
      </c>
      <c r="E106" s="5" t="s">
        <v>11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69</v>
      </c>
      <c r="C107" s="6" t="str">
        <f aca="false">HYPERLINK("https://partner.tcgplayer.com/c/6278691/1780961/21018?u=https%3A%2F%2Fwww.tcgplayer.com%2Fproduct%2F487903%3Futm_source%3Dimpact%26utm_medium%3Daffiliate%26utm_campaign%3Dpoke%2Bcottage","Wiglett")</f>
        <v>Wiglett</v>
      </c>
      <c r="D107" s="5" t="s">
        <v>8</v>
      </c>
      <c r="E107" s="5" t="s">
        <v>9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69</v>
      </c>
      <c r="C108" s="6" t="str">
        <f aca="false">HYPERLINK("https://partner.tcgplayer.com/c/6278691/1780961/21018?u=https%3A%2F%2Fwww.tcgplayer.com%2Fproduct%2F487903%3Futm_source%3Dimpact%26utm_medium%3Daffiliate%26utm_campaign%3Dpoke%2Bcottage","Wiglett")</f>
        <v>Wiglett</v>
      </c>
      <c r="D108" s="5" t="s">
        <v>8</v>
      </c>
      <c r="E108" s="5" t="s">
        <v>11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70</v>
      </c>
      <c r="C109" s="6" t="str">
        <f aca="false">HYPERLINK("https://partner.tcgplayer.com/c/6278691/1780961/21018?u=https%3A%2F%2Fwww.tcgplayer.com%2Fproduct%2F487905%3Futm_source%3Dimpact%26utm_medium%3Daffiliate%26utm_campaign%3Dpoke%2Bcottage","Wiglett")</f>
        <v>Wiglett</v>
      </c>
      <c r="D109" s="5" t="s">
        <v>8</v>
      </c>
      <c r="E109" s="5" t="s">
        <v>9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70</v>
      </c>
      <c r="C110" s="6" t="str">
        <f aca="false">HYPERLINK("https://partner.tcgplayer.com/c/6278691/1780961/21018?u=https%3A%2F%2Fwww.tcgplayer.com%2Fproduct%2F487905%3Futm_source%3Dimpact%26utm_medium%3Daffiliate%26utm_campaign%3Dpoke%2Bcottage","Wiglett")</f>
        <v>Wiglett</v>
      </c>
      <c r="D110" s="5" t="s">
        <v>8</v>
      </c>
      <c r="E110" s="5" t="s">
        <v>11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71</v>
      </c>
      <c r="C111" s="6" t="str">
        <f aca="false">HYPERLINK("https://partner.tcgplayer.com/c/6278691/1780961/21018?u=https%3A%2F%2Fwww.tcgplayer.com%2Fproduct%2F487906%3Futm_source%3Dimpact%26utm_medium%3Daffiliate%26utm_campaign%3Dpoke%2Bcottage","Wugtrio")</f>
        <v>Wugtrio</v>
      </c>
      <c r="D111" s="5" t="s">
        <v>13</v>
      </c>
      <c r="E111" s="5" t="s">
        <v>9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71</v>
      </c>
      <c r="C112" s="6" t="str">
        <f aca="false">HYPERLINK("https://partner.tcgplayer.com/c/6278691/1780961/21018?u=https%3A%2F%2Fwww.tcgplayer.com%2Fproduct%2F487906%3Futm_source%3Dimpact%26utm_medium%3Daffiliate%26utm_campaign%3Dpoke%2Bcottage","Wugtrio")</f>
        <v>Wugtrio</v>
      </c>
      <c r="D112" s="5" t="s">
        <v>13</v>
      </c>
      <c r="E112" s="5" t="s">
        <v>11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72</v>
      </c>
      <c r="C113" s="6" t="str">
        <f aca="false">HYPERLINK("https://partner.tcgplayer.com/c/6278691/1780961/21018?u=https%3A%2F%2Fwww.tcgplayer.com%2Fproduct%2F487908%3Futm_source%3Dimpact%26utm_medium%3Daffiliate%26utm_campaign%3Dpoke%2Bcottage","Cetoddle")</f>
        <v>Cetoddle</v>
      </c>
      <c r="D113" s="5" t="s">
        <v>8</v>
      </c>
      <c r="E113" s="5" t="s">
        <v>9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72</v>
      </c>
      <c r="C114" s="6" t="str">
        <f aca="false">HYPERLINK("https://partner.tcgplayer.com/c/6278691/1780961/21018?u=https%3A%2F%2Fwww.tcgplayer.com%2Fproduct%2F487908%3Futm_source%3Dimpact%26utm_medium%3Daffiliate%26utm_campaign%3Dpoke%2Bcottage","Cetoddle")</f>
        <v>Cetoddle</v>
      </c>
      <c r="D114" s="5" t="s">
        <v>8</v>
      </c>
      <c r="E114" s="5" t="s">
        <v>11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73</v>
      </c>
      <c r="C115" s="6" t="str">
        <f aca="false">HYPERLINK("https://partner.tcgplayer.com/c/6278691/1780961/21018?u=https%3A%2F%2Fwww.tcgplayer.com%2Fproduct%2F487910%3Futm_source%3Dimpact%26utm_medium%3Daffiliate%26utm_campaign%3Dpoke%2Bcottage","Cetoddle")</f>
        <v>Cetoddle</v>
      </c>
      <c r="D115" s="5" t="s">
        <v>8</v>
      </c>
      <c r="E115" s="5" t="s">
        <v>9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73</v>
      </c>
      <c r="C116" s="6" t="str">
        <f aca="false">HYPERLINK("https://partner.tcgplayer.com/c/6278691/1780961/21018?u=https%3A%2F%2Fwww.tcgplayer.com%2Fproduct%2F487910%3Futm_source%3Dimpact%26utm_medium%3Daffiliate%26utm_campaign%3Dpoke%2Bcottage","Cetoddle")</f>
        <v>Cetoddle</v>
      </c>
      <c r="D116" s="5" t="s">
        <v>8</v>
      </c>
      <c r="E116" s="5" t="s">
        <v>11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74</v>
      </c>
      <c r="C117" s="6" t="str">
        <f aca="false">HYPERLINK("https://partner.tcgplayer.com/c/6278691/1780961/21018?u=https%3A%2F%2Fwww.tcgplayer.com%2Fproduct%2F487912%3Futm_source%3Dimpact%26utm_medium%3Daffiliate%26utm_campaign%3Dpoke%2Bcottage","Cetitan")</f>
        <v>Cetitan</v>
      </c>
      <c r="D117" s="5" t="s">
        <v>13</v>
      </c>
      <c r="E117" s="5" t="s">
        <v>9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74</v>
      </c>
      <c r="C118" s="6" t="str">
        <f aca="false">HYPERLINK("https://partner.tcgplayer.com/c/6278691/1780961/21018?u=https%3A%2F%2Fwww.tcgplayer.com%2Fproduct%2F487912%3Futm_source%3Dimpact%26utm_medium%3Daffiliate%26utm_campaign%3Dpoke%2Bcottage","Cetitan")</f>
        <v>Cetitan</v>
      </c>
      <c r="D118" s="5" t="s">
        <v>13</v>
      </c>
      <c r="E118" s="5" t="s">
        <v>11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75</v>
      </c>
      <c r="C119" s="6" t="str">
        <f aca="false">HYPERLINK("https://partner.tcgplayer.com/c/6278691/1780961/21018?u=https%3A%2F%2Fwww.tcgplayer.com%2Fproduct%2F487913%3Futm_source%3Dimpact%26utm_medium%3Daffiliate%26utm_campaign%3Dpoke%2Bcottage","Dondozo")</f>
        <v>Dondozo</v>
      </c>
      <c r="D119" s="5" t="s">
        <v>27</v>
      </c>
      <c r="E119" s="5" t="s">
        <v>28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75</v>
      </c>
      <c r="C120" s="6" t="str">
        <f aca="false">HYPERLINK("https://partner.tcgplayer.com/c/6278691/1780961/21018?u=https%3A%2F%2Fwww.tcgplayer.com%2Fproduct%2F487913%3Futm_source%3Dimpact%26utm_medium%3Daffiliate%26utm_campaign%3Dpoke%2Bcottage","Dondozo")</f>
        <v>Dondozo</v>
      </c>
      <c r="D120" s="5" t="s">
        <v>27</v>
      </c>
      <c r="E120" s="5" t="s">
        <v>11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76</v>
      </c>
      <c r="C121" s="6" t="str">
        <f aca="false">HYPERLINK("https://partner.tcgplayer.com/c/6278691/1780961/21018?u=https%3A%2F%2Fwww.tcgplayer.com%2Fproduct%2F487914%3Futm_source%3Dimpact%26utm_medium%3Daffiliate%26utm_campaign%3Dpoke%2Bcottage","Tatsugiri")</f>
        <v>Tatsugiri</v>
      </c>
      <c r="D121" s="5" t="s">
        <v>13</v>
      </c>
      <c r="E121" s="5" t="s">
        <v>9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76</v>
      </c>
      <c r="C122" s="6" t="str">
        <f aca="false">HYPERLINK("https://partner.tcgplayer.com/c/6278691/1780961/21018?u=https%3A%2F%2Fwww.tcgplayer.com%2Fproduct%2F487914%3Futm_source%3Dimpact%26utm_medium%3Daffiliate%26utm_campaign%3Dpoke%2Bcottage","Tatsugiri")</f>
        <v>Tatsugiri</v>
      </c>
      <c r="D122" s="5" t="s">
        <v>13</v>
      </c>
      <c r="E122" s="5" t="s">
        <v>11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77</v>
      </c>
      <c r="C123" s="6" t="str">
        <f aca="false">HYPERLINK("https://partner.tcgplayer.com/c/6278691/1780961/21018?u=https%3A%2F%2Fwww.tcgplayer.com%2Fproduct%2F487916%3Futm_source%3Dimpact%26utm_medium%3Daffiliate%26utm_campaign%3Dpoke%2Bcottage","Magnemite")</f>
        <v>Magnemite</v>
      </c>
      <c r="D123" s="5" t="s">
        <v>8</v>
      </c>
      <c r="E123" s="5" t="s">
        <v>9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77</v>
      </c>
      <c r="C124" s="6" t="str">
        <f aca="false">HYPERLINK("https://partner.tcgplayer.com/c/6278691/1780961/21018?u=https%3A%2F%2Fwww.tcgplayer.com%2Fproduct%2F487916%3Futm_source%3Dimpact%26utm_medium%3Daffiliate%26utm_campaign%3Dpoke%2Bcottage","Magnemite")</f>
        <v>Magnemite</v>
      </c>
      <c r="D124" s="5" t="s">
        <v>8</v>
      </c>
      <c r="E124" s="5" t="s">
        <v>11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78</v>
      </c>
      <c r="C125" s="6" t="str">
        <f aca="false">HYPERLINK("https://partner.tcgplayer.com/c/6278691/1780961/21018?u=https%3A%2F%2Fwww.tcgplayer.com%2Fproduct%2F487917%3Futm_source%3Dimpact%26utm_medium%3Daffiliate%26utm_campaign%3Dpoke%2Bcottage","Magneton")</f>
        <v>Magneton</v>
      </c>
      <c r="D125" s="5" t="s">
        <v>8</v>
      </c>
      <c r="E125" s="5" t="s">
        <v>9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78</v>
      </c>
      <c r="C126" s="6" t="str">
        <f aca="false">HYPERLINK("https://partner.tcgplayer.com/c/6278691/1780961/21018?u=https%3A%2F%2Fwww.tcgplayer.com%2Fproduct%2F487917%3Futm_source%3Dimpact%26utm_medium%3Daffiliate%26utm_campaign%3Dpoke%2Bcottage","Magneton")</f>
        <v>Magneton</v>
      </c>
      <c r="D126" s="5" t="s">
        <v>8</v>
      </c>
      <c r="E126" s="5" t="s">
        <v>11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79</v>
      </c>
      <c r="C127" s="6" t="str">
        <f aca="false">HYPERLINK("https://partner.tcgplayer.com/c/6278691/1780961/21018?u=https%3A%2F%2Fwww.tcgplayer.com%2Fproduct%2F486612%3Futm_source%3Dimpact%26utm_medium%3Daffiliate%26utm_campaign%3Dpoke%2Bcottage","Magnezone ex")</f>
        <v>Magnezone ex</v>
      </c>
      <c r="D127" s="5" t="s">
        <v>33</v>
      </c>
      <c r="E127" s="5" t="s">
        <v>28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80</v>
      </c>
      <c r="C128" s="6" t="str">
        <f aca="false">HYPERLINK("https://partner.tcgplayer.com/c/6278691/1780961/21018?u=https%3A%2F%2Fwww.tcgplayer.com%2Fproduct%2F487919%3Futm_source%3Dimpact%26utm_medium%3Daffiliate%26utm_campaign%3Dpoke%2Bcottage","Mareep")</f>
        <v>Mareep</v>
      </c>
      <c r="D128" s="5" t="s">
        <v>8</v>
      </c>
      <c r="E128" s="5" t="s">
        <v>9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80</v>
      </c>
      <c r="C129" s="6" t="str">
        <f aca="false">HYPERLINK("https://partner.tcgplayer.com/c/6278691/1780961/21018?u=https%3A%2F%2Fwww.tcgplayer.com%2Fproduct%2F487919%3Futm_source%3Dimpact%26utm_medium%3Daffiliate%26utm_campaign%3Dpoke%2Bcottage","Mareep")</f>
        <v>Mareep</v>
      </c>
      <c r="D129" s="5" t="s">
        <v>8</v>
      </c>
      <c r="E129" s="5" t="s">
        <v>11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81</v>
      </c>
      <c r="C130" s="6" t="str">
        <f aca="false">HYPERLINK("https://partner.tcgplayer.com/c/6278691/1780961/21018?u=https%3A%2F%2Fwww.tcgplayer.com%2Fproduct%2F487920%3Futm_source%3Dimpact%26utm_medium%3Daffiliate%26utm_campaign%3Dpoke%2Bcottage","Flaaffy")</f>
        <v>Flaaffy</v>
      </c>
      <c r="D130" s="5" t="s">
        <v>13</v>
      </c>
      <c r="E130" s="5" t="s">
        <v>9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81</v>
      </c>
      <c r="C131" s="6" t="str">
        <f aca="false">HYPERLINK("https://partner.tcgplayer.com/c/6278691/1780961/21018?u=https%3A%2F%2Fwww.tcgplayer.com%2Fproduct%2F487920%3Futm_source%3Dimpact%26utm_medium%3Daffiliate%26utm_campaign%3Dpoke%2Bcottage","Flaaffy")</f>
        <v>Flaaffy</v>
      </c>
      <c r="D131" s="5" t="s">
        <v>13</v>
      </c>
      <c r="E131" s="5" t="s">
        <v>11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82</v>
      </c>
      <c r="C132" s="6" t="str">
        <f aca="false">HYPERLINK("https://partner.tcgplayer.com/c/6278691/1780961/21018?u=https%3A%2F%2Fwww.tcgplayer.com%2Fproduct%2F487922%3Futm_source%3Dimpact%26utm_medium%3Daffiliate%26utm_campaign%3Dpoke%2Bcottage","Pachirisu")</f>
        <v>Pachirisu</v>
      </c>
      <c r="D132" s="5" t="s">
        <v>13</v>
      </c>
      <c r="E132" s="5" t="s">
        <v>9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82</v>
      </c>
      <c r="C133" s="6" t="str">
        <f aca="false">HYPERLINK("https://partner.tcgplayer.com/c/6278691/1780961/21018?u=https%3A%2F%2Fwww.tcgplayer.com%2Fproduct%2F487922%3Futm_source%3Dimpact%26utm_medium%3Daffiliate%26utm_campaign%3Dpoke%2Bcottage","Pachirisu")</f>
        <v>Pachirisu</v>
      </c>
      <c r="D133" s="5" t="s">
        <v>13</v>
      </c>
      <c r="E133" s="5" t="s">
        <v>11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83</v>
      </c>
      <c r="C134" s="6" t="str">
        <f aca="false">HYPERLINK("https://partner.tcgplayer.com/c/6278691/1780961/21018?u=https%3A%2F%2Fwww.tcgplayer.com%2Fproduct%2F487923%3Futm_source%3Dimpact%26utm_medium%3Daffiliate%26utm_campaign%3Dpoke%2Bcottage","Rotom")</f>
        <v>Rotom</v>
      </c>
      <c r="D134" s="5" t="s">
        <v>8</v>
      </c>
      <c r="E134" s="5" t="s">
        <v>9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83</v>
      </c>
      <c r="C135" s="6" t="str">
        <f aca="false">HYPERLINK("https://partner.tcgplayer.com/c/6278691/1780961/21018?u=https%3A%2F%2Fwww.tcgplayer.com%2Fproduct%2F487923%3Futm_source%3Dimpact%26utm_medium%3Daffiliate%26utm_campaign%3Dpoke%2Bcottage","Rotom")</f>
        <v>Rotom</v>
      </c>
      <c r="D135" s="5" t="s">
        <v>8</v>
      </c>
      <c r="E135" s="5" t="s">
        <v>11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84</v>
      </c>
      <c r="C136" s="6" t="str">
        <f aca="false">HYPERLINK("https://partner.tcgplayer.com/c/6278691/1780961/21018?u=https%3A%2F%2Fwww.tcgplayer.com%2Fproduct%2F487924%3Futm_source%3Dimpact%26utm_medium%3Daffiliate%26utm_campaign%3Dpoke%2Bcottage","Rotom")</f>
        <v>Rotom</v>
      </c>
      <c r="D136" s="5" t="s">
        <v>8</v>
      </c>
      <c r="E136" s="5" t="s">
        <v>9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84</v>
      </c>
      <c r="C137" s="6" t="str">
        <f aca="false">HYPERLINK("https://partner.tcgplayer.com/c/6278691/1780961/21018?u=https%3A%2F%2Fwww.tcgplayer.com%2Fproduct%2F487924%3Futm_source%3Dimpact%26utm_medium%3Daffiliate%26utm_campaign%3Dpoke%2Bcottage","Rotom")</f>
        <v>Rotom</v>
      </c>
      <c r="D137" s="5" t="s">
        <v>8</v>
      </c>
      <c r="E137" s="5" t="s">
        <v>11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85</v>
      </c>
      <c r="C138" s="6" t="str">
        <f aca="false">HYPERLINK("https://partner.tcgplayer.com/c/6278691/1780961/21018?u=https%3A%2F%2Fwww.tcgplayer.com%2Fproduct%2F487925%3Futm_source%3Dimpact%26utm_medium%3Daffiliate%26utm_campaign%3Dpoke%2Bcottage","Toxel")</f>
        <v>Toxel</v>
      </c>
      <c r="D138" s="5" t="s">
        <v>8</v>
      </c>
      <c r="E138" s="5" t="s">
        <v>9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85</v>
      </c>
      <c r="C139" s="6" t="str">
        <f aca="false">HYPERLINK("https://partner.tcgplayer.com/c/6278691/1780961/21018?u=https%3A%2F%2Fwww.tcgplayer.com%2Fproduct%2F487925%3Futm_source%3Dimpact%26utm_medium%3Daffiliate%26utm_campaign%3Dpoke%2Bcottage","Toxel")</f>
        <v>Toxel</v>
      </c>
      <c r="D139" s="5" t="s">
        <v>8</v>
      </c>
      <c r="E139" s="5" t="s">
        <v>11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86</v>
      </c>
      <c r="C140" s="6" t="str">
        <f aca="false">HYPERLINK("https://partner.tcgplayer.com/c/6278691/1780961/21018?u=https%3A%2F%2Fwww.tcgplayer.com%2Fproduct%2F487926%3Futm_source%3Dimpact%26utm_medium%3Daffiliate%26utm_campaign%3Dpoke%2Bcottage","Toxtricity")</f>
        <v>Toxtricity</v>
      </c>
      <c r="D140" s="5" t="s">
        <v>13</v>
      </c>
      <c r="E140" s="5" t="s">
        <v>9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86</v>
      </c>
      <c r="C141" s="6" t="str">
        <f aca="false">HYPERLINK("https://partner.tcgplayer.com/c/6278691/1780961/21018?u=https%3A%2F%2Fwww.tcgplayer.com%2Fproduct%2F487926%3Futm_source%3Dimpact%26utm_medium%3Daffiliate%26utm_campaign%3Dpoke%2Bcottage","Toxtricity")</f>
        <v>Toxtricity</v>
      </c>
      <c r="D141" s="5" t="s">
        <v>13</v>
      </c>
      <c r="E141" s="5" t="s">
        <v>11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87</v>
      </c>
      <c r="C142" s="6" t="str">
        <f aca="false">HYPERLINK("https://partner.tcgplayer.com/c/6278691/1780961/21018?u=https%3A%2F%2Fwww.tcgplayer.com%2Fproduct%2F487927%3Futm_source%3Dimpact%26utm_medium%3Daffiliate%26utm_campaign%3Dpoke%2Bcottage","Pawmi")</f>
        <v>Pawmi</v>
      </c>
      <c r="D142" s="5" t="s">
        <v>8</v>
      </c>
      <c r="E142" s="5" t="s">
        <v>9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87</v>
      </c>
      <c r="C143" s="6" t="str">
        <f aca="false">HYPERLINK("https://partner.tcgplayer.com/c/6278691/1780961/21018?u=https%3A%2F%2Fwww.tcgplayer.com%2Fproduct%2F487927%3Futm_source%3Dimpact%26utm_medium%3Daffiliate%26utm_campaign%3Dpoke%2Bcottage","Pawmi")</f>
        <v>Pawmi</v>
      </c>
      <c r="D143" s="5" t="s">
        <v>8</v>
      </c>
      <c r="E143" s="5" t="s">
        <v>11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88</v>
      </c>
      <c r="C144" s="6" t="str">
        <f aca="false">HYPERLINK("https://partner.tcgplayer.com/c/6278691/1780961/21018?u=https%3A%2F%2Fwww.tcgplayer.com%2Fproduct%2F487929%3Futm_source%3Dimpact%26utm_medium%3Daffiliate%26utm_campaign%3Dpoke%2Bcottage","Pawmi")</f>
        <v>Pawmi</v>
      </c>
      <c r="D144" s="5" t="s">
        <v>8</v>
      </c>
      <c r="E144" s="5" t="s">
        <v>9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88</v>
      </c>
      <c r="C145" s="6" t="str">
        <f aca="false">HYPERLINK("https://partner.tcgplayer.com/c/6278691/1780961/21018?u=https%3A%2F%2Fwww.tcgplayer.com%2Fproduct%2F487929%3Futm_source%3Dimpact%26utm_medium%3Daffiliate%26utm_campaign%3Dpoke%2Bcottage","Pawmi")</f>
        <v>Pawmi</v>
      </c>
      <c r="D145" s="5" t="s">
        <v>8</v>
      </c>
      <c r="E145" s="5" t="s">
        <v>11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89</v>
      </c>
      <c r="C146" s="6" t="str">
        <f aca="false">HYPERLINK("https://partner.tcgplayer.com/c/6278691/1780961/21018?u=https%3A%2F%2Fwww.tcgplayer.com%2Fproduct%2F487930%3Futm_source%3Dimpact%26utm_medium%3Daffiliate%26utm_campaign%3Dpoke%2Bcottage","Pawmo")</f>
        <v>Pawmo</v>
      </c>
      <c r="D146" s="5" t="s">
        <v>8</v>
      </c>
      <c r="E146" s="5" t="s">
        <v>9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89</v>
      </c>
      <c r="C147" s="6" t="str">
        <f aca="false">HYPERLINK("https://partner.tcgplayer.com/c/6278691/1780961/21018?u=https%3A%2F%2Fwww.tcgplayer.com%2Fproduct%2F487930%3Futm_source%3Dimpact%26utm_medium%3Daffiliate%26utm_campaign%3Dpoke%2Bcottage","Pawmo")</f>
        <v>Pawmo</v>
      </c>
      <c r="D147" s="5" t="s">
        <v>8</v>
      </c>
      <c r="E147" s="5" t="s">
        <v>11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90</v>
      </c>
      <c r="C148" s="6" t="str">
        <f aca="false">HYPERLINK("https://partner.tcgplayer.com/c/6278691/1780961/21018?u=https%3A%2F%2Fwww.tcgplayer.com%2Fproduct%2F487931%3Futm_source%3Dimpact%26utm_medium%3Daffiliate%26utm_campaign%3Dpoke%2Bcottage","Pawmot")</f>
        <v>Pawmot</v>
      </c>
      <c r="D148" s="5" t="s">
        <v>27</v>
      </c>
      <c r="E148" s="5" t="s">
        <v>28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90</v>
      </c>
      <c r="C149" s="6" t="str">
        <f aca="false">HYPERLINK("https://partner.tcgplayer.com/c/6278691/1780961/21018?u=https%3A%2F%2Fwww.tcgplayer.com%2Fproduct%2F487931%3Futm_source%3Dimpact%26utm_medium%3Daffiliate%26utm_campaign%3Dpoke%2Bcottage","Pawmot")</f>
        <v>Pawmot</v>
      </c>
      <c r="D149" s="5" t="s">
        <v>27</v>
      </c>
      <c r="E149" s="5" t="s">
        <v>11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91</v>
      </c>
      <c r="C150" s="6" t="str">
        <f aca="false">HYPERLINK("https://partner.tcgplayer.com/c/6278691/1780961/21018?u=https%3A%2F%2Fwww.tcgplayer.com%2Fproduct%2F487932%3Futm_source%3Dimpact%26utm_medium%3Daffiliate%26utm_campaign%3Dpoke%2Bcottage","Wattrel")</f>
        <v>Wattrel</v>
      </c>
      <c r="D150" s="5" t="s">
        <v>8</v>
      </c>
      <c r="E150" s="5" t="s">
        <v>9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91</v>
      </c>
      <c r="C151" s="6" t="str">
        <f aca="false">HYPERLINK("https://partner.tcgplayer.com/c/6278691/1780961/21018?u=https%3A%2F%2Fwww.tcgplayer.com%2Fproduct%2F487932%3Futm_source%3Dimpact%26utm_medium%3Daffiliate%26utm_campaign%3Dpoke%2Bcottage","Wattrel")</f>
        <v>Wattrel</v>
      </c>
      <c r="D151" s="5" t="s">
        <v>8</v>
      </c>
      <c r="E151" s="5" t="s">
        <v>11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92</v>
      </c>
      <c r="C152" s="6" t="str">
        <f aca="false">HYPERLINK("https://partner.tcgplayer.com/c/6278691/1780961/21018?u=https%3A%2F%2Fwww.tcgplayer.com%2Fproduct%2F487933%3Futm_source%3Dimpact%26utm_medium%3Daffiliate%26utm_campaign%3Dpoke%2Bcottage","Wattrel")</f>
        <v>Wattrel</v>
      </c>
      <c r="D152" s="5" t="s">
        <v>8</v>
      </c>
      <c r="E152" s="5" t="s">
        <v>9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92</v>
      </c>
      <c r="C153" s="6" t="str">
        <f aca="false">HYPERLINK("https://partner.tcgplayer.com/c/6278691/1780961/21018?u=https%3A%2F%2Fwww.tcgplayer.com%2Fproduct%2F487933%3Futm_source%3Dimpact%26utm_medium%3Daffiliate%26utm_campaign%3Dpoke%2Bcottage","Wattrel")</f>
        <v>Wattrel</v>
      </c>
      <c r="D153" s="5" t="s">
        <v>8</v>
      </c>
      <c r="E153" s="5" t="s">
        <v>11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93</v>
      </c>
      <c r="C154" s="6" t="str">
        <f aca="false">HYPERLINK("https://partner.tcgplayer.com/c/6278691/1780961/21018?u=https%3A%2F%2Fwww.tcgplayer.com%2Fproduct%2F487935%3Futm_source%3Dimpact%26utm_medium%3Daffiliate%26utm_campaign%3Dpoke%2Bcottage","Kilowattrel")</f>
        <v>Kilowattrel</v>
      </c>
      <c r="D154" s="5" t="s">
        <v>13</v>
      </c>
      <c r="E154" s="5" t="s">
        <v>9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93</v>
      </c>
      <c r="C155" s="6" t="str">
        <f aca="false">HYPERLINK("https://partner.tcgplayer.com/c/6278691/1780961/21018?u=https%3A%2F%2Fwww.tcgplayer.com%2Fproduct%2F487935%3Futm_source%3Dimpact%26utm_medium%3Daffiliate%26utm_campaign%3Dpoke%2Bcottage","Kilowattrel")</f>
        <v>Kilowattrel</v>
      </c>
      <c r="D155" s="5" t="s">
        <v>13</v>
      </c>
      <c r="E155" s="5" t="s">
        <v>11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94</v>
      </c>
      <c r="C156" s="6" t="str">
        <f aca="false">HYPERLINK("https://partner.tcgplayer.com/c/6278691/1780961/21018?u=https%3A%2F%2Fwww.tcgplayer.com%2Fproduct%2F487942%3Futm_source%3Dimpact%26utm_medium%3Daffiliate%26utm_campaign%3Dpoke%2Bcottage","Miraidon")</f>
        <v>Miraidon</v>
      </c>
      <c r="D156" s="5" t="s">
        <v>27</v>
      </c>
      <c r="E156" s="5" t="s">
        <v>28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94</v>
      </c>
      <c r="C157" s="6" t="str">
        <f aca="false">HYPERLINK("https://partner.tcgplayer.com/c/6278691/1780961/21018?u=https%3A%2F%2Fwww.tcgplayer.com%2Fproduct%2F487942%3Futm_source%3Dimpact%26utm_medium%3Daffiliate%26utm_campaign%3Dpoke%2Bcottage","Miraidon")</f>
        <v>Miraidon</v>
      </c>
      <c r="D157" s="5" t="s">
        <v>27</v>
      </c>
      <c r="E157" s="5" t="s">
        <v>11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95</v>
      </c>
      <c r="C158" s="6" t="str">
        <f aca="false">HYPERLINK("https://partner.tcgplayer.com/c/6278691/1780961/21018?u=https%3A%2F%2Fwww.tcgplayer.com%2Fproduct%2F475420%3Futm_source%3Dimpact%26utm_medium%3Daffiliate%26utm_campaign%3Dpoke%2Bcottage","Miraidon ex")</f>
        <v>Miraidon ex</v>
      </c>
      <c r="D158" s="5" t="s">
        <v>33</v>
      </c>
      <c r="E158" s="5" t="s">
        <v>28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96</v>
      </c>
      <c r="C159" s="6" t="str">
        <f aca="false">HYPERLINK("https://partner.tcgplayer.com/c/6278691/1780961/21018?u=https%3A%2F%2Fwww.tcgplayer.com%2Fproduct%2F487944%3Futm_source%3Dimpact%26utm_medium%3Daffiliate%26utm_campaign%3Dpoke%2Bcottage","Drowzee")</f>
        <v>Drowzee</v>
      </c>
      <c r="D159" s="5" t="s">
        <v>8</v>
      </c>
      <c r="E159" s="5" t="s">
        <v>9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96</v>
      </c>
      <c r="C160" s="6" t="str">
        <f aca="false">HYPERLINK("https://partner.tcgplayer.com/c/6278691/1780961/21018?u=https%3A%2F%2Fwww.tcgplayer.com%2Fproduct%2F487944%3Futm_source%3Dimpact%26utm_medium%3Daffiliate%26utm_campaign%3Dpoke%2Bcottage","Drowzee")</f>
        <v>Drowzee</v>
      </c>
      <c r="D160" s="5" t="s">
        <v>8</v>
      </c>
      <c r="E160" s="5" t="s">
        <v>11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97</v>
      </c>
      <c r="C161" s="6" t="str">
        <f aca="false">HYPERLINK("https://partner.tcgplayer.com/c/6278691/1780961/21018?u=https%3A%2F%2Fwww.tcgplayer.com%2Fproduct%2F487946%3Futm_source%3Dimpact%26utm_medium%3Daffiliate%26utm_campaign%3Dpoke%2Bcottage","Hypno")</f>
        <v>Hypno</v>
      </c>
      <c r="D161" s="5" t="s">
        <v>13</v>
      </c>
      <c r="E161" s="5" t="s">
        <v>9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97</v>
      </c>
      <c r="C162" s="6" t="str">
        <f aca="false">HYPERLINK("https://partner.tcgplayer.com/c/6278691/1780961/21018?u=https%3A%2F%2Fwww.tcgplayer.com%2Fproduct%2F487946%3Futm_source%3Dimpact%26utm_medium%3Daffiliate%26utm_campaign%3Dpoke%2Bcottage","Hypno")</f>
        <v>Hypno</v>
      </c>
      <c r="D162" s="5" t="s">
        <v>13</v>
      </c>
      <c r="E162" s="5" t="s">
        <v>11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98</v>
      </c>
      <c r="C163" s="6" t="str">
        <f aca="false">HYPERLINK("https://partner.tcgplayer.com/c/6278691/1780961/21018?u=https%3A%2F%2Fwww.tcgplayer.com%2Fproduct%2F487948%3Futm_source%3Dimpact%26utm_medium%3Daffiliate%26utm_campaign%3Dpoke%2Bcottage","Ralts")</f>
        <v>Ralts</v>
      </c>
      <c r="D163" s="5" t="s">
        <v>8</v>
      </c>
      <c r="E163" s="5" t="s">
        <v>9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98</v>
      </c>
      <c r="C164" s="6" t="str">
        <f aca="false">HYPERLINK("https://partner.tcgplayer.com/c/6278691/1780961/21018?u=https%3A%2F%2Fwww.tcgplayer.com%2Fproduct%2F487948%3Futm_source%3Dimpact%26utm_medium%3Daffiliate%26utm_campaign%3Dpoke%2Bcottage","Ralts")</f>
        <v>Ralts</v>
      </c>
      <c r="D164" s="5" t="s">
        <v>8</v>
      </c>
      <c r="E164" s="5" t="s">
        <v>11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99</v>
      </c>
      <c r="C165" s="6" t="str">
        <f aca="false">HYPERLINK("https://partner.tcgplayer.com/c/6278691/1780961/21018?u=https%3A%2F%2Fwww.tcgplayer.com%2Fproduct%2F487949%3Futm_source%3Dimpact%26utm_medium%3Daffiliate%26utm_campaign%3Dpoke%2Bcottage","Kirlia")</f>
        <v>Kirlia</v>
      </c>
      <c r="D165" s="5" t="s">
        <v>8</v>
      </c>
      <c r="E165" s="5" t="s">
        <v>9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99</v>
      </c>
      <c r="C166" s="6" t="str">
        <f aca="false">HYPERLINK("https://partner.tcgplayer.com/c/6278691/1780961/21018?u=https%3A%2F%2Fwww.tcgplayer.com%2Fproduct%2F487949%3Futm_source%3Dimpact%26utm_medium%3Daffiliate%26utm_campaign%3Dpoke%2Bcottage","Kirlia")</f>
        <v>Kirlia</v>
      </c>
      <c r="D166" s="5" t="s">
        <v>8</v>
      </c>
      <c r="E166" s="5" t="s">
        <v>11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100</v>
      </c>
      <c r="C167" s="6" t="str">
        <f aca="false">HYPERLINK("https://partner.tcgplayer.com/c/6278691/1780961/21018?u=https%3A%2F%2Fwww.tcgplayer.com%2Fproduct%2F487951%3Futm_source%3Dimpact%26utm_medium%3Daffiliate%26utm_campaign%3Dpoke%2Bcottage","Gardevoir ex")</f>
        <v>Gardevoir ex</v>
      </c>
      <c r="D167" s="5" t="s">
        <v>33</v>
      </c>
      <c r="E167" s="5" t="s">
        <v>28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101</v>
      </c>
      <c r="C168" s="6" t="str">
        <f aca="false">HYPERLINK("https://partner.tcgplayer.com/c/6278691/1780961/21018?u=https%3A%2F%2Fwww.tcgplayer.com%2Fproduct%2F487952%3Futm_source%3Dimpact%26utm_medium%3Daffiliate%26utm_campaign%3Dpoke%2Bcottage","Shuppet")</f>
        <v>Shuppet</v>
      </c>
      <c r="D168" s="5" t="s">
        <v>8</v>
      </c>
      <c r="E168" s="5" t="s">
        <v>9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101</v>
      </c>
      <c r="C169" s="6" t="str">
        <f aca="false">HYPERLINK("https://partner.tcgplayer.com/c/6278691/1780961/21018?u=https%3A%2F%2Fwww.tcgplayer.com%2Fproduct%2F487952%3Futm_source%3Dimpact%26utm_medium%3Daffiliate%26utm_campaign%3Dpoke%2Bcottage","Shuppet")</f>
        <v>Shuppet</v>
      </c>
      <c r="D169" s="5" t="s">
        <v>8</v>
      </c>
      <c r="E169" s="5" t="s">
        <v>11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102</v>
      </c>
      <c r="C170" s="6" t="str">
        <f aca="false">HYPERLINK("https://partner.tcgplayer.com/c/6278691/1780961/21018?u=https%3A%2F%2Fwww.tcgplayer.com%2Fproduct%2F487954%3Futm_source%3Dimpact%26utm_medium%3Daffiliate%26utm_campaign%3Dpoke%2Bcottage","Banette ex")</f>
        <v>Banette ex</v>
      </c>
      <c r="D170" s="5" t="s">
        <v>33</v>
      </c>
      <c r="E170" s="5" t="s">
        <v>28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103</v>
      </c>
      <c r="C171" s="6" t="str">
        <f aca="false">HYPERLINK("https://partner.tcgplayer.com/c/6278691/1780961/21018?u=https%3A%2F%2Fwww.tcgplayer.com%2Fproduct%2F487955%3Futm_source%3Dimpact%26utm_medium%3Daffiliate%26utm_campaign%3Dpoke%2Bcottage","Drifloon")</f>
        <v>Drifloon</v>
      </c>
      <c r="D171" s="5" t="s">
        <v>8</v>
      </c>
      <c r="E171" s="5" t="s">
        <v>9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103</v>
      </c>
      <c r="C172" s="6" t="str">
        <f aca="false">HYPERLINK("https://partner.tcgplayer.com/c/6278691/1780961/21018?u=https%3A%2F%2Fwww.tcgplayer.com%2Fproduct%2F487955%3Futm_source%3Dimpact%26utm_medium%3Daffiliate%26utm_campaign%3Dpoke%2Bcottage","Drifloon")</f>
        <v>Drifloon</v>
      </c>
      <c r="D172" s="5" t="s">
        <v>8</v>
      </c>
      <c r="E172" s="5" t="s">
        <v>11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104</v>
      </c>
      <c r="C173" s="6" t="str">
        <f aca="false">HYPERLINK("https://partner.tcgplayer.com/c/6278691/1780961/21018?u=https%3A%2F%2Fwww.tcgplayer.com%2Fproduct%2F487956%3Futm_source%3Dimpact%26utm_medium%3Daffiliate%26utm_campaign%3Dpoke%2Bcottage","Drifblim")</f>
        <v>Drifblim</v>
      </c>
      <c r="D173" s="5" t="s">
        <v>13</v>
      </c>
      <c r="E173" s="5" t="s">
        <v>9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104</v>
      </c>
      <c r="C174" s="6" t="str">
        <f aca="false">HYPERLINK("https://partner.tcgplayer.com/c/6278691/1780961/21018?u=https%3A%2F%2Fwww.tcgplayer.com%2Fproduct%2F487956%3Futm_source%3Dimpact%26utm_medium%3Daffiliate%26utm_campaign%3Dpoke%2Bcottage","Drifblim")</f>
        <v>Drifblim</v>
      </c>
      <c r="D174" s="5" t="s">
        <v>13</v>
      </c>
      <c r="E174" s="5" t="s">
        <v>11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105</v>
      </c>
      <c r="C175" s="6" t="str">
        <f aca="false">HYPERLINK("https://partner.tcgplayer.com/c/6278691/1780961/21018?u=https%3A%2F%2Fwww.tcgplayer.com%2Fproduct%2F487958%3Futm_source%3Dimpact%26utm_medium%3Daffiliate%26utm_campaign%3Dpoke%2Bcottage","Flabébé")</f>
        <v>Flabébé</v>
      </c>
      <c r="D175" s="5" t="s">
        <v>8</v>
      </c>
      <c r="E175" s="5" t="s">
        <v>9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105</v>
      </c>
      <c r="C176" s="6" t="str">
        <f aca="false">HYPERLINK("https://partner.tcgplayer.com/c/6278691/1780961/21018?u=https%3A%2F%2Fwww.tcgplayer.com%2Fproduct%2F487958%3Futm_source%3Dimpact%26utm_medium%3Daffiliate%26utm_campaign%3Dpoke%2Bcottage","Flabébé")</f>
        <v>Flabébé</v>
      </c>
      <c r="D176" s="5" t="s">
        <v>8</v>
      </c>
      <c r="E176" s="5" t="s">
        <v>11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106</v>
      </c>
      <c r="C177" s="6" t="str">
        <f aca="false">HYPERLINK("https://partner.tcgplayer.com/c/6278691/1780961/21018?u=https%3A%2F%2Fwww.tcgplayer.com%2Fproduct%2F487959%3Futm_source%3Dimpact%26utm_medium%3Daffiliate%26utm_campaign%3Dpoke%2Bcottage","Floette")</f>
        <v>Floette</v>
      </c>
      <c r="D177" s="5" t="s">
        <v>8</v>
      </c>
      <c r="E177" s="5" t="s">
        <v>9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106</v>
      </c>
      <c r="C178" s="6" t="str">
        <f aca="false">HYPERLINK("https://partner.tcgplayer.com/c/6278691/1780961/21018?u=https%3A%2F%2Fwww.tcgplayer.com%2Fproduct%2F487959%3Futm_source%3Dimpact%26utm_medium%3Daffiliate%26utm_campaign%3Dpoke%2Bcottage","Floette")</f>
        <v>Floette</v>
      </c>
      <c r="D178" s="5" t="s">
        <v>8</v>
      </c>
      <c r="E178" s="5" t="s">
        <v>11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107</v>
      </c>
      <c r="C179" s="6" t="str">
        <f aca="false">HYPERLINK("https://partner.tcgplayer.com/c/6278691/1780961/21018?u=https%3A%2F%2Fwww.tcgplayer.com%2Fproduct%2F487960%3Futm_source%3Dimpact%26utm_medium%3Daffiliate%26utm_campaign%3Dpoke%2Bcottage","Florges")</f>
        <v>Florges</v>
      </c>
      <c r="D179" s="5" t="s">
        <v>13</v>
      </c>
      <c r="E179" s="5" t="s">
        <v>9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107</v>
      </c>
      <c r="C180" s="6" t="str">
        <f aca="false">HYPERLINK("https://partner.tcgplayer.com/c/6278691/1780961/21018?u=https%3A%2F%2Fwww.tcgplayer.com%2Fproduct%2F487960%3Futm_source%3Dimpact%26utm_medium%3Daffiliate%26utm_campaign%3Dpoke%2Bcottage","Florges")</f>
        <v>Florges</v>
      </c>
      <c r="D180" s="5" t="s">
        <v>13</v>
      </c>
      <c r="E180" s="5" t="s">
        <v>11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108</v>
      </c>
      <c r="C181" s="6" t="str">
        <f aca="false">HYPERLINK("https://partner.tcgplayer.com/c/6278691/1780961/21018?u=https%3A%2F%2Fwww.tcgplayer.com%2Fproduct%2F487961%3Futm_source%3Dimpact%26utm_medium%3Daffiliate%26utm_campaign%3Dpoke%2Bcottage","Dedenne")</f>
        <v>Dedenne</v>
      </c>
      <c r="D181" s="5" t="s">
        <v>8</v>
      </c>
      <c r="E181" s="5" t="s">
        <v>9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108</v>
      </c>
      <c r="C182" s="6" t="str">
        <f aca="false">HYPERLINK("https://partner.tcgplayer.com/c/6278691/1780961/21018?u=https%3A%2F%2Fwww.tcgplayer.com%2Fproduct%2F487961%3Futm_source%3Dimpact%26utm_medium%3Daffiliate%26utm_campaign%3Dpoke%2Bcottage","Dedenne")</f>
        <v>Dedenne</v>
      </c>
      <c r="D182" s="5" t="s">
        <v>8</v>
      </c>
      <c r="E182" s="5" t="s">
        <v>11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109</v>
      </c>
      <c r="C183" s="6" t="str">
        <f aca="false">HYPERLINK("https://partner.tcgplayer.com/c/6278691/1780961/21018?u=https%3A%2F%2Fwww.tcgplayer.com%2Fproduct%2F487054%3Futm_source%3Dimpact%26utm_medium%3Daffiliate%26utm_campaign%3Dpoke%2Bcottage","Dedenne")</f>
        <v>Dedenne</v>
      </c>
      <c r="D183" s="5" t="s">
        <v>8</v>
      </c>
      <c r="E183" s="5" t="s">
        <v>9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109</v>
      </c>
      <c r="C184" s="6" t="str">
        <f aca="false">HYPERLINK("https://partner.tcgplayer.com/c/6278691/1780961/21018?u=https%3A%2F%2Fwww.tcgplayer.com%2Fproduct%2F487054%3Futm_source%3Dimpact%26utm_medium%3Daffiliate%26utm_campaign%3Dpoke%2Bcottage","Dedenne")</f>
        <v>Dedenne</v>
      </c>
      <c r="D184" s="5" t="s">
        <v>8</v>
      </c>
      <c r="E184" s="5" t="s">
        <v>11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110</v>
      </c>
      <c r="C185" s="6" t="str">
        <f aca="false">HYPERLINK("https://partner.tcgplayer.com/c/6278691/1780961/21018?u=https%3A%2F%2Fwww.tcgplayer.com%2Fproduct%2F486602%3Futm_source%3Dimpact%26utm_medium%3Daffiliate%26utm_campaign%3Dpoke%2Bcottage","Klefki")</f>
        <v>Klefki</v>
      </c>
      <c r="D185" s="5" t="s">
        <v>27</v>
      </c>
      <c r="E185" s="5" t="s">
        <v>28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110</v>
      </c>
      <c r="C186" s="6" t="str">
        <f aca="false">HYPERLINK("https://partner.tcgplayer.com/c/6278691/1780961/21018?u=https%3A%2F%2Fwww.tcgplayer.com%2Fproduct%2F486602%3Futm_source%3Dimpact%26utm_medium%3Daffiliate%26utm_campaign%3Dpoke%2Bcottage","Klefki")</f>
        <v>Klefki</v>
      </c>
      <c r="D186" s="5" t="s">
        <v>27</v>
      </c>
      <c r="E186" s="5" t="s">
        <v>11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111</v>
      </c>
      <c r="C187" s="6" t="str">
        <f aca="false">HYPERLINK("https://partner.tcgplayer.com/c/6278691/1780961/21018?u=https%3A%2F%2Fwww.tcgplayer.com%2Fproduct%2F487968%3Futm_source%3Dimpact%26utm_medium%3Daffiliate%26utm_campaign%3Dpoke%2Bcottage","Fidough")</f>
        <v>Fidough</v>
      </c>
      <c r="D187" s="5" t="s">
        <v>8</v>
      </c>
      <c r="E187" s="5" t="s">
        <v>9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111</v>
      </c>
      <c r="C188" s="6" t="str">
        <f aca="false">HYPERLINK("https://partner.tcgplayer.com/c/6278691/1780961/21018?u=https%3A%2F%2Fwww.tcgplayer.com%2Fproduct%2F487968%3Futm_source%3Dimpact%26utm_medium%3Daffiliate%26utm_campaign%3Dpoke%2Bcottage","Fidough")</f>
        <v>Fidough</v>
      </c>
      <c r="D188" s="5" t="s">
        <v>8</v>
      </c>
      <c r="E188" s="5" t="s">
        <v>11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112</v>
      </c>
      <c r="C189" s="6" t="str">
        <f aca="false">HYPERLINK("https://partner.tcgplayer.com/c/6278691/1780961/21018?u=https%3A%2F%2Fwww.tcgplayer.com%2Fproduct%2F487969%3Futm_source%3Dimpact%26utm_medium%3Daffiliate%26utm_campaign%3Dpoke%2Bcottage","Fidough")</f>
        <v>Fidough</v>
      </c>
      <c r="D189" s="5" t="s">
        <v>8</v>
      </c>
      <c r="E189" s="5" t="s">
        <v>9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112</v>
      </c>
      <c r="C190" s="6" t="str">
        <f aca="false">HYPERLINK("https://partner.tcgplayer.com/c/6278691/1780961/21018?u=https%3A%2F%2Fwww.tcgplayer.com%2Fproduct%2F487969%3Futm_source%3Dimpact%26utm_medium%3Daffiliate%26utm_campaign%3Dpoke%2Bcottage","Fidough")</f>
        <v>Fidough</v>
      </c>
      <c r="D190" s="5" t="s">
        <v>8</v>
      </c>
      <c r="E190" s="5" t="s">
        <v>11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113</v>
      </c>
      <c r="C191" s="6" t="str">
        <f aca="false">HYPERLINK("https://partner.tcgplayer.com/c/6278691/1780961/21018?u=https%3A%2F%2Fwww.tcgplayer.com%2Fproduct%2F487971%3Futm_source%3Dimpact%26utm_medium%3Daffiliate%26utm_campaign%3Dpoke%2Bcottage","Dachsbun")</f>
        <v>Dachsbun</v>
      </c>
      <c r="D191" s="5" t="s">
        <v>13</v>
      </c>
      <c r="E191" s="5" t="s">
        <v>9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113</v>
      </c>
      <c r="C192" s="6" t="str">
        <f aca="false">HYPERLINK("https://partner.tcgplayer.com/c/6278691/1780961/21018?u=https%3A%2F%2Fwww.tcgplayer.com%2Fproduct%2F487971%3Futm_source%3Dimpact%26utm_medium%3Daffiliate%26utm_campaign%3Dpoke%2Bcottage","Dachsbun")</f>
        <v>Dachsbun</v>
      </c>
      <c r="D192" s="5" t="s">
        <v>13</v>
      </c>
      <c r="E192" s="5" t="s">
        <v>11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114</v>
      </c>
      <c r="C193" s="6" t="str">
        <f aca="false">HYPERLINK("https://partner.tcgplayer.com/c/6278691/1780961/21018?u=https%3A%2F%2Fwww.tcgplayer.com%2Fproduct%2F487973%3Futm_source%3Dimpact%26utm_medium%3Daffiliate%26utm_campaign%3Dpoke%2Bcottage","Flittle")</f>
        <v>Flittle</v>
      </c>
      <c r="D193" s="5" t="s">
        <v>8</v>
      </c>
      <c r="E193" s="5" t="s">
        <v>9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114</v>
      </c>
      <c r="C194" s="6" t="str">
        <f aca="false">HYPERLINK("https://partner.tcgplayer.com/c/6278691/1780961/21018?u=https%3A%2F%2Fwww.tcgplayer.com%2Fproduct%2F487973%3Futm_source%3Dimpact%26utm_medium%3Daffiliate%26utm_campaign%3Dpoke%2Bcottage","Flittle")</f>
        <v>Flittle</v>
      </c>
      <c r="D194" s="5" t="s">
        <v>8</v>
      </c>
      <c r="E194" s="5" t="s">
        <v>11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115</v>
      </c>
      <c r="C195" s="6" t="str">
        <f aca="false">HYPERLINK("https://partner.tcgplayer.com/c/6278691/1780961/21018?u=https%3A%2F%2Fwww.tcgplayer.com%2Fproduct%2F487975%3Futm_source%3Dimpact%26utm_medium%3Daffiliate%26utm_campaign%3Dpoke%2Bcottage","Flittle")</f>
        <v>Flittle</v>
      </c>
      <c r="D195" s="5" t="s">
        <v>8</v>
      </c>
      <c r="E195" s="5" t="s">
        <v>9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115</v>
      </c>
      <c r="C196" s="6" t="str">
        <f aca="false">HYPERLINK("https://partner.tcgplayer.com/c/6278691/1780961/21018?u=https%3A%2F%2Fwww.tcgplayer.com%2Fproduct%2F487975%3Futm_source%3Dimpact%26utm_medium%3Daffiliate%26utm_campaign%3Dpoke%2Bcottage","Flittle")</f>
        <v>Flittle</v>
      </c>
      <c r="D196" s="5" t="s">
        <v>8</v>
      </c>
      <c r="E196" s="5" t="s">
        <v>11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116</v>
      </c>
      <c r="C197" s="6" t="str">
        <f aca="false">HYPERLINK("https://partner.tcgplayer.com/c/6278691/1780961/21018?u=https%3A%2F%2Fwww.tcgplayer.com%2Fproduct%2F487976%3Futm_source%3Dimpact%26utm_medium%3Daffiliate%26utm_campaign%3Dpoke%2Bcottage","Flittle")</f>
        <v>Flittle</v>
      </c>
      <c r="D197" s="5" t="s">
        <v>8</v>
      </c>
      <c r="E197" s="5" t="s">
        <v>9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116</v>
      </c>
      <c r="C198" s="6" t="str">
        <f aca="false">HYPERLINK("https://partner.tcgplayer.com/c/6278691/1780961/21018?u=https%3A%2F%2Fwww.tcgplayer.com%2Fproduct%2F487976%3Futm_source%3Dimpact%26utm_medium%3Daffiliate%26utm_campaign%3Dpoke%2Bcottage","Flittle")</f>
        <v>Flittle</v>
      </c>
      <c r="D198" s="5" t="s">
        <v>8</v>
      </c>
      <c r="E198" s="5" t="s">
        <v>11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117</v>
      </c>
      <c r="C199" s="6" t="str">
        <f aca="false">HYPERLINK("https://partner.tcgplayer.com/c/6278691/1780961/21018?u=https%3A%2F%2Fwww.tcgplayer.com%2Fproduct%2F487978%3Futm_source%3Dimpact%26utm_medium%3Daffiliate%26utm_campaign%3Dpoke%2Bcottage","Espathra")</f>
        <v>Espathra</v>
      </c>
      <c r="D199" s="5" t="s">
        <v>13</v>
      </c>
      <c r="E199" s="5" t="s">
        <v>9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117</v>
      </c>
      <c r="C200" s="6" t="str">
        <f aca="false">HYPERLINK("https://partner.tcgplayer.com/c/6278691/1780961/21018?u=https%3A%2F%2Fwww.tcgplayer.com%2Fproduct%2F487978%3Futm_source%3Dimpact%26utm_medium%3Daffiliate%26utm_campaign%3Dpoke%2Bcottage","Espathra")</f>
        <v>Espathra</v>
      </c>
      <c r="D200" s="5" t="s">
        <v>13</v>
      </c>
      <c r="E200" s="5" t="s">
        <v>11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118</v>
      </c>
      <c r="C201" s="6" t="str">
        <f aca="false">HYPERLINK("https://partner.tcgplayer.com/c/6278691/1780961/21018?u=https%3A%2F%2Fwww.tcgplayer.com%2Fproduct%2F487980%3Futm_source%3Dimpact%26utm_medium%3Daffiliate%26utm_campaign%3Dpoke%2Bcottage","Greavard")</f>
        <v>Greavard</v>
      </c>
      <c r="D201" s="5" t="s">
        <v>8</v>
      </c>
      <c r="E201" s="5" t="s">
        <v>9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118</v>
      </c>
      <c r="C202" s="6" t="str">
        <f aca="false">HYPERLINK("https://partner.tcgplayer.com/c/6278691/1780961/21018?u=https%3A%2F%2Fwww.tcgplayer.com%2Fproduct%2F487980%3Futm_source%3Dimpact%26utm_medium%3Daffiliate%26utm_campaign%3Dpoke%2Bcottage","Greavard")</f>
        <v>Greavard</v>
      </c>
      <c r="D202" s="5" t="s">
        <v>8</v>
      </c>
      <c r="E202" s="5" t="s">
        <v>11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119</v>
      </c>
      <c r="C203" s="6" t="str">
        <f aca="false">HYPERLINK("https://partner.tcgplayer.com/c/6278691/1780961/21018?u=https%3A%2F%2Fwww.tcgplayer.com%2Fproduct%2F487981%3Futm_source%3Dimpact%26utm_medium%3Daffiliate%26utm_campaign%3Dpoke%2Bcottage","Greavard")</f>
        <v>Greavard</v>
      </c>
      <c r="D203" s="5" t="s">
        <v>8</v>
      </c>
      <c r="E203" s="5" t="s">
        <v>9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119</v>
      </c>
      <c r="C204" s="6" t="str">
        <f aca="false">HYPERLINK("https://partner.tcgplayer.com/c/6278691/1780961/21018?u=https%3A%2F%2Fwww.tcgplayer.com%2Fproduct%2F487981%3Futm_source%3Dimpact%26utm_medium%3Daffiliate%26utm_campaign%3Dpoke%2Bcottage","Greavard")</f>
        <v>Greavard</v>
      </c>
      <c r="D204" s="5" t="s">
        <v>8</v>
      </c>
      <c r="E204" s="5" t="s">
        <v>11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120</v>
      </c>
      <c r="C205" s="6" t="str">
        <f aca="false">HYPERLINK("https://partner.tcgplayer.com/c/6278691/1780961/21018?u=https%3A%2F%2Fwww.tcgplayer.com%2Fproduct%2F487983%3Futm_source%3Dimpact%26utm_medium%3Daffiliate%26utm_campaign%3Dpoke%2Bcottage","Houndstone")</f>
        <v>Houndstone</v>
      </c>
      <c r="D205" s="5" t="s">
        <v>27</v>
      </c>
      <c r="E205" s="5" t="s">
        <v>28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120</v>
      </c>
      <c r="C206" s="6" t="str">
        <f aca="false">HYPERLINK("https://partner.tcgplayer.com/c/6278691/1780961/21018?u=https%3A%2F%2Fwww.tcgplayer.com%2Fproduct%2F487983%3Futm_source%3Dimpact%26utm_medium%3Daffiliate%26utm_campaign%3Dpoke%2Bcottage","Houndstone")</f>
        <v>Houndstone</v>
      </c>
      <c r="D206" s="5" t="s">
        <v>27</v>
      </c>
      <c r="E206" s="5" t="s">
        <v>11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121</v>
      </c>
      <c r="C207" s="6" t="str">
        <f aca="false">HYPERLINK("https://partner.tcgplayer.com/c/6278691/1780961/21018?u=https%3A%2F%2Fwww.tcgplayer.com%2Fproduct%2F487993%3Futm_source%3Dimpact%26utm_medium%3Daffiliate%26utm_campaign%3Dpoke%2Bcottage","Mankey")</f>
        <v>Mankey</v>
      </c>
      <c r="D207" s="5" t="s">
        <v>8</v>
      </c>
      <c r="E207" s="5" t="s">
        <v>9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121</v>
      </c>
      <c r="C208" s="6" t="str">
        <f aca="false">HYPERLINK("https://partner.tcgplayer.com/c/6278691/1780961/21018?u=https%3A%2F%2Fwww.tcgplayer.com%2Fproduct%2F487993%3Futm_source%3Dimpact%26utm_medium%3Daffiliate%26utm_campaign%3Dpoke%2Bcottage","Mankey")</f>
        <v>Mankey</v>
      </c>
      <c r="D208" s="5" t="s">
        <v>8</v>
      </c>
      <c r="E208" s="5" t="s">
        <v>11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122</v>
      </c>
      <c r="C209" s="6" t="str">
        <f aca="false">HYPERLINK("https://partner.tcgplayer.com/c/6278691/1780961/21018?u=https%3A%2F%2Fwww.tcgplayer.com%2Fproduct%2F487994%3Futm_source%3Dimpact%26utm_medium%3Daffiliate%26utm_campaign%3Dpoke%2Bcottage","Primeape")</f>
        <v>Primeape</v>
      </c>
      <c r="D209" s="5" t="s">
        <v>8</v>
      </c>
      <c r="E209" s="5" t="s">
        <v>9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122</v>
      </c>
      <c r="C210" s="6" t="str">
        <f aca="false">HYPERLINK("https://partner.tcgplayer.com/c/6278691/1780961/21018?u=https%3A%2F%2Fwww.tcgplayer.com%2Fproduct%2F487994%3Futm_source%3Dimpact%26utm_medium%3Daffiliate%26utm_campaign%3Dpoke%2Bcottage","Primeape")</f>
        <v>Primeape</v>
      </c>
      <c r="D210" s="5" t="s">
        <v>8</v>
      </c>
      <c r="E210" s="5" t="s">
        <v>11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123</v>
      </c>
      <c r="C211" s="6" t="str">
        <f aca="false">HYPERLINK("https://partner.tcgplayer.com/c/6278691/1780961/21018?u=https%3A%2F%2Fwww.tcgplayer.com%2Fproduct%2F486617%3Futm_source%3Dimpact%26utm_medium%3Daffiliate%26utm_campaign%3Dpoke%2Bcottage","Annihilape")</f>
        <v>Annihilape</v>
      </c>
      <c r="D211" s="5" t="s">
        <v>27</v>
      </c>
      <c r="E211" s="5" t="s">
        <v>28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123</v>
      </c>
      <c r="C212" s="6" t="str">
        <f aca="false">HYPERLINK("https://partner.tcgplayer.com/c/6278691/1780961/21018?u=https%3A%2F%2Fwww.tcgplayer.com%2Fproduct%2F486617%3Futm_source%3Dimpact%26utm_medium%3Daffiliate%26utm_campaign%3Dpoke%2Bcottage","Annihilape")</f>
        <v>Annihilape</v>
      </c>
      <c r="D212" s="5" t="s">
        <v>27</v>
      </c>
      <c r="E212" s="5" t="s">
        <v>11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124</v>
      </c>
      <c r="C213" s="6" t="str">
        <f aca="false">HYPERLINK("https://partner.tcgplayer.com/c/6278691/1780961/21018?u=https%3A%2F%2Fwww.tcgplayer.com%2Fproduct%2F487999%3Futm_source%3Dimpact%26utm_medium%3Daffiliate%26utm_campaign%3Dpoke%2Bcottage","Meditite")</f>
        <v>Meditite</v>
      </c>
      <c r="D213" s="5" t="s">
        <v>8</v>
      </c>
      <c r="E213" s="5" t="s">
        <v>9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124</v>
      </c>
      <c r="C214" s="6" t="str">
        <f aca="false">HYPERLINK("https://partner.tcgplayer.com/c/6278691/1780961/21018?u=https%3A%2F%2Fwww.tcgplayer.com%2Fproduct%2F487999%3Futm_source%3Dimpact%26utm_medium%3Daffiliate%26utm_campaign%3Dpoke%2Bcottage","Meditite")</f>
        <v>Meditite</v>
      </c>
      <c r="D214" s="5" t="s">
        <v>8</v>
      </c>
      <c r="E214" s="5" t="s">
        <v>11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125</v>
      </c>
      <c r="C215" s="6" t="str">
        <f aca="false">HYPERLINK("https://partner.tcgplayer.com/c/6278691/1780961/21018?u=https%3A%2F%2Fwww.tcgplayer.com%2Fproduct%2F488000%3Futm_source%3Dimpact%26utm_medium%3Daffiliate%26utm_campaign%3Dpoke%2Bcottage","Medicham")</f>
        <v>Medicham</v>
      </c>
      <c r="D215" s="5" t="s">
        <v>13</v>
      </c>
      <c r="E215" s="5" t="s">
        <v>9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125</v>
      </c>
      <c r="C216" s="6" t="str">
        <f aca="false">HYPERLINK("https://partner.tcgplayer.com/c/6278691/1780961/21018?u=https%3A%2F%2Fwww.tcgplayer.com%2Fproduct%2F488000%3Futm_source%3Dimpact%26utm_medium%3Daffiliate%26utm_campaign%3Dpoke%2Bcottage","Medicham")</f>
        <v>Medicham</v>
      </c>
      <c r="D216" s="5" t="s">
        <v>13</v>
      </c>
      <c r="E216" s="5" t="s">
        <v>11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126</v>
      </c>
      <c r="C217" s="6" t="str">
        <f aca="false">HYPERLINK("https://partner.tcgplayer.com/c/6278691/1780961/21018?u=https%3A%2F%2Fwww.tcgplayer.com%2Fproduct%2F488001%3Futm_source%3Dimpact%26utm_medium%3Daffiliate%26utm_campaign%3Dpoke%2Bcottage","Riolu")</f>
        <v>Riolu</v>
      </c>
      <c r="D217" s="5" t="s">
        <v>8</v>
      </c>
      <c r="E217" s="5" t="s">
        <v>9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126</v>
      </c>
      <c r="C218" s="6" t="str">
        <f aca="false">HYPERLINK("https://partner.tcgplayer.com/c/6278691/1780961/21018?u=https%3A%2F%2Fwww.tcgplayer.com%2Fproduct%2F488001%3Futm_source%3Dimpact%26utm_medium%3Daffiliate%26utm_campaign%3Dpoke%2Bcottage","Riolu")</f>
        <v>Riolu</v>
      </c>
      <c r="D218" s="5" t="s">
        <v>8</v>
      </c>
      <c r="E218" s="5" t="s">
        <v>11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127</v>
      </c>
      <c r="C219" s="6" t="str">
        <f aca="false">HYPERLINK("https://partner.tcgplayer.com/c/6278691/1780961/21018?u=https%3A%2F%2Fwww.tcgplayer.com%2Fproduct%2F488002%3Futm_source%3Dimpact%26utm_medium%3Daffiliate%26utm_campaign%3Dpoke%2Bcottage","Riolu")</f>
        <v>Riolu</v>
      </c>
      <c r="D219" s="5" t="s">
        <v>8</v>
      </c>
      <c r="E219" s="5" t="s">
        <v>9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127</v>
      </c>
      <c r="C220" s="6" t="str">
        <f aca="false">HYPERLINK("https://partner.tcgplayer.com/c/6278691/1780961/21018?u=https%3A%2F%2Fwww.tcgplayer.com%2Fproduct%2F488002%3Futm_source%3Dimpact%26utm_medium%3Daffiliate%26utm_campaign%3Dpoke%2Bcottage","Riolu")</f>
        <v>Riolu</v>
      </c>
      <c r="D220" s="5" t="s">
        <v>8</v>
      </c>
      <c r="E220" s="5" t="s">
        <v>11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128</v>
      </c>
      <c r="C221" s="6" t="str">
        <f aca="false">HYPERLINK("https://partner.tcgplayer.com/c/6278691/1780961/21018?u=https%3A%2F%2Fwww.tcgplayer.com%2Fproduct%2F488003%3Futm_source%3Dimpact%26utm_medium%3Daffiliate%26utm_campaign%3Dpoke%2Bcottage","Lucario")</f>
        <v>Lucario</v>
      </c>
      <c r="D221" s="5" t="s">
        <v>13</v>
      </c>
      <c r="E221" s="5" t="s">
        <v>9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128</v>
      </c>
      <c r="C222" s="6" t="str">
        <f aca="false">HYPERLINK("https://partner.tcgplayer.com/c/6278691/1780961/21018?u=https%3A%2F%2Fwww.tcgplayer.com%2Fproduct%2F488003%3Futm_source%3Dimpact%26utm_medium%3Daffiliate%26utm_campaign%3Dpoke%2Bcottage","Lucario")</f>
        <v>Lucario</v>
      </c>
      <c r="D222" s="5" t="s">
        <v>13</v>
      </c>
      <c r="E222" s="5" t="s">
        <v>11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129</v>
      </c>
      <c r="C223" s="6" t="str">
        <f aca="false">HYPERLINK("https://partner.tcgplayer.com/c/6278691/1780961/21018?u=https%3A%2F%2Fwww.tcgplayer.com%2Fproduct%2F488004%3Futm_source%3Dimpact%26utm_medium%3Daffiliate%26utm_campaign%3Dpoke%2Bcottage","Sandile")</f>
        <v>Sandile</v>
      </c>
      <c r="D223" s="5" t="s">
        <v>8</v>
      </c>
      <c r="E223" s="5" t="s">
        <v>9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129</v>
      </c>
      <c r="C224" s="6" t="str">
        <f aca="false">HYPERLINK("https://partner.tcgplayer.com/c/6278691/1780961/21018?u=https%3A%2F%2Fwww.tcgplayer.com%2Fproduct%2F488004%3Futm_source%3Dimpact%26utm_medium%3Daffiliate%26utm_campaign%3Dpoke%2Bcottage","Sandile")</f>
        <v>Sandile</v>
      </c>
      <c r="D224" s="5" t="s">
        <v>8</v>
      </c>
      <c r="E224" s="5" t="s">
        <v>11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130</v>
      </c>
      <c r="C225" s="6" t="str">
        <f aca="false">HYPERLINK("https://partner.tcgplayer.com/c/6278691/1780961/21018?u=https%3A%2F%2Fwww.tcgplayer.com%2Fproduct%2F488005%3Futm_source%3Dimpact%26utm_medium%3Daffiliate%26utm_campaign%3Dpoke%2Bcottage","Krokorok")</f>
        <v>Krokorok</v>
      </c>
      <c r="D225" s="5" t="s">
        <v>8</v>
      </c>
      <c r="E225" s="5" t="s">
        <v>9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130</v>
      </c>
      <c r="C226" s="6" t="str">
        <f aca="false">HYPERLINK("https://partner.tcgplayer.com/c/6278691/1780961/21018?u=https%3A%2F%2Fwww.tcgplayer.com%2Fproduct%2F488005%3Futm_source%3Dimpact%26utm_medium%3Daffiliate%26utm_campaign%3Dpoke%2Bcottage","Krokorok")</f>
        <v>Krokorok</v>
      </c>
      <c r="D226" s="5" t="s">
        <v>8</v>
      </c>
      <c r="E226" s="5" t="s">
        <v>11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131</v>
      </c>
      <c r="C227" s="6" t="str">
        <f aca="false">HYPERLINK("https://partner.tcgplayer.com/c/6278691/1780961/21018?u=https%3A%2F%2Fwww.tcgplayer.com%2Fproduct%2F488006%3Futm_source%3Dimpact%26utm_medium%3Daffiliate%26utm_campaign%3Dpoke%2Bcottage","Krookodile")</f>
        <v>Krookodile</v>
      </c>
      <c r="D227" s="5" t="s">
        <v>13</v>
      </c>
      <c r="E227" s="5" t="s">
        <v>9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131</v>
      </c>
      <c r="C228" s="6" t="str">
        <f aca="false">HYPERLINK("https://partner.tcgplayer.com/c/6278691/1780961/21018?u=https%3A%2F%2Fwww.tcgplayer.com%2Fproduct%2F488006%3Futm_source%3Dimpact%26utm_medium%3Daffiliate%26utm_campaign%3Dpoke%2Bcottage","Krookodile")</f>
        <v>Krookodile</v>
      </c>
      <c r="D228" s="5" t="s">
        <v>13</v>
      </c>
      <c r="E228" s="5" t="s">
        <v>11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132</v>
      </c>
      <c r="C229" s="6" t="str">
        <f aca="false">HYPERLINK("https://partner.tcgplayer.com/c/6278691/1780961/21018?u=https%3A%2F%2Fwww.tcgplayer.com%2Fproduct%2F488007%3Futm_source%3Dimpact%26utm_medium%3Daffiliate%26utm_campaign%3Dpoke%2Bcottage","Hawlucha")</f>
        <v>Hawlucha</v>
      </c>
      <c r="D229" s="5" t="s">
        <v>27</v>
      </c>
      <c r="E229" s="5" t="s">
        <v>28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132</v>
      </c>
      <c r="C230" s="6" t="str">
        <f aca="false">HYPERLINK("https://partner.tcgplayer.com/c/6278691/1780961/21018?u=https%3A%2F%2Fwww.tcgplayer.com%2Fproduct%2F488007%3Futm_source%3Dimpact%26utm_medium%3Daffiliate%26utm_campaign%3Dpoke%2Bcottage","Hawlucha")</f>
        <v>Hawlucha</v>
      </c>
      <c r="D230" s="5" t="s">
        <v>27</v>
      </c>
      <c r="E230" s="5" t="s">
        <v>11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133</v>
      </c>
      <c r="C231" s="6" t="str">
        <f aca="false">HYPERLINK("https://partner.tcgplayer.com/c/6278691/1780961/21018?u=https%3A%2F%2Fwww.tcgplayer.com%2Fproduct%2F488008%3Futm_source%3Dimpact%26utm_medium%3Daffiliate%26utm_campaign%3Dpoke%2Bcottage","Silicobra")</f>
        <v>Silicobra</v>
      </c>
      <c r="D231" s="5" t="s">
        <v>8</v>
      </c>
      <c r="E231" s="5" t="s">
        <v>9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133</v>
      </c>
      <c r="C232" s="6" t="str">
        <f aca="false">HYPERLINK("https://partner.tcgplayer.com/c/6278691/1780961/21018?u=https%3A%2F%2Fwww.tcgplayer.com%2Fproduct%2F488008%3Futm_source%3Dimpact%26utm_medium%3Daffiliate%26utm_campaign%3Dpoke%2Bcottage","Silicobra")</f>
        <v>Silicobra</v>
      </c>
      <c r="D232" s="5" t="s">
        <v>8</v>
      </c>
      <c r="E232" s="5" t="s">
        <v>11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134</v>
      </c>
      <c r="C233" s="6" t="str">
        <f aca="false">HYPERLINK("https://partner.tcgplayer.com/c/6278691/1780961/21018?u=https%3A%2F%2Fwww.tcgplayer.com%2Fproduct%2F488009%3Futm_source%3Dimpact%26utm_medium%3Daffiliate%26utm_campaign%3Dpoke%2Bcottage","Sandaconda")</f>
        <v>Sandaconda</v>
      </c>
      <c r="D233" s="5" t="s">
        <v>13</v>
      </c>
      <c r="E233" s="5" t="s">
        <v>9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134</v>
      </c>
      <c r="C234" s="6" t="str">
        <f aca="false">HYPERLINK("https://partner.tcgplayer.com/c/6278691/1780961/21018?u=https%3A%2F%2Fwww.tcgplayer.com%2Fproduct%2F488009%3Futm_source%3Dimpact%26utm_medium%3Daffiliate%26utm_campaign%3Dpoke%2Bcottage","Sandaconda")</f>
        <v>Sandaconda</v>
      </c>
      <c r="D234" s="5" t="s">
        <v>13</v>
      </c>
      <c r="E234" s="5" t="s">
        <v>11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135</v>
      </c>
      <c r="C235" s="6" t="str">
        <f aca="false">HYPERLINK("https://partner.tcgplayer.com/c/6278691/1780961/21018?u=https%3A%2F%2Fwww.tcgplayer.com%2Fproduct%2F488010%3Futm_source%3Dimpact%26utm_medium%3Daffiliate%26utm_campaign%3Dpoke%2Bcottage","Stonjourner")</f>
        <v>Stonjourner</v>
      </c>
      <c r="D235" s="5" t="s">
        <v>13</v>
      </c>
      <c r="E235" s="5" t="s">
        <v>9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135</v>
      </c>
      <c r="C236" s="6" t="str">
        <f aca="false">HYPERLINK("https://partner.tcgplayer.com/c/6278691/1780961/21018?u=https%3A%2F%2Fwww.tcgplayer.com%2Fproduct%2F488010%3Futm_source%3Dimpact%26utm_medium%3Daffiliate%26utm_campaign%3Dpoke%2Bcottage","Stonjourner")</f>
        <v>Stonjourner</v>
      </c>
      <c r="D236" s="5" t="s">
        <v>13</v>
      </c>
      <c r="E236" s="5" t="s">
        <v>11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136</v>
      </c>
      <c r="C237" s="6" t="str">
        <f aca="false">HYPERLINK("https://partner.tcgplayer.com/c/6278691/1780961/21018?u=https%3A%2F%2Fwww.tcgplayer.com%2Fproduct%2F488011%3Futm_source%3Dimpact%26utm_medium%3Daffiliate%26utm_campaign%3Dpoke%2Bcottage","Klawf")</f>
        <v>Klawf</v>
      </c>
      <c r="D237" s="5" t="s">
        <v>27</v>
      </c>
      <c r="E237" s="5" t="s">
        <v>28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136</v>
      </c>
      <c r="C238" s="6" t="str">
        <f aca="false">HYPERLINK("https://partner.tcgplayer.com/c/6278691/1780961/21018?u=https%3A%2F%2Fwww.tcgplayer.com%2Fproduct%2F488011%3Futm_source%3Dimpact%26utm_medium%3Daffiliate%26utm_campaign%3Dpoke%2Bcottage","Klawf")</f>
        <v>Klawf</v>
      </c>
      <c r="D238" s="5" t="s">
        <v>27</v>
      </c>
      <c r="E238" s="5" t="s">
        <v>11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137</v>
      </c>
      <c r="C239" s="6" t="str">
        <f aca="false">HYPERLINK("https://partner.tcgplayer.com/c/6278691/1780961/21018?u=https%3A%2F%2Fwww.tcgplayer.com%2Fproduct%2F488012%3Futm_source%3Dimpact%26utm_medium%3Daffiliate%26utm_campaign%3Dpoke%2Bcottage","Great Tusk ex")</f>
        <v>Great Tusk ex</v>
      </c>
      <c r="D239" s="5" t="s">
        <v>33</v>
      </c>
      <c r="E239" s="5" t="s">
        <v>28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138</v>
      </c>
      <c r="C240" s="6" t="str">
        <f aca="false">HYPERLINK("https://partner.tcgplayer.com/c/6278691/1780961/21018?u=https%3A%2F%2Fwww.tcgplayer.com%2Fproduct%2F488013%3Futm_source%3Dimpact%26utm_medium%3Daffiliate%26utm_campaign%3Dpoke%2Bcottage","Koraidon")</f>
        <v>Koraidon</v>
      </c>
      <c r="D240" s="5" t="s">
        <v>27</v>
      </c>
      <c r="E240" s="5" t="s">
        <v>28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138</v>
      </c>
      <c r="C241" s="6" t="str">
        <f aca="false">HYPERLINK("https://partner.tcgplayer.com/c/6278691/1780961/21018?u=https%3A%2F%2Fwww.tcgplayer.com%2Fproduct%2F488013%3Futm_source%3Dimpact%26utm_medium%3Daffiliate%26utm_campaign%3Dpoke%2Bcottage","Koraidon")</f>
        <v>Koraidon</v>
      </c>
      <c r="D241" s="5" t="s">
        <v>27</v>
      </c>
      <c r="E241" s="5" t="s">
        <v>11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139</v>
      </c>
      <c r="C242" s="6" t="str">
        <f aca="false">HYPERLINK("https://partner.tcgplayer.com/c/6278691/1780961/21018?u=https%3A%2F%2Fwww.tcgplayer.com%2Fproduct%2F475421%3Futm_source%3Dimpact%26utm_medium%3Daffiliate%26utm_campaign%3Dpoke%2Bcottage","Koraidon ex")</f>
        <v>Koraidon ex</v>
      </c>
      <c r="D242" s="5" t="s">
        <v>33</v>
      </c>
      <c r="E242" s="5" t="s">
        <v>28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140</v>
      </c>
      <c r="C243" s="6" t="str">
        <f aca="false">HYPERLINK("https://partner.tcgplayer.com/c/6278691/1780961/21018?u=https%3A%2F%2Fwww.tcgplayer.com%2Fproduct%2F487055%3Futm_source%3Dimpact%26utm_medium%3Daffiliate%26utm_campaign%3Dpoke%2Bcottage","Grimer")</f>
        <v>Grimer</v>
      </c>
      <c r="D243" s="5" t="s">
        <v>8</v>
      </c>
      <c r="E243" s="5" t="s">
        <v>9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140</v>
      </c>
      <c r="C244" s="6" t="str">
        <f aca="false">HYPERLINK("https://partner.tcgplayer.com/c/6278691/1780961/21018?u=https%3A%2F%2Fwww.tcgplayer.com%2Fproduct%2F487055%3Futm_source%3Dimpact%26utm_medium%3Daffiliate%26utm_campaign%3Dpoke%2Bcottage","Grimer")</f>
        <v>Grimer</v>
      </c>
      <c r="D244" s="5" t="s">
        <v>8</v>
      </c>
      <c r="E244" s="5" t="s">
        <v>11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141</v>
      </c>
      <c r="C245" s="6" t="str">
        <f aca="false">HYPERLINK("https://partner.tcgplayer.com/c/6278691/1780961/21018?u=https%3A%2F%2Fwww.tcgplayer.com%2Fproduct%2F488015%3Futm_source%3Dimpact%26utm_medium%3Daffiliate%26utm_campaign%3Dpoke%2Bcottage","Muk")</f>
        <v>Muk</v>
      </c>
      <c r="D245" s="5" t="s">
        <v>13</v>
      </c>
      <c r="E245" s="5" t="s">
        <v>9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141</v>
      </c>
      <c r="C246" s="6" t="str">
        <f aca="false">HYPERLINK("https://partner.tcgplayer.com/c/6278691/1780961/21018?u=https%3A%2F%2Fwww.tcgplayer.com%2Fproduct%2F488015%3Futm_source%3Dimpact%26utm_medium%3Daffiliate%26utm_campaign%3Dpoke%2Bcottage","Muk")</f>
        <v>Muk</v>
      </c>
      <c r="D246" s="5" t="s">
        <v>13</v>
      </c>
      <c r="E246" s="5" t="s">
        <v>11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142</v>
      </c>
      <c r="C247" s="6" t="str">
        <f aca="false">HYPERLINK("https://partner.tcgplayer.com/c/6278691/1780961/21018?u=https%3A%2F%2Fwww.tcgplayer.com%2Fproduct%2F488016%3Futm_source%3Dimpact%26utm_medium%3Daffiliate%26utm_campaign%3Dpoke%2Bcottage","Seviper")</f>
        <v>Seviper</v>
      </c>
      <c r="D247" s="5" t="s">
        <v>8</v>
      </c>
      <c r="E247" s="5" t="s">
        <v>9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142</v>
      </c>
      <c r="C248" s="6" t="str">
        <f aca="false">HYPERLINK("https://partner.tcgplayer.com/c/6278691/1780961/21018?u=https%3A%2F%2Fwww.tcgplayer.com%2Fproduct%2F488016%3Futm_source%3Dimpact%26utm_medium%3Daffiliate%26utm_campaign%3Dpoke%2Bcottage","Seviper")</f>
        <v>Seviper</v>
      </c>
      <c r="D248" s="5" t="s">
        <v>8</v>
      </c>
      <c r="E248" s="5" t="s">
        <v>11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143</v>
      </c>
      <c r="C249" s="6" t="str">
        <f aca="false">HYPERLINK("https://partner.tcgplayer.com/c/6278691/1780961/21018?u=https%3A%2F%2Fwww.tcgplayer.com%2Fproduct%2F488017%3Futm_source%3Dimpact%26utm_medium%3Daffiliate%26utm_campaign%3Dpoke%2Bcottage","Spiritomb")</f>
        <v>Spiritomb</v>
      </c>
      <c r="D249" s="5" t="s">
        <v>13</v>
      </c>
      <c r="E249" s="5" t="s">
        <v>9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143</v>
      </c>
      <c r="C250" s="6" t="str">
        <f aca="false">HYPERLINK("https://partner.tcgplayer.com/c/6278691/1780961/21018?u=https%3A%2F%2Fwww.tcgplayer.com%2Fproduct%2F488017%3Futm_source%3Dimpact%26utm_medium%3Daffiliate%26utm_campaign%3Dpoke%2Bcottage","Spiritomb")</f>
        <v>Spiritomb</v>
      </c>
      <c r="D250" s="5" t="s">
        <v>13</v>
      </c>
      <c r="E250" s="5" t="s">
        <v>11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144</v>
      </c>
      <c r="C251" s="6" t="str">
        <f aca="false">HYPERLINK("https://partner.tcgplayer.com/c/6278691/1780961/21018?u=https%3A%2F%2Fwww.tcgplayer.com%2Fproduct%2F487056%3Futm_source%3Dimpact%26utm_medium%3Daffiliate%26utm_campaign%3Dpoke%2Bcottage","Croagunk")</f>
        <v>Croagunk</v>
      </c>
      <c r="D251" s="5" t="s">
        <v>8</v>
      </c>
      <c r="E251" s="5" t="s">
        <v>9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144</v>
      </c>
      <c r="C252" s="6" t="str">
        <f aca="false">HYPERLINK("https://partner.tcgplayer.com/c/6278691/1780961/21018?u=https%3A%2F%2Fwww.tcgplayer.com%2Fproduct%2F487056%3Futm_source%3Dimpact%26utm_medium%3Daffiliate%26utm_campaign%3Dpoke%2Bcottage","Croagunk")</f>
        <v>Croagunk</v>
      </c>
      <c r="D252" s="5" t="s">
        <v>8</v>
      </c>
      <c r="E252" s="5" t="s">
        <v>11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145</v>
      </c>
      <c r="C253" s="6" t="str">
        <f aca="false">HYPERLINK("https://partner.tcgplayer.com/c/6278691/1780961/21018?u=https%3A%2F%2Fwww.tcgplayer.com%2Fproduct%2F488019%3Futm_source%3Dimpact%26utm_medium%3Daffiliate%26utm_campaign%3Dpoke%2Bcottage","Toxicroak ex")</f>
        <v>Toxicroak ex</v>
      </c>
      <c r="D253" s="5" t="s">
        <v>33</v>
      </c>
      <c r="E253" s="5" t="s">
        <v>28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146</v>
      </c>
      <c r="C254" s="6" t="str">
        <f aca="false">HYPERLINK("https://partner.tcgplayer.com/c/6278691/1780961/21018?u=https%3A%2F%2Fwww.tcgplayer.com%2Fproduct%2F488021%3Futm_source%3Dimpact%26utm_medium%3Daffiliate%26utm_campaign%3Dpoke%2Bcottage","Pawniard")</f>
        <v>Pawniard</v>
      </c>
      <c r="D254" s="5" t="s">
        <v>8</v>
      </c>
      <c r="E254" s="5" t="s">
        <v>9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146</v>
      </c>
      <c r="C255" s="6" t="str">
        <f aca="false">HYPERLINK("https://partner.tcgplayer.com/c/6278691/1780961/21018?u=https%3A%2F%2Fwww.tcgplayer.com%2Fproduct%2F488021%3Futm_source%3Dimpact%26utm_medium%3Daffiliate%26utm_campaign%3Dpoke%2Bcottage","Pawniard")</f>
        <v>Pawniard</v>
      </c>
      <c r="D255" s="5" t="s">
        <v>8</v>
      </c>
      <c r="E255" s="5" t="s">
        <v>11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147</v>
      </c>
      <c r="C256" s="6" t="str">
        <f aca="false">HYPERLINK("https://partner.tcgplayer.com/c/6278691/1780961/21018?u=https%3A%2F%2Fwww.tcgplayer.com%2Fproduct%2F488023%3Futm_source%3Dimpact%26utm_medium%3Daffiliate%26utm_campaign%3Dpoke%2Bcottage","Bisharp")</f>
        <v>Bisharp</v>
      </c>
      <c r="D256" s="5" t="s">
        <v>8</v>
      </c>
      <c r="E256" s="5" t="s">
        <v>9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147</v>
      </c>
      <c r="C257" s="6" t="str">
        <f aca="false">HYPERLINK("https://partner.tcgplayer.com/c/6278691/1780961/21018?u=https%3A%2F%2Fwww.tcgplayer.com%2Fproduct%2F488023%3Futm_source%3Dimpact%26utm_medium%3Daffiliate%26utm_campaign%3Dpoke%2Bcottage","Bisharp")</f>
        <v>Bisharp</v>
      </c>
      <c r="D257" s="5" t="s">
        <v>8</v>
      </c>
      <c r="E257" s="5" t="s">
        <v>11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148</v>
      </c>
      <c r="C258" s="6" t="str">
        <f aca="false">HYPERLINK("https://partner.tcgplayer.com/c/6278691/1780961/21018?u=https%3A%2F%2Fwww.tcgplayer.com%2Fproduct%2F488024%3Futm_source%3Dimpact%26utm_medium%3Daffiliate%26utm_campaign%3Dpoke%2Bcottage","Kingambit")</f>
        <v>Kingambit</v>
      </c>
      <c r="D258" s="5" t="s">
        <v>27</v>
      </c>
      <c r="E258" s="5" t="s">
        <v>28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148</v>
      </c>
      <c r="C259" s="6" t="str">
        <f aca="false">HYPERLINK("https://partner.tcgplayer.com/c/6278691/1780961/21018?u=https%3A%2F%2Fwww.tcgplayer.com%2Fproduct%2F488024%3Futm_source%3Dimpact%26utm_medium%3Daffiliate%26utm_campaign%3Dpoke%2Bcottage","Kingambit")</f>
        <v>Kingambit</v>
      </c>
      <c r="D259" s="5" t="s">
        <v>27</v>
      </c>
      <c r="E259" s="5" t="s">
        <v>11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149</v>
      </c>
      <c r="C260" s="6" t="str">
        <f aca="false">HYPERLINK("https://partner.tcgplayer.com/c/6278691/1780961/21018?u=https%3A%2F%2Fwww.tcgplayer.com%2Fproduct%2F488025%3Futm_source%3Dimpact%26utm_medium%3Daffiliate%26utm_campaign%3Dpoke%2Bcottage","Maschiff")</f>
        <v>Maschiff</v>
      </c>
      <c r="D260" s="5" t="s">
        <v>8</v>
      </c>
      <c r="E260" s="5" t="s">
        <v>9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149</v>
      </c>
      <c r="C261" s="6" t="str">
        <f aca="false">HYPERLINK("https://partner.tcgplayer.com/c/6278691/1780961/21018?u=https%3A%2F%2Fwww.tcgplayer.com%2Fproduct%2F488025%3Futm_source%3Dimpact%26utm_medium%3Daffiliate%26utm_campaign%3Dpoke%2Bcottage","Maschiff")</f>
        <v>Maschiff</v>
      </c>
      <c r="D261" s="5" t="s">
        <v>8</v>
      </c>
      <c r="E261" s="5" t="s">
        <v>11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150</v>
      </c>
      <c r="C262" s="6" t="str">
        <f aca="false">HYPERLINK("https://partner.tcgplayer.com/c/6278691/1780961/21018?u=https%3A%2F%2Fwww.tcgplayer.com%2Fproduct%2F485867%3Futm_source%3Dimpact%26utm_medium%3Daffiliate%26utm_campaign%3Dpoke%2Bcottage","Maschiff")</f>
        <v>Maschiff</v>
      </c>
      <c r="D262" s="5" t="s">
        <v>8</v>
      </c>
      <c r="E262" s="5" t="s">
        <v>9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150</v>
      </c>
      <c r="C263" s="6" t="str">
        <f aca="false">HYPERLINK("https://partner.tcgplayer.com/c/6278691/1780961/21018?u=https%3A%2F%2Fwww.tcgplayer.com%2Fproduct%2F485867%3Futm_source%3Dimpact%26utm_medium%3Daffiliate%26utm_campaign%3Dpoke%2Bcottage","Maschiff")</f>
        <v>Maschiff</v>
      </c>
      <c r="D263" s="5" t="s">
        <v>8</v>
      </c>
      <c r="E263" s="5" t="s">
        <v>11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151</v>
      </c>
      <c r="C264" s="6" t="str">
        <f aca="false">HYPERLINK("https://partner.tcgplayer.com/c/6278691/1780961/21018?u=https%3A%2F%2Fwww.tcgplayer.com%2Fproduct%2F485871%3Futm_source%3Dimpact%26utm_medium%3Daffiliate%26utm_campaign%3Dpoke%2Bcottage","Mabosstiff")</f>
        <v>Mabosstiff</v>
      </c>
      <c r="D264" s="5" t="s">
        <v>13</v>
      </c>
      <c r="E264" s="5" t="s">
        <v>9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151</v>
      </c>
      <c r="C265" s="6" t="str">
        <f aca="false">HYPERLINK("https://partner.tcgplayer.com/c/6278691/1780961/21018?u=https%3A%2F%2Fwww.tcgplayer.com%2Fproduct%2F485871%3Futm_source%3Dimpact%26utm_medium%3Daffiliate%26utm_campaign%3Dpoke%2Bcottage","Mabosstiff")</f>
        <v>Mabosstiff</v>
      </c>
      <c r="D265" s="5" t="s">
        <v>13</v>
      </c>
      <c r="E265" s="5" t="s">
        <v>11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152</v>
      </c>
      <c r="C266" s="6" t="str">
        <f aca="false">HYPERLINK("https://partner.tcgplayer.com/c/6278691/1780961/21018?u=https%3A%2F%2Fwww.tcgplayer.com%2Fproduct%2F488026%3Futm_source%3Dimpact%26utm_medium%3Daffiliate%26utm_campaign%3Dpoke%2Bcottage","Bombirdier")</f>
        <v>Bombirdier</v>
      </c>
      <c r="D266" s="5" t="s">
        <v>13</v>
      </c>
      <c r="E266" s="5" t="s">
        <v>9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152</v>
      </c>
      <c r="C267" s="6" t="str">
        <f aca="false">HYPERLINK("https://partner.tcgplayer.com/c/6278691/1780961/21018?u=https%3A%2F%2Fwww.tcgplayer.com%2Fproduct%2F488026%3Futm_source%3Dimpact%26utm_medium%3Daffiliate%26utm_campaign%3Dpoke%2Bcottage","Bombirdier")</f>
        <v>Bombirdier</v>
      </c>
      <c r="D267" s="5" t="s">
        <v>13</v>
      </c>
      <c r="E267" s="5" t="s">
        <v>11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153</v>
      </c>
      <c r="C268" s="6" t="str">
        <f aca="false">HYPERLINK("https://partner.tcgplayer.com/c/6278691/1780961/21018?u=https%3A%2F%2Fwww.tcgplayer.com%2Fproduct%2F488027%3Futm_source%3Dimpact%26utm_medium%3Daffiliate%26utm_campaign%3Dpoke%2Bcottage","Forretress")</f>
        <v>Forretress</v>
      </c>
      <c r="D268" s="5" t="s">
        <v>13</v>
      </c>
      <c r="E268" s="5" t="s">
        <v>9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153</v>
      </c>
      <c r="C269" s="6" t="str">
        <f aca="false">HYPERLINK("https://partner.tcgplayer.com/c/6278691/1780961/21018?u=https%3A%2F%2Fwww.tcgplayer.com%2Fproduct%2F488027%3Futm_source%3Dimpact%26utm_medium%3Daffiliate%26utm_campaign%3Dpoke%2Bcottage","Forretress")</f>
        <v>Forretress</v>
      </c>
      <c r="D269" s="5" t="s">
        <v>13</v>
      </c>
      <c r="E269" s="5" t="s">
        <v>11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154</v>
      </c>
      <c r="C270" s="6" t="str">
        <f aca="false">HYPERLINK("https://partner.tcgplayer.com/c/6278691/1780961/21018?u=https%3A%2F%2Fwww.tcgplayer.com%2Fproduct%2F488028%3Futm_source%3Dimpact%26utm_medium%3Daffiliate%26utm_campaign%3Dpoke%2Bcottage","Varoom")</f>
        <v>Varoom</v>
      </c>
      <c r="D270" s="5" t="s">
        <v>8</v>
      </c>
      <c r="E270" s="5" t="s">
        <v>9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154</v>
      </c>
      <c r="C271" s="6" t="str">
        <f aca="false">HYPERLINK("https://partner.tcgplayer.com/c/6278691/1780961/21018?u=https%3A%2F%2Fwww.tcgplayer.com%2Fproduct%2F488028%3Futm_source%3Dimpact%26utm_medium%3Daffiliate%26utm_campaign%3Dpoke%2Bcottage","Varoom")</f>
        <v>Varoom</v>
      </c>
      <c r="D271" s="5" t="s">
        <v>8</v>
      </c>
      <c r="E271" s="5" t="s">
        <v>11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155</v>
      </c>
      <c r="C272" s="6" t="str">
        <f aca="false">HYPERLINK("https://partner.tcgplayer.com/c/6278691/1780961/21018?u=https%3A%2F%2Fwww.tcgplayer.com%2Fproduct%2F488029%3Futm_source%3Dimpact%26utm_medium%3Daffiliate%26utm_campaign%3Dpoke%2Bcottage","Varoom")</f>
        <v>Varoom</v>
      </c>
      <c r="D272" s="5" t="s">
        <v>8</v>
      </c>
      <c r="E272" s="5" t="s">
        <v>9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155</v>
      </c>
      <c r="C273" s="6" t="str">
        <f aca="false">HYPERLINK("https://partner.tcgplayer.com/c/6278691/1780961/21018?u=https%3A%2F%2Fwww.tcgplayer.com%2Fproduct%2F488029%3Futm_source%3Dimpact%26utm_medium%3Daffiliate%26utm_campaign%3Dpoke%2Bcottage","Varoom")</f>
        <v>Varoom</v>
      </c>
      <c r="D273" s="5" t="s">
        <v>8</v>
      </c>
      <c r="E273" s="5" t="s">
        <v>11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156</v>
      </c>
      <c r="C274" s="6" t="str">
        <f aca="false">HYPERLINK("https://partner.tcgplayer.com/c/6278691/1780961/21018?u=https%3A%2F%2Fwww.tcgplayer.com%2Fproduct%2F488030%3Futm_source%3Dimpact%26utm_medium%3Daffiliate%26utm_campaign%3Dpoke%2Bcottage","Revavroom")</f>
        <v>Revavroom</v>
      </c>
      <c r="D274" s="5" t="s">
        <v>27</v>
      </c>
      <c r="E274" s="5" t="s">
        <v>28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156</v>
      </c>
      <c r="C275" s="6" t="str">
        <f aca="false">HYPERLINK("https://partner.tcgplayer.com/c/6278691/1780961/21018?u=https%3A%2F%2Fwww.tcgplayer.com%2Fproduct%2F488030%3Futm_source%3Dimpact%26utm_medium%3Daffiliate%26utm_campaign%3Dpoke%2Bcottage","Revavroom")</f>
        <v>Revavroom</v>
      </c>
      <c r="D275" s="5" t="s">
        <v>27</v>
      </c>
      <c r="E275" s="5" t="s">
        <v>11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157</v>
      </c>
      <c r="C276" s="6" t="str">
        <f aca="false">HYPERLINK("https://partner.tcgplayer.com/c/6278691/1780961/21018?u=https%3A%2F%2Fwww.tcgplayer.com%2Fproduct%2F485106%3Futm_source%3Dimpact%26utm_medium%3Daffiliate%26utm_campaign%3Dpoke%2Bcottage","Iron Treads ex")</f>
        <v>Iron Treads ex</v>
      </c>
      <c r="D276" s="5" t="s">
        <v>33</v>
      </c>
      <c r="E276" s="5" t="s">
        <v>28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158</v>
      </c>
      <c r="C277" s="6" t="str">
        <f aca="false">HYPERLINK("https://partner.tcgplayer.com/c/6278691/1780961/21018?u=https%3A%2F%2Fwww.tcgplayer.com%2Fproduct%2F488031%3Futm_source%3Dimpact%26utm_medium%3Daffiliate%26utm_campaign%3Dpoke%2Bcottage","Chansey")</f>
        <v>Chansey</v>
      </c>
      <c r="D277" s="5" t="s">
        <v>8</v>
      </c>
      <c r="E277" s="5" t="s">
        <v>9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158</v>
      </c>
      <c r="C278" s="6" t="str">
        <f aca="false">HYPERLINK("https://partner.tcgplayer.com/c/6278691/1780961/21018?u=https%3A%2F%2Fwww.tcgplayer.com%2Fproduct%2F488031%3Futm_source%3Dimpact%26utm_medium%3Daffiliate%26utm_campaign%3Dpoke%2Bcottage","Chansey")</f>
        <v>Chansey</v>
      </c>
      <c r="D278" s="5" t="s">
        <v>8</v>
      </c>
      <c r="E278" s="5" t="s">
        <v>11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159</v>
      </c>
      <c r="C279" s="6" t="str">
        <f aca="false">HYPERLINK("https://partner.tcgplayer.com/c/6278691/1780961/21018?u=https%3A%2F%2Fwww.tcgplayer.com%2Fproduct%2F488033%3Futm_source%3Dimpact%26utm_medium%3Daffiliate%26utm_campaign%3Dpoke%2Bcottage","Blissey")</f>
        <v>Blissey</v>
      </c>
      <c r="D279" s="5" t="s">
        <v>13</v>
      </c>
      <c r="E279" s="5" t="s">
        <v>9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159</v>
      </c>
      <c r="C280" s="6" t="str">
        <f aca="false">HYPERLINK("https://partner.tcgplayer.com/c/6278691/1780961/21018?u=https%3A%2F%2Fwww.tcgplayer.com%2Fproduct%2F488033%3Futm_source%3Dimpact%26utm_medium%3Daffiliate%26utm_campaign%3Dpoke%2Bcottage","Blissey")</f>
        <v>Blissey</v>
      </c>
      <c r="D280" s="5" t="s">
        <v>13</v>
      </c>
      <c r="E280" s="5" t="s">
        <v>11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160</v>
      </c>
      <c r="C281" s="6" t="str">
        <f aca="false">HYPERLINK("https://partner.tcgplayer.com/c/6278691/1780961/21018?u=https%3A%2F%2Fwww.tcgplayer.com%2Fproduct%2F488035%3Futm_source%3Dimpact%26utm_medium%3Daffiliate%26utm_campaign%3Dpoke%2Bcottage","Zangoose")</f>
        <v>Zangoose</v>
      </c>
      <c r="D281" s="5" t="s">
        <v>8</v>
      </c>
      <c r="E281" s="5" t="s">
        <v>9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160</v>
      </c>
      <c r="C282" s="6" t="str">
        <f aca="false">HYPERLINK("https://partner.tcgplayer.com/c/6278691/1780961/21018?u=https%3A%2F%2Fwww.tcgplayer.com%2Fproduct%2F488035%3Futm_source%3Dimpact%26utm_medium%3Daffiliate%26utm_campaign%3Dpoke%2Bcottage","Zangoose")</f>
        <v>Zangoose</v>
      </c>
      <c r="D282" s="5" t="s">
        <v>8</v>
      </c>
      <c r="E282" s="5" t="s">
        <v>11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161</v>
      </c>
      <c r="C283" s="6" t="str">
        <f aca="false">HYPERLINK("https://partner.tcgplayer.com/c/6278691/1780961/21018?u=https%3A%2F%2Fwww.tcgplayer.com%2Fproduct%2F488036%3Futm_source%3Dimpact%26utm_medium%3Daffiliate%26utm_campaign%3Dpoke%2Bcottage","Zangoose")</f>
        <v>Zangoose</v>
      </c>
      <c r="D283" s="5" t="s">
        <v>13</v>
      </c>
      <c r="E283" s="5" t="s">
        <v>9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161</v>
      </c>
      <c r="C284" s="6" t="str">
        <f aca="false">HYPERLINK("https://partner.tcgplayer.com/c/6278691/1780961/21018?u=https%3A%2F%2Fwww.tcgplayer.com%2Fproduct%2F488036%3Futm_source%3Dimpact%26utm_medium%3Daffiliate%26utm_campaign%3Dpoke%2Bcottage","Zangoose")</f>
        <v>Zangoose</v>
      </c>
      <c r="D284" s="5" t="s">
        <v>13</v>
      </c>
      <c r="E284" s="5" t="s">
        <v>11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162</v>
      </c>
      <c r="C285" s="6" t="str">
        <f aca="false">HYPERLINK("https://partner.tcgplayer.com/c/6278691/1780961/21018?u=https%3A%2F%2Fwww.tcgplayer.com%2Fproduct%2F488037%3Futm_source%3Dimpact%26utm_medium%3Daffiliate%26utm_campaign%3Dpoke%2Bcottage","Starly")</f>
        <v>Starly</v>
      </c>
      <c r="D285" s="5" t="s">
        <v>8</v>
      </c>
      <c r="E285" s="5" t="s">
        <v>9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162</v>
      </c>
      <c r="C286" s="6" t="str">
        <f aca="false">HYPERLINK("https://partner.tcgplayer.com/c/6278691/1780961/21018?u=https%3A%2F%2Fwww.tcgplayer.com%2Fproduct%2F488037%3Futm_source%3Dimpact%26utm_medium%3Daffiliate%26utm_campaign%3Dpoke%2Bcottage","Starly")</f>
        <v>Starly</v>
      </c>
      <c r="D286" s="5" t="s">
        <v>8</v>
      </c>
      <c r="E286" s="5" t="s">
        <v>11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163</v>
      </c>
      <c r="C287" s="6" t="str">
        <f aca="false">HYPERLINK("https://partner.tcgplayer.com/c/6278691/1780961/21018?u=https%3A%2F%2Fwww.tcgplayer.com%2Fproduct%2F488038%3Futm_source%3Dimpact%26utm_medium%3Daffiliate%26utm_campaign%3Dpoke%2Bcottage","Staravia")</f>
        <v>Staravia</v>
      </c>
      <c r="D287" s="5" t="s">
        <v>8</v>
      </c>
      <c r="E287" s="5" t="s">
        <v>9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163</v>
      </c>
      <c r="C288" s="6" t="str">
        <f aca="false">HYPERLINK("https://partner.tcgplayer.com/c/6278691/1780961/21018?u=https%3A%2F%2Fwww.tcgplayer.com%2Fproduct%2F488038%3Futm_source%3Dimpact%26utm_medium%3Daffiliate%26utm_campaign%3Dpoke%2Bcottage","Staravia")</f>
        <v>Staravia</v>
      </c>
      <c r="D288" s="5" t="s">
        <v>8</v>
      </c>
      <c r="E288" s="5" t="s">
        <v>11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164</v>
      </c>
      <c r="C289" s="6" t="str">
        <f aca="false">HYPERLINK("https://partner.tcgplayer.com/c/6278691/1780961/21018?u=https%3A%2F%2Fwww.tcgplayer.com%2Fproduct%2F488040%3Futm_source%3Dimpact%26utm_medium%3Daffiliate%26utm_campaign%3Dpoke%2Bcottage","Staraptor")</f>
        <v>Staraptor</v>
      </c>
      <c r="D289" s="5" t="s">
        <v>13</v>
      </c>
      <c r="E289" s="5" t="s">
        <v>9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164</v>
      </c>
      <c r="C290" s="6" t="str">
        <f aca="false">HYPERLINK("https://partner.tcgplayer.com/c/6278691/1780961/21018?u=https%3A%2F%2Fwww.tcgplayer.com%2Fproduct%2F488040%3Futm_source%3Dimpact%26utm_medium%3Daffiliate%26utm_campaign%3Dpoke%2Bcottage","Staraptor")</f>
        <v>Staraptor</v>
      </c>
      <c r="D290" s="5" t="s">
        <v>13</v>
      </c>
      <c r="E290" s="5" t="s">
        <v>11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165</v>
      </c>
      <c r="C291" s="6" t="str">
        <f aca="false">HYPERLINK("https://partner.tcgplayer.com/c/6278691/1780961/21018?u=https%3A%2F%2Fwww.tcgplayer.com%2Fproduct%2F488041%3Futm_source%3Dimpact%26utm_medium%3Daffiliate%26utm_campaign%3Dpoke%2Bcottage","Skwovet")</f>
        <v>Skwovet</v>
      </c>
      <c r="D291" s="5" t="s">
        <v>8</v>
      </c>
      <c r="E291" s="5" t="s">
        <v>9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165</v>
      </c>
      <c r="C292" s="6" t="str">
        <f aca="false">HYPERLINK("https://partner.tcgplayer.com/c/6278691/1780961/21018?u=https%3A%2F%2Fwww.tcgplayer.com%2Fproduct%2F488041%3Futm_source%3Dimpact%26utm_medium%3Daffiliate%26utm_campaign%3Dpoke%2Bcottage","Skwovet")</f>
        <v>Skwovet</v>
      </c>
      <c r="D292" s="5" t="s">
        <v>8</v>
      </c>
      <c r="E292" s="5" t="s">
        <v>11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166</v>
      </c>
      <c r="C293" s="6" t="str">
        <f aca="false">HYPERLINK("https://partner.tcgplayer.com/c/6278691/1780961/21018?u=https%3A%2F%2Fwww.tcgplayer.com%2Fproduct%2F488043%3Futm_source%3Dimpact%26utm_medium%3Daffiliate%26utm_campaign%3Dpoke%2Bcottage","Greedent")</f>
        <v>Greedent</v>
      </c>
      <c r="D293" s="5" t="s">
        <v>13</v>
      </c>
      <c r="E293" s="5" t="s">
        <v>9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166</v>
      </c>
      <c r="C294" s="6" t="str">
        <f aca="false">HYPERLINK("https://partner.tcgplayer.com/c/6278691/1780961/21018?u=https%3A%2F%2Fwww.tcgplayer.com%2Fproduct%2F488043%3Futm_source%3Dimpact%26utm_medium%3Daffiliate%26utm_campaign%3Dpoke%2Bcottage","Greedent")</f>
        <v>Greedent</v>
      </c>
      <c r="D294" s="5" t="s">
        <v>13</v>
      </c>
      <c r="E294" s="5" t="s">
        <v>11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167</v>
      </c>
      <c r="C295" s="6" t="str">
        <f aca="false">HYPERLINK("https://partner.tcgplayer.com/c/6278691/1780961/21018?u=https%3A%2F%2Fwww.tcgplayer.com%2Fproduct%2F488045%3Futm_source%3Dimpact%26utm_medium%3Daffiliate%26utm_campaign%3Dpoke%2Bcottage","Indeedee")</f>
        <v>Indeedee</v>
      </c>
      <c r="D295" s="5" t="s">
        <v>27</v>
      </c>
      <c r="E295" s="5" t="s">
        <v>28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167</v>
      </c>
      <c r="C296" s="6" t="str">
        <f aca="false">HYPERLINK("https://partner.tcgplayer.com/c/6278691/1780961/21018?u=https%3A%2F%2Fwww.tcgplayer.com%2Fproduct%2F488045%3Futm_source%3Dimpact%26utm_medium%3Daffiliate%26utm_campaign%3Dpoke%2Bcottage","Indeedee")</f>
        <v>Indeedee</v>
      </c>
      <c r="D296" s="5" t="s">
        <v>27</v>
      </c>
      <c r="E296" s="5" t="s">
        <v>11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168</v>
      </c>
      <c r="C297" s="6" t="str">
        <f aca="false">HYPERLINK("https://partner.tcgplayer.com/c/6278691/1780961/21018?u=https%3A%2F%2Fwww.tcgplayer.com%2Fproduct%2F488048%3Futm_source%3Dimpact%26utm_medium%3Daffiliate%26utm_campaign%3Dpoke%2Bcottage","Lechonk")</f>
        <v>Lechonk</v>
      </c>
      <c r="D297" s="5" t="s">
        <v>8</v>
      </c>
      <c r="E297" s="5" t="s">
        <v>9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168</v>
      </c>
      <c r="C298" s="6" t="str">
        <f aca="false">HYPERLINK("https://partner.tcgplayer.com/c/6278691/1780961/21018?u=https%3A%2F%2Fwww.tcgplayer.com%2Fproduct%2F488048%3Futm_source%3Dimpact%26utm_medium%3Daffiliate%26utm_campaign%3Dpoke%2Bcottage","Lechonk")</f>
        <v>Lechonk</v>
      </c>
      <c r="D298" s="5" t="s">
        <v>8</v>
      </c>
      <c r="E298" s="5" t="s">
        <v>11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169</v>
      </c>
      <c r="C299" s="6" t="str">
        <f aca="false">HYPERLINK("https://partner.tcgplayer.com/c/6278691/1780961/21018?u=https%3A%2F%2Fwww.tcgplayer.com%2Fproduct%2F485108%3Futm_source%3Dimpact%26utm_medium%3Daffiliate%26utm_campaign%3Dpoke%2Bcottage","Lechonk")</f>
        <v>Lechonk</v>
      </c>
      <c r="D299" s="5" t="s">
        <v>8</v>
      </c>
      <c r="E299" s="5" t="s">
        <v>9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169</v>
      </c>
      <c r="C300" s="6" t="str">
        <f aca="false">HYPERLINK("https://partner.tcgplayer.com/c/6278691/1780961/21018?u=https%3A%2F%2Fwww.tcgplayer.com%2Fproduct%2F485108%3Futm_source%3Dimpact%26utm_medium%3Daffiliate%26utm_campaign%3Dpoke%2Bcottage","Lechonk")</f>
        <v>Lechonk</v>
      </c>
      <c r="D300" s="5" t="s">
        <v>8</v>
      </c>
      <c r="E300" s="5" t="s">
        <v>11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170</v>
      </c>
      <c r="C301" s="6" t="str">
        <f aca="false">HYPERLINK("https://partner.tcgplayer.com/c/6278691/1780961/21018?u=https%3A%2F%2Fwww.tcgplayer.com%2Fproduct%2F488050%3Futm_source%3Dimpact%26utm_medium%3Daffiliate%26utm_campaign%3Dpoke%2Bcottage","Lechonk")</f>
        <v>Lechonk</v>
      </c>
      <c r="D301" s="5" t="s">
        <v>8</v>
      </c>
      <c r="E301" s="5" t="s">
        <v>9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170</v>
      </c>
      <c r="C302" s="6" t="str">
        <f aca="false">HYPERLINK("https://partner.tcgplayer.com/c/6278691/1780961/21018?u=https%3A%2F%2Fwww.tcgplayer.com%2Fproduct%2F488050%3Futm_source%3Dimpact%26utm_medium%3Daffiliate%26utm_campaign%3Dpoke%2Bcottage","Lechonk")</f>
        <v>Lechonk</v>
      </c>
      <c r="D302" s="5" t="s">
        <v>8</v>
      </c>
      <c r="E302" s="5" t="s">
        <v>11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171</v>
      </c>
      <c r="C303" s="6" t="str">
        <f aca="false">HYPERLINK("https://partner.tcgplayer.com/c/6278691/1780961/21018?u=https%3A%2F%2Fwww.tcgplayer.com%2Fproduct%2F488052%3Futm_source%3Dimpact%26utm_medium%3Daffiliate%26utm_campaign%3Dpoke%2Bcottage","Oinkologne")</f>
        <v>Oinkologne</v>
      </c>
      <c r="D303" s="5" t="s">
        <v>13</v>
      </c>
      <c r="E303" s="5" t="s">
        <v>9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171</v>
      </c>
      <c r="C304" s="6" t="str">
        <f aca="false">HYPERLINK("https://partner.tcgplayer.com/c/6278691/1780961/21018?u=https%3A%2F%2Fwww.tcgplayer.com%2Fproduct%2F488052%3Futm_source%3Dimpact%26utm_medium%3Daffiliate%26utm_campaign%3Dpoke%2Bcottage","Oinkologne")</f>
        <v>Oinkologne</v>
      </c>
      <c r="D304" s="5" t="s">
        <v>13</v>
      </c>
      <c r="E304" s="5" t="s">
        <v>11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172</v>
      </c>
      <c r="C305" s="6" t="str">
        <f aca="false">HYPERLINK("https://partner.tcgplayer.com/c/6278691/1780961/21018?u=https%3A%2F%2Fwww.tcgplayer.com%2Fproduct%2F488053%3Futm_source%3Dimpact%26utm_medium%3Daffiliate%26utm_campaign%3Dpoke%2Bcottage","Oinkologne ex")</f>
        <v>Oinkologne ex</v>
      </c>
      <c r="D305" s="5" t="s">
        <v>33</v>
      </c>
      <c r="E305" s="5" t="s">
        <v>28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173</v>
      </c>
      <c r="C306" s="6" t="str">
        <f aca="false">HYPERLINK("https://partner.tcgplayer.com/c/6278691/1780961/21018?u=https%3A%2F%2Fwww.tcgplayer.com%2Fproduct%2F488054%3Futm_source%3Dimpact%26utm_medium%3Daffiliate%26utm_campaign%3Dpoke%2Bcottage","Tandemaus")</f>
        <v>Tandemaus</v>
      </c>
      <c r="D306" s="5" t="s">
        <v>8</v>
      </c>
      <c r="E306" s="5" t="s">
        <v>9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173</v>
      </c>
      <c r="C307" s="6" t="str">
        <f aca="false">HYPERLINK("https://partner.tcgplayer.com/c/6278691/1780961/21018?u=https%3A%2F%2Fwww.tcgplayer.com%2Fproduct%2F488054%3Futm_source%3Dimpact%26utm_medium%3Daffiliate%26utm_campaign%3Dpoke%2Bcottage","Tandemaus")</f>
        <v>Tandemaus</v>
      </c>
      <c r="D307" s="5" t="s">
        <v>8</v>
      </c>
      <c r="E307" s="5" t="s">
        <v>11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174</v>
      </c>
      <c r="C308" s="6" t="str">
        <f aca="false">HYPERLINK("https://partner.tcgplayer.com/c/6278691/1780961/21018?u=https%3A%2F%2Fwww.tcgplayer.com%2Fproduct%2F488056%3Futm_source%3Dimpact%26utm_medium%3Daffiliate%26utm_campaign%3Dpoke%2Bcottage","Tandemaus")</f>
        <v>Tandemaus</v>
      </c>
      <c r="D308" s="5" t="s">
        <v>8</v>
      </c>
      <c r="E308" s="5" t="s">
        <v>9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174</v>
      </c>
      <c r="C309" s="6" t="str">
        <f aca="false">HYPERLINK("https://partner.tcgplayer.com/c/6278691/1780961/21018?u=https%3A%2F%2Fwww.tcgplayer.com%2Fproduct%2F488056%3Futm_source%3Dimpact%26utm_medium%3Daffiliate%26utm_campaign%3Dpoke%2Bcottage","Tandemaus")</f>
        <v>Tandemaus</v>
      </c>
      <c r="D309" s="5" t="s">
        <v>8</v>
      </c>
      <c r="E309" s="5" t="s">
        <v>11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175</v>
      </c>
      <c r="C310" s="6" t="str">
        <f aca="false">HYPERLINK("https://partner.tcgplayer.com/c/6278691/1780961/21018?u=https%3A%2F%2Fwww.tcgplayer.com%2Fproduct%2F488057%3Futm_source%3Dimpact%26utm_medium%3Daffiliate%26utm_campaign%3Dpoke%2Bcottage","Maushold")</f>
        <v>Maushold</v>
      </c>
      <c r="D310" s="5" t="s">
        <v>13</v>
      </c>
      <c r="E310" s="5" t="s">
        <v>9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175</v>
      </c>
      <c r="C311" s="6" t="str">
        <f aca="false">HYPERLINK("https://partner.tcgplayer.com/c/6278691/1780961/21018?u=https%3A%2F%2Fwww.tcgplayer.com%2Fproduct%2F488057%3Futm_source%3Dimpact%26utm_medium%3Daffiliate%26utm_campaign%3Dpoke%2Bcottage","Maushold")</f>
        <v>Maushold</v>
      </c>
      <c r="D311" s="5" t="s">
        <v>13</v>
      </c>
      <c r="E311" s="5" t="s">
        <v>11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176</v>
      </c>
      <c r="C312" s="6" t="str">
        <f aca="false">HYPERLINK("https://partner.tcgplayer.com/c/6278691/1780961/21018?u=https%3A%2F%2Fwww.tcgplayer.com%2Fproduct%2F488058%3Futm_source%3Dimpact%26utm_medium%3Daffiliate%26utm_campaign%3Dpoke%2Bcottage","Squawkabilly")</f>
        <v>Squawkabilly</v>
      </c>
      <c r="D312" s="5" t="s">
        <v>8</v>
      </c>
      <c r="E312" s="5" t="s">
        <v>9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176</v>
      </c>
      <c r="C313" s="6" t="str">
        <f aca="false">HYPERLINK("https://partner.tcgplayer.com/c/6278691/1780961/21018?u=https%3A%2F%2Fwww.tcgplayer.com%2Fproduct%2F488058%3Futm_source%3Dimpact%26utm_medium%3Daffiliate%26utm_campaign%3Dpoke%2Bcottage","Squawkabilly")</f>
        <v>Squawkabilly</v>
      </c>
      <c r="D313" s="5" t="s">
        <v>8</v>
      </c>
      <c r="E313" s="5" t="s">
        <v>11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177</v>
      </c>
      <c r="C314" s="6" t="str">
        <f aca="false">HYPERLINK("https://partner.tcgplayer.com/c/6278691/1780961/21018?u=https%3A%2F%2Fwww.tcgplayer.com%2Fproduct%2F488059%3Futm_source%3Dimpact%26utm_medium%3Daffiliate%26utm_campaign%3Dpoke%2Bcottage","Cyclizar")</f>
        <v>Cyclizar</v>
      </c>
      <c r="D314" s="5" t="s">
        <v>13</v>
      </c>
      <c r="E314" s="5" t="s">
        <v>9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177</v>
      </c>
      <c r="C315" s="6" t="str">
        <f aca="false">HYPERLINK("https://partner.tcgplayer.com/c/6278691/1780961/21018?u=https%3A%2F%2Fwww.tcgplayer.com%2Fproduct%2F488059%3Futm_source%3Dimpact%26utm_medium%3Daffiliate%26utm_campaign%3Dpoke%2Bcottage","Cyclizar")</f>
        <v>Cyclizar</v>
      </c>
      <c r="D315" s="5" t="s">
        <v>13</v>
      </c>
      <c r="E315" s="5" t="s">
        <v>11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178</v>
      </c>
      <c r="C316" s="6" t="str">
        <f aca="false">HYPERLINK("https://partner.tcgplayer.com/c/6278691/1780961/21018?u=https%3A%2F%2Fwww.tcgplayer.com%2Fproduct%2F487059%3Futm_source%3Dimpact%26utm_medium%3Daffiliate%26utm_campaign%3Dpoke%2Bcottage","Cyclizar")</f>
        <v>Cyclizar</v>
      </c>
      <c r="D316" s="5" t="s">
        <v>27</v>
      </c>
      <c r="E316" s="5" t="s">
        <v>28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178</v>
      </c>
      <c r="C317" s="6" t="str">
        <f aca="false">HYPERLINK("https://partner.tcgplayer.com/c/6278691/1780961/21018?u=https%3A%2F%2Fwww.tcgplayer.com%2Fproduct%2F487059%3Futm_source%3Dimpact%26utm_medium%3Daffiliate%26utm_campaign%3Dpoke%2Bcottage","Cyclizar")</f>
        <v>Cyclizar</v>
      </c>
      <c r="D317" s="5" t="s">
        <v>27</v>
      </c>
      <c r="E317" s="5" t="s">
        <v>11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179</v>
      </c>
      <c r="C318" s="6" t="str">
        <f aca="false">HYPERLINK("https://partner.tcgplayer.com/c/6278691/1780961/21018?u=https%3A%2F%2Fwww.tcgplayer.com%2Fproduct%2F488060%3Futm_source%3Dimpact%26utm_medium%3Daffiliate%26utm_campaign%3Dpoke%2Bcottage","Flamigo")</f>
        <v>Flamigo</v>
      </c>
      <c r="D318" s="5" t="s">
        <v>13</v>
      </c>
      <c r="E318" s="5" t="s">
        <v>9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179</v>
      </c>
      <c r="C319" s="6" t="str">
        <f aca="false">HYPERLINK("https://partner.tcgplayer.com/c/6278691/1780961/21018?u=https%3A%2F%2Fwww.tcgplayer.com%2Fproduct%2F488060%3Futm_source%3Dimpact%26utm_medium%3Daffiliate%26utm_campaign%3Dpoke%2Bcottage","Flamigo")</f>
        <v>Flamigo</v>
      </c>
      <c r="D319" s="5" t="s">
        <v>13</v>
      </c>
      <c r="E319" s="5" t="s">
        <v>11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180</v>
      </c>
      <c r="C320" s="6" t="str">
        <f aca="false">HYPERLINK("https://partner.tcgplayer.com/c/6278691/1780961/21018?u=https%3A%2F%2Fwww.tcgplayer.com%2Fproduct%2F488071%3Futm_source%3Dimpact%26utm_medium%3Daffiliate%26utm_campaign%3Dpoke%2Bcottage","Arven")</f>
        <v>Arven</v>
      </c>
      <c r="D320" s="5" t="s">
        <v>13</v>
      </c>
      <c r="E320" s="5" t="s">
        <v>9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180</v>
      </c>
      <c r="C321" s="6" t="str">
        <f aca="false">HYPERLINK("https://partner.tcgplayer.com/c/6278691/1780961/21018?u=https%3A%2F%2Fwww.tcgplayer.com%2Fproduct%2F488071%3Futm_source%3Dimpact%26utm_medium%3Daffiliate%26utm_campaign%3Dpoke%2Bcottage","Arven")</f>
        <v>Arven</v>
      </c>
      <c r="D321" s="5" t="s">
        <v>13</v>
      </c>
      <c r="E321" s="5" t="s">
        <v>11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181</v>
      </c>
      <c r="C322" s="6" t="str">
        <f aca="false">HYPERLINK("https://partner.tcgplayer.com/c/6278691/1780961/21018?u=https%3A%2F%2Fwww.tcgplayer.com%2Fproduct%2F488072%3Futm_source%3Dimpact%26utm_medium%3Daffiliate%26utm_campaign%3Dpoke%2Bcottage","Beach Court")</f>
        <v>Beach Court</v>
      </c>
      <c r="D322" s="5" t="s">
        <v>13</v>
      </c>
      <c r="E322" s="5" t="s">
        <v>9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181</v>
      </c>
      <c r="C323" s="6" t="str">
        <f aca="false">HYPERLINK("https://partner.tcgplayer.com/c/6278691/1780961/21018?u=https%3A%2F%2Fwww.tcgplayer.com%2Fproduct%2F488072%3Futm_source%3Dimpact%26utm_medium%3Daffiliate%26utm_campaign%3Dpoke%2Bcottage","Beach Court")</f>
        <v>Beach Court</v>
      </c>
      <c r="D323" s="5" t="s">
        <v>13</v>
      </c>
      <c r="E323" s="5" t="s">
        <v>11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182</v>
      </c>
      <c r="C324" s="6" t="str">
        <f aca="false">HYPERLINK("https://partner.tcgplayer.com/c/6278691/1780961/21018?u=https%3A%2F%2Fwww.tcgplayer.com%2Fproduct%2F488073%3Futm_source%3Dimpact%26utm_medium%3Daffiliate%26utm_campaign%3Dpoke%2Bcottage","Crushing Hammer")</f>
        <v>Crushing Hammer</v>
      </c>
      <c r="D324" s="5" t="s">
        <v>8</v>
      </c>
      <c r="E324" s="5" t="s">
        <v>9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182</v>
      </c>
      <c r="C325" s="6" t="str">
        <f aca="false">HYPERLINK("https://partner.tcgplayer.com/c/6278691/1780961/21018?u=https%3A%2F%2Fwww.tcgplayer.com%2Fproduct%2F488073%3Futm_source%3Dimpact%26utm_medium%3Daffiliate%26utm_campaign%3Dpoke%2Bcottage","Crushing Hammer")</f>
        <v>Crushing Hammer</v>
      </c>
      <c r="D325" s="5" t="s">
        <v>8</v>
      </c>
      <c r="E325" s="5" t="s">
        <v>11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183</v>
      </c>
      <c r="C326" s="6" t="str">
        <f aca="false">HYPERLINK("https://partner.tcgplayer.com/c/6278691/1780961/21018?u=https%3A%2F%2Fwww.tcgplayer.com%2Fproduct%2F488074%3Futm_source%3Dimpact%26utm_medium%3Daffiliate%26utm_campaign%3Dpoke%2Bcottage","Defiance Band")</f>
        <v>Defiance Band</v>
      </c>
      <c r="D326" s="5" t="s">
        <v>13</v>
      </c>
      <c r="E326" s="5" t="s">
        <v>9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183</v>
      </c>
      <c r="C327" s="6" t="str">
        <f aca="false">HYPERLINK("https://partner.tcgplayer.com/c/6278691/1780961/21018?u=https%3A%2F%2Fwww.tcgplayer.com%2Fproduct%2F488074%3Futm_source%3Dimpact%26utm_medium%3Daffiliate%26utm_campaign%3Dpoke%2Bcottage","Defiance Band")</f>
        <v>Defiance Band</v>
      </c>
      <c r="D327" s="5" t="s">
        <v>13</v>
      </c>
      <c r="E327" s="5" t="s">
        <v>11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184</v>
      </c>
      <c r="C328" s="6" t="str">
        <f aca="false">HYPERLINK("https://partner.tcgplayer.com/c/6278691/1780961/21018?u=https%3A%2F%2Fwww.tcgplayer.com%2Fproduct%2F488075%3Futm_source%3Dimpact%26utm_medium%3Daffiliate%26utm_campaign%3Dpoke%2Bcottage","Electric Generator")</f>
        <v>Electric Generator</v>
      </c>
      <c r="D328" s="5" t="s">
        <v>13</v>
      </c>
      <c r="E328" s="5" t="s">
        <v>9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184</v>
      </c>
      <c r="C329" s="6" t="str">
        <f aca="false">HYPERLINK("https://partner.tcgplayer.com/c/6278691/1780961/21018?u=https%3A%2F%2Fwww.tcgplayer.com%2Fproduct%2F488075%3Futm_source%3Dimpact%26utm_medium%3Daffiliate%26utm_campaign%3Dpoke%2Bcottage","Electric Generator")</f>
        <v>Electric Generator</v>
      </c>
      <c r="D329" s="5" t="s">
        <v>13</v>
      </c>
      <c r="E329" s="5" t="s">
        <v>11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185</v>
      </c>
      <c r="C330" s="6" t="str">
        <f aca="false">HYPERLINK("https://partner.tcgplayer.com/c/6278691/1780961/21018?u=https%3A%2F%2Fwww.tcgplayer.com%2Fproduct%2F488076%3Futm_source%3Dimpact%26utm_medium%3Daffiliate%26utm_campaign%3Dpoke%2Bcottage","Energy Retrieval")</f>
        <v>Energy Retrieval</v>
      </c>
      <c r="D330" s="5" t="s">
        <v>8</v>
      </c>
      <c r="E330" s="5" t="s">
        <v>9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185</v>
      </c>
      <c r="C331" s="6" t="str">
        <f aca="false">HYPERLINK("https://partner.tcgplayer.com/c/6278691/1780961/21018?u=https%3A%2F%2Fwww.tcgplayer.com%2Fproduct%2F488076%3Futm_source%3Dimpact%26utm_medium%3Daffiliate%26utm_campaign%3Dpoke%2Bcottage","Energy Retrieval")</f>
        <v>Energy Retrieval</v>
      </c>
      <c r="D331" s="5" t="s">
        <v>8</v>
      </c>
      <c r="E331" s="5" t="s">
        <v>11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186</v>
      </c>
      <c r="C332" s="6" t="str">
        <f aca="false">HYPERLINK("https://partner.tcgplayer.com/c/6278691/1780961/21018?u=https%3A%2F%2Fwww.tcgplayer.com%2Fproduct%2F488077%3Futm_source%3Dimpact%26utm_medium%3Daffiliate%26utm_campaign%3Dpoke%2Bcottage","Energy Search")</f>
        <v>Energy Search</v>
      </c>
      <c r="D332" s="5" t="s">
        <v>8</v>
      </c>
      <c r="E332" s="5" t="s">
        <v>9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186</v>
      </c>
      <c r="C333" s="6" t="str">
        <f aca="false">HYPERLINK("https://partner.tcgplayer.com/c/6278691/1780961/21018?u=https%3A%2F%2Fwww.tcgplayer.com%2Fproduct%2F488077%3Futm_source%3Dimpact%26utm_medium%3Daffiliate%26utm_campaign%3Dpoke%2Bcottage","Energy Search")</f>
        <v>Energy Search</v>
      </c>
      <c r="D333" s="5" t="s">
        <v>8</v>
      </c>
      <c r="E333" s="5" t="s">
        <v>11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187</v>
      </c>
      <c r="C334" s="6" t="str">
        <f aca="false">HYPERLINK("https://partner.tcgplayer.com/c/6278691/1780961/21018?u=https%3A%2F%2Fwww.tcgplayer.com%2Fproduct%2F488078%3Futm_source%3Dimpact%26utm_medium%3Daffiliate%26utm_campaign%3Dpoke%2Bcottage","Energy Switch")</f>
        <v>Energy Switch</v>
      </c>
      <c r="D334" s="5" t="s">
        <v>8</v>
      </c>
      <c r="E334" s="5" t="s">
        <v>9</v>
      </c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187</v>
      </c>
      <c r="C335" s="6" t="str">
        <f aca="false">HYPERLINK("https://partner.tcgplayer.com/c/6278691/1780961/21018?u=https%3A%2F%2Fwww.tcgplayer.com%2Fproduct%2F488078%3Futm_source%3Dimpact%26utm_medium%3Daffiliate%26utm_campaign%3Dpoke%2Bcottage","Energy Switch")</f>
        <v>Energy Switch</v>
      </c>
      <c r="D335" s="5" t="s">
        <v>8</v>
      </c>
      <c r="E335" s="5" t="s">
        <v>11</v>
      </c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188</v>
      </c>
      <c r="C336" s="6" t="str">
        <f aca="false">HYPERLINK("https://partner.tcgplayer.com/c/6278691/1780961/21018?u=https%3A%2F%2Fwww.tcgplayer.com%2Fproduct%2F488079%3Futm_source%3Dimpact%26utm_medium%3Daffiliate%26utm_campaign%3Dpoke%2Bcottage","Exp. Share")</f>
        <v>Exp. Share</v>
      </c>
      <c r="D336" s="5" t="s">
        <v>13</v>
      </c>
      <c r="E336" s="5" t="s">
        <v>9</v>
      </c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188</v>
      </c>
      <c r="C337" s="6" t="str">
        <f aca="false">HYPERLINK("https://partner.tcgplayer.com/c/6278691/1780961/21018?u=https%3A%2F%2Fwww.tcgplayer.com%2Fproduct%2F488079%3Futm_source%3Dimpact%26utm_medium%3Daffiliate%26utm_campaign%3Dpoke%2Bcottage","Exp. Share")</f>
        <v>Exp. Share</v>
      </c>
      <c r="D337" s="5" t="s">
        <v>13</v>
      </c>
      <c r="E337" s="5" t="s">
        <v>11</v>
      </c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189</v>
      </c>
      <c r="C338" s="6" t="str">
        <f aca="false">HYPERLINK("https://partner.tcgplayer.com/c/6278691/1780961/21018?u=https%3A%2F%2Fwww.tcgplayer.com%2Fproduct%2F488080%3Futm_source%3Dimpact%26utm_medium%3Daffiliate%26utm_campaign%3Dpoke%2Bcottage","Jacq")</f>
        <v>Jacq</v>
      </c>
      <c r="D338" s="5" t="s">
        <v>13</v>
      </c>
      <c r="E338" s="5" t="s">
        <v>9</v>
      </c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189</v>
      </c>
      <c r="C339" s="6" t="str">
        <f aca="false">HYPERLINK("https://partner.tcgplayer.com/c/6278691/1780961/21018?u=https%3A%2F%2Fwww.tcgplayer.com%2Fproduct%2F488080%3Futm_source%3Dimpact%26utm_medium%3Daffiliate%26utm_campaign%3Dpoke%2Bcottage","Jacq")</f>
        <v>Jacq</v>
      </c>
      <c r="D339" s="5" t="s">
        <v>13</v>
      </c>
      <c r="E339" s="5" t="s">
        <v>11</v>
      </c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190</v>
      </c>
      <c r="C340" s="6" t="str">
        <f aca="false">HYPERLINK("https://partner.tcgplayer.com/c/6278691/1780961/21018?u=https%3A%2F%2Fwww.tcgplayer.com%2Fproduct%2F488081%3Futm_source%3Dimpact%26utm_medium%3Daffiliate%26utm_campaign%3Dpoke%2Bcottage","Judge")</f>
        <v>Judge</v>
      </c>
      <c r="D340" s="5" t="s">
        <v>13</v>
      </c>
      <c r="E340" s="5" t="s">
        <v>9</v>
      </c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190</v>
      </c>
      <c r="C341" s="6" t="str">
        <f aca="false">HYPERLINK("https://partner.tcgplayer.com/c/6278691/1780961/21018?u=https%3A%2F%2Fwww.tcgplayer.com%2Fproduct%2F488081%3Futm_source%3Dimpact%26utm_medium%3Daffiliate%26utm_campaign%3Dpoke%2Bcottage","Judge")</f>
        <v>Judge</v>
      </c>
      <c r="D341" s="5" t="s">
        <v>13</v>
      </c>
      <c r="E341" s="5" t="s">
        <v>11</v>
      </c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191</v>
      </c>
      <c r="C342" s="6" t="str">
        <f aca="false">HYPERLINK("https://partner.tcgplayer.com/c/6278691/1780961/21018?u=https%3A%2F%2Fwww.tcgplayer.com%2Fproduct%2F488082%3Futm_source%3Dimpact%26utm_medium%3Daffiliate%26utm_campaign%3Dpoke%2Bcottage","Katy")</f>
        <v>Katy</v>
      </c>
      <c r="D342" s="5" t="s">
        <v>13</v>
      </c>
      <c r="E342" s="5" t="s">
        <v>9</v>
      </c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191</v>
      </c>
      <c r="C343" s="6" t="str">
        <f aca="false">HYPERLINK("https://partner.tcgplayer.com/c/6278691/1780961/21018?u=https%3A%2F%2Fwww.tcgplayer.com%2Fproduct%2F488082%3Futm_source%3Dimpact%26utm_medium%3Daffiliate%26utm_campaign%3Dpoke%2Bcottage","Katy")</f>
        <v>Katy</v>
      </c>
      <c r="D343" s="5" t="s">
        <v>13</v>
      </c>
      <c r="E343" s="5" t="s">
        <v>11</v>
      </c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192</v>
      </c>
      <c r="C344" s="6" t="str">
        <f aca="false">HYPERLINK("https://partner.tcgplayer.com/c/6278691/1780961/21018?u=https%3A%2F%2Fwww.tcgplayer.com%2Fproduct%2F488083%3Futm_source%3Dimpact%26utm_medium%3Daffiliate%26utm_campaign%3Dpoke%2Bcottage","Mesagoza")</f>
        <v>Mesagoza</v>
      </c>
      <c r="D344" s="5" t="s">
        <v>13</v>
      </c>
      <c r="E344" s="5" t="s">
        <v>9</v>
      </c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192</v>
      </c>
      <c r="C345" s="6" t="str">
        <f aca="false">HYPERLINK("https://partner.tcgplayer.com/c/6278691/1780961/21018?u=https%3A%2F%2Fwww.tcgplayer.com%2Fproduct%2F488083%3Futm_source%3Dimpact%26utm_medium%3Daffiliate%26utm_campaign%3Dpoke%2Bcottage","Mesagoza")</f>
        <v>Mesagoza</v>
      </c>
      <c r="D345" s="5" t="s">
        <v>13</v>
      </c>
      <c r="E345" s="5" t="s">
        <v>11</v>
      </c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193</v>
      </c>
      <c r="C346" s="6" t="str">
        <f aca="false">HYPERLINK("https://partner.tcgplayer.com/c/6278691/1780961/21018?u=https%3A%2F%2Fwww.tcgplayer.com%2Fproduct%2F488085%3Futm_source%3Dimpact%26utm_medium%3Daffiliate%26utm_campaign%3Dpoke%2Bcottage","Miriam")</f>
        <v>Miriam</v>
      </c>
      <c r="D346" s="5" t="s">
        <v>13</v>
      </c>
      <c r="E346" s="5" t="s">
        <v>9</v>
      </c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193</v>
      </c>
      <c r="C347" s="6" t="str">
        <f aca="false">HYPERLINK("https://partner.tcgplayer.com/c/6278691/1780961/21018?u=https%3A%2F%2Fwww.tcgplayer.com%2Fproduct%2F488085%3Futm_source%3Dimpact%26utm_medium%3Daffiliate%26utm_campaign%3Dpoke%2Bcottage","Miriam")</f>
        <v>Miriam</v>
      </c>
      <c r="D347" s="5" t="s">
        <v>13</v>
      </c>
      <c r="E347" s="5" t="s">
        <v>11</v>
      </c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194</v>
      </c>
      <c r="C348" s="6" t="str">
        <f aca="false">HYPERLINK("https://partner.tcgplayer.com/c/6278691/1780961/21018?u=https%3A%2F%2Fwww.tcgplayer.com%2Fproduct%2F488086%3Futm_source%3Dimpact%26utm_medium%3Daffiliate%26utm_campaign%3Dpoke%2Bcottage","Nemona")</f>
        <v>Nemona</v>
      </c>
      <c r="D348" s="5" t="s">
        <v>8</v>
      </c>
      <c r="E348" s="5" t="s">
        <v>9</v>
      </c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194</v>
      </c>
      <c r="C349" s="6" t="str">
        <f aca="false">HYPERLINK("https://partner.tcgplayer.com/c/6278691/1780961/21018?u=https%3A%2F%2Fwww.tcgplayer.com%2Fproduct%2F488086%3Futm_source%3Dimpact%26utm_medium%3Daffiliate%26utm_campaign%3Dpoke%2Bcottage","Nemona")</f>
        <v>Nemona</v>
      </c>
      <c r="D349" s="5" t="s">
        <v>8</v>
      </c>
      <c r="E349" s="5" t="s">
        <v>11</v>
      </c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195</v>
      </c>
      <c r="C350" s="6" t="str">
        <f aca="false">HYPERLINK("https://partner.tcgplayer.com/c/6278691/1780961/21018?u=https%3A%2F%2Fwww.tcgplayer.com%2Fproduct%2F488087%3Futm_source%3Dimpact%26utm_medium%3Daffiliate%26utm_campaign%3Dpoke%2Bcottage","Nest Ball")</f>
        <v>Nest Ball</v>
      </c>
      <c r="D350" s="5" t="s">
        <v>13</v>
      </c>
      <c r="E350" s="5" t="s">
        <v>9</v>
      </c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195</v>
      </c>
      <c r="C351" s="6" t="str">
        <f aca="false">HYPERLINK("https://partner.tcgplayer.com/c/6278691/1780961/21018?u=https%3A%2F%2Fwww.tcgplayer.com%2Fproduct%2F488087%3Futm_source%3Dimpact%26utm_medium%3Daffiliate%26utm_campaign%3Dpoke%2Bcottage","Nest Ball")</f>
        <v>Nest Ball</v>
      </c>
      <c r="D351" s="5" t="s">
        <v>13</v>
      </c>
      <c r="E351" s="5" t="s">
        <v>11</v>
      </c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196</v>
      </c>
      <c r="C352" s="6" t="str">
        <f aca="false">HYPERLINK("https://partner.tcgplayer.com/c/6278691/1780961/21018?u=https%3A%2F%2Fwww.tcgplayer.com%2Fproduct%2F488088%3Futm_source%3Dimpact%26utm_medium%3Daffiliate%26utm_campaign%3Dpoke%2Bcottage","Pal Pad")</f>
        <v>Pal Pad</v>
      </c>
      <c r="D352" s="5" t="s">
        <v>8</v>
      </c>
      <c r="E352" s="5" t="s">
        <v>9</v>
      </c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196</v>
      </c>
      <c r="C353" s="6" t="str">
        <f aca="false">HYPERLINK("https://partner.tcgplayer.com/c/6278691/1780961/21018?u=https%3A%2F%2Fwww.tcgplayer.com%2Fproduct%2F488088%3Futm_source%3Dimpact%26utm_medium%3Daffiliate%26utm_campaign%3Dpoke%2Bcottage","Pal Pad")</f>
        <v>Pal Pad</v>
      </c>
      <c r="D353" s="5" t="s">
        <v>8</v>
      </c>
      <c r="E353" s="5" t="s">
        <v>11</v>
      </c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197</v>
      </c>
      <c r="C354" s="6" t="str">
        <f aca="false">HYPERLINK("https://partner.tcgplayer.com/c/6278691/1780961/21018?u=https%3A%2F%2Fwww.tcgplayer.com%2Fproduct%2F488089%3Futm_source%3Dimpact%26utm_medium%3Daffiliate%26utm_campaign%3Dpoke%2Bcottage","Penny")</f>
        <v>Penny</v>
      </c>
      <c r="D354" s="5" t="s">
        <v>13</v>
      </c>
      <c r="E354" s="5" t="s">
        <v>9</v>
      </c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197</v>
      </c>
      <c r="C355" s="6" t="str">
        <f aca="false">HYPERLINK("https://partner.tcgplayer.com/c/6278691/1780961/21018?u=https%3A%2F%2Fwww.tcgplayer.com%2Fproduct%2F488089%3Futm_source%3Dimpact%26utm_medium%3Daffiliate%26utm_campaign%3Dpoke%2Bcottage","Penny")</f>
        <v>Penny</v>
      </c>
      <c r="D355" s="5" t="s">
        <v>13</v>
      </c>
      <c r="E355" s="5" t="s">
        <v>11</v>
      </c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198</v>
      </c>
      <c r="C356" s="6" t="str">
        <f aca="false">HYPERLINK("https://partner.tcgplayer.com/c/6278691/1780961/21018?u=https%3A%2F%2Fwww.tcgplayer.com%2Fproduct%2F488090%3Futm_source%3Dimpact%26utm_medium%3Daffiliate%26utm_campaign%3Dpoke%2Bcottage","Picnic Basket")</f>
        <v>Picnic Basket</v>
      </c>
      <c r="D356" s="5" t="s">
        <v>13</v>
      </c>
      <c r="E356" s="5" t="s">
        <v>9</v>
      </c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198</v>
      </c>
      <c r="C357" s="6" t="str">
        <f aca="false">HYPERLINK("https://partner.tcgplayer.com/c/6278691/1780961/21018?u=https%3A%2F%2Fwww.tcgplayer.com%2Fproduct%2F488090%3Futm_source%3Dimpact%26utm_medium%3Daffiliate%26utm_campaign%3Dpoke%2Bcottage","Picnic Basket")</f>
        <v>Picnic Basket</v>
      </c>
      <c r="D357" s="5" t="s">
        <v>13</v>
      </c>
      <c r="E357" s="5" t="s">
        <v>11</v>
      </c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199</v>
      </c>
      <c r="C358" s="6" t="str">
        <f aca="false">HYPERLINK("https://partner.tcgplayer.com/c/6278691/1780961/21018?u=https%3A%2F%2Fwww.tcgplayer.com%2Fproduct%2F488091%3Futm_source%3Dimpact%26utm_medium%3Daffiliate%26utm_campaign%3Dpoke%2Bcottage","Poké Ball")</f>
        <v>Poké Ball</v>
      </c>
      <c r="D358" s="5" t="s">
        <v>8</v>
      </c>
      <c r="E358" s="5" t="s">
        <v>9</v>
      </c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199</v>
      </c>
      <c r="C359" s="6" t="str">
        <f aca="false">HYPERLINK("https://partner.tcgplayer.com/c/6278691/1780961/21018?u=https%3A%2F%2Fwww.tcgplayer.com%2Fproduct%2F488091%3Futm_source%3Dimpact%26utm_medium%3Daffiliate%26utm_campaign%3Dpoke%2Bcottage","Poké Ball")</f>
        <v>Poké Ball</v>
      </c>
      <c r="D359" s="5" t="s">
        <v>8</v>
      </c>
      <c r="E359" s="5" t="s">
        <v>11</v>
      </c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200</v>
      </c>
      <c r="C360" s="6" t="str">
        <f aca="false">HYPERLINK("https://partner.tcgplayer.com/c/6278691/1780961/21018?u=https%3A%2F%2Fwww.tcgplayer.com%2Fproduct%2F488092%3Futm_source%3Dimpact%26utm_medium%3Daffiliate%26utm_campaign%3Dpoke%2Bcottage","Pokégear 3.0")</f>
        <v>Pokégear 3.0</v>
      </c>
      <c r="D360" s="5" t="s">
        <v>8</v>
      </c>
      <c r="E360" s="5" t="s">
        <v>9</v>
      </c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200</v>
      </c>
      <c r="C361" s="6" t="str">
        <f aca="false">HYPERLINK("https://partner.tcgplayer.com/c/6278691/1780961/21018?u=https%3A%2F%2Fwww.tcgplayer.com%2Fproduct%2F488092%3Futm_source%3Dimpact%26utm_medium%3Daffiliate%26utm_campaign%3Dpoke%2Bcottage","Pokégear 3.0")</f>
        <v>Pokégear 3.0</v>
      </c>
      <c r="D361" s="5" t="s">
        <v>8</v>
      </c>
      <c r="E361" s="5" t="s">
        <v>11</v>
      </c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201</v>
      </c>
      <c r="C362" s="6" t="str">
        <f aca="false">HYPERLINK("https://partner.tcgplayer.com/c/6278691/1780961/21018?u=https%3A%2F%2Fwww.tcgplayer.com%2Fproduct%2F488093%3Futm_source%3Dimpact%26utm_medium%3Daffiliate%26utm_campaign%3Dpoke%2Bcottage","Pokémon Catcher")</f>
        <v>Pokémon Catcher</v>
      </c>
      <c r="D362" s="5" t="s">
        <v>8</v>
      </c>
      <c r="E362" s="5" t="s">
        <v>9</v>
      </c>
      <c r="F362" s="5"/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201</v>
      </c>
      <c r="C363" s="6" t="str">
        <f aca="false">HYPERLINK("https://partner.tcgplayer.com/c/6278691/1780961/21018?u=https%3A%2F%2Fwww.tcgplayer.com%2Fproduct%2F488093%3Futm_source%3Dimpact%26utm_medium%3Daffiliate%26utm_campaign%3Dpoke%2Bcottage","Pokémon Catcher")</f>
        <v>Pokémon Catcher</v>
      </c>
      <c r="D363" s="5" t="s">
        <v>8</v>
      </c>
      <c r="E363" s="5" t="s">
        <v>11</v>
      </c>
      <c r="F363" s="5"/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202</v>
      </c>
      <c r="C364" s="6" t="str">
        <f aca="false">HYPERLINK("https://partner.tcgplayer.com/c/6278691/1780961/21018?u=https%3A%2F%2Fwww.tcgplayer.com%2Fproduct%2F488094%3Futm_source%3Dimpact%26utm_medium%3Daffiliate%26utm_campaign%3Dpoke%2Bcottage","Potion")</f>
        <v>Potion</v>
      </c>
      <c r="D364" s="5" t="s">
        <v>8</v>
      </c>
      <c r="E364" s="5" t="s">
        <v>9</v>
      </c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202</v>
      </c>
      <c r="C365" s="6" t="str">
        <f aca="false">HYPERLINK("https://partner.tcgplayer.com/c/6278691/1780961/21018?u=https%3A%2F%2Fwww.tcgplayer.com%2Fproduct%2F488094%3Futm_source%3Dimpact%26utm_medium%3Daffiliate%26utm_campaign%3Dpoke%2Bcottage","Potion")</f>
        <v>Potion</v>
      </c>
      <c r="D365" s="5" t="s">
        <v>8</v>
      </c>
      <c r="E365" s="5" t="s">
        <v>11</v>
      </c>
      <c r="F365" s="5"/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203</v>
      </c>
      <c r="C366" s="6" t="str">
        <f aca="false">HYPERLINK("https://partner.tcgplayer.com/c/6278691/1780961/21018?u=https%3A%2F%2Fwww.tcgplayer.com%2Fproduct%2F475423%3Futm_source%3Dimpact%26utm_medium%3Daffiliate%26utm_campaign%3Dpoke%2Bcottage","Professor's Research (Professor Sada)")</f>
        <v>Professor's Research (Professor Sada)</v>
      </c>
      <c r="D366" s="5" t="s">
        <v>27</v>
      </c>
      <c r="E366" s="5" t="s">
        <v>28</v>
      </c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203</v>
      </c>
      <c r="C367" s="6" t="str">
        <f aca="false">HYPERLINK("https://partner.tcgplayer.com/c/6278691/1780961/21018?u=https%3A%2F%2Fwww.tcgplayer.com%2Fproduct%2F475423%3Futm_source%3Dimpact%26utm_medium%3Daffiliate%26utm_campaign%3Dpoke%2Bcottage","Professor's Research (Professor Sada)")</f>
        <v>Professor's Research (Professor Sada)</v>
      </c>
      <c r="D367" s="5" t="s">
        <v>27</v>
      </c>
      <c r="E367" s="5" t="s">
        <v>11</v>
      </c>
      <c r="F367" s="5"/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204</v>
      </c>
      <c r="C368" s="6" t="str">
        <f aca="false">HYPERLINK("https://partner.tcgplayer.com/c/6278691/1780961/21018?u=https%3A%2F%2Fwww.tcgplayer.com%2Fproduct%2F475424%3Futm_source%3Dimpact%26utm_medium%3Daffiliate%26utm_campaign%3Dpoke%2Bcottage","Professor's Research (Professor Turo)")</f>
        <v>Professor's Research (Professor Turo)</v>
      </c>
      <c r="D368" s="5" t="s">
        <v>27</v>
      </c>
      <c r="E368" s="5" t="s">
        <v>28</v>
      </c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204</v>
      </c>
      <c r="C369" s="6" t="str">
        <f aca="false">HYPERLINK("https://partner.tcgplayer.com/c/6278691/1780961/21018?u=https%3A%2F%2Fwww.tcgplayer.com%2Fproduct%2F475424%3Futm_source%3Dimpact%26utm_medium%3Daffiliate%26utm_campaign%3Dpoke%2Bcottage","Professor's Research (Professor Turo)")</f>
        <v>Professor's Research (Professor Turo)</v>
      </c>
      <c r="D369" s="5" t="s">
        <v>27</v>
      </c>
      <c r="E369" s="5" t="s">
        <v>11</v>
      </c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205</v>
      </c>
      <c r="C370" s="6" t="str">
        <f aca="false">HYPERLINK("https://partner.tcgplayer.com/c/6278691/1780961/21018?u=https%3A%2F%2Fwww.tcgplayer.com%2Fproduct%2F488098%3Futm_source%3Dimpact%26utm_medium%3Daffiliate%26utm_campaign%3Dpoke%2Bcottage","Rare Candy")</f>
        <v>Rare Candy</v>
      </c>
      <c r="D370" s="5" t="s">
        <v>8</v>
      </c>
      <c r="E370" s="5" t="s">
        <v>9</v>
      </c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205</v>
      </c>
      <c r="C371" s="6" t="str">
        <f aca="false">HYPERLINK("https://partner.tcgplayer.com/c/6278691/1780961/21018?u=https%3A%2F%2Fwww.tcgplayer.com%2Fproduct%2F488098%3Futm_source%3Dimpact%26utm_medium%3Daffiliate%26utm_campaign%3Dpoke%2Bcottage","Rare Candy")</f>
        <v>Rare Candy</v>
      </c>
      <c r="D371" s="5" t="s">
        <v>8</v>
      </c>
      <c r="E371" s="5" t="s">
        <v>11</v>
      </c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206</v>
      </c>
      <c r="C372" s="6" t="str">
        <f aca="false">HYPERLINK("https://partner.tcgplayer.com/c/6278691/1780961/21018?u=https%3A%2F%2Fwww.tcgplayer.com%2Fproduct%2F475443%3Futm_source%3Dimpact%26utm_medium%3Daffiliate%26utm_campaign%3Dpoke%2Bcottage","Rock Chestplate")</f>
        <v>Rock Chestplate</v>
      </c>
      <c r="D372" s="5" t="s">
        <v>13</v>
      </c>
      <c r="E372" s="5" t="s">
        <v>9</v>
      </c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206</v>
      </c>
      <c r="C373" s="6" t="str">
        <f aca="false">HYPERLINK("https://partner.tcgplayer.com/c/6278691/1780961/21018?u=https%3A%2F%2Fwww.tcgplayer.com%2Fproduct%2F475443%3Futm_source%3Dimpact%26utm_medium%3Daffiliate%26utm_campaign%3Dpoke%2Bcottage","Rock Chestplate")</f>
        <v>Rock Chestplate</v>
      </c>
      <c r="D373" s="5" t="s">
        <v>13</v>
      </c>
      <c r="E373" s="5" t="s">
        <v>11</v>
      </c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207</v>
      </c>
      <c r="C374" s="6" t="str">
        <f aca="false">HYPERLINK("https://partner.tcgplayer.com/c/6278691/1780961/21018?u=https%3A%2F%2Fwww.tcgplayer.com%2Fproduct%2F488100%3Futm_source%3Dimpact%26utm_medium%3Daffiliate%26utm_campaign%3Dpoke%2Bcottage","Rocky Helmet")</f>
        <v>Rocky Helmet</v>
      </c>
      <c r="D374" s="5" t="s">
        <v>13</v>
      </c>
      <c r="E374" s="5" t="s">
        <v>9</v>
      </c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207</v>
      </c>
      <c r="C375" s="6" t="str">
        <f aca="false">HYPERLINK("https://partner.tcgplayer.com/c/6278691/1780961/21018?u=https%3A%2F%2Fwww.tcgplayer.com%2Fproduct%2F488100%3Futm_source%3Dimpact%26utm_medium%3Daffiliate%26utm_campaign%3Dpoke%2Bcottage","Rocky Helmet")</f>
        <v>Rocky Helmet</v>
      </c>
      <c r="D375" s="5" t="s">
        <v>13</v>
      </c>
      <c r="E375" s="5" t="s">
        <v>11</v>
      </c>
      <c r="F375" s="5"/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208</v>
      </c>
      <c r="C376" s="6" t="str">
        <f aca="false">HYPERLINK("https://partner.tcgplayer.com/c/6278691/1780961/21018?u=https%3A%2F%2Fwww.tcgplayer.com%2Fproduct%2F488102%3Futm_source%3Dimpact%26utm_medium%3Daffiliate%26utm_campaign%3Dpoke%2Bcottage","Switch")</f>
        <v>Switch</v>
      </c>
      <c r="D376" s="5" t="s">
        <v>8</v>
      </c>
      <c r="E376" s="5" t="s">
        <v>9</v>
      </c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208</v>
      </c>
      <c r="C377" s="6" t="str">
        <f aca="false">HYPERLINK("https://partner.tcgplayer.com/c/6278691/1780961/21018?u=https%3A%2F%2Fwww.tcgplayer.com%2Fproduct%2F488102%3Futm_source%3Dimpact%26utm_medium%3Daffiliate%26utm_campaign%3Dpoke%2Bcottage","Switch")</f>
        <v>Switch</v>
      </c>
      <c r="D377" s="5" t="s">
        <v>8</v>
      </c>
      <c r="E377" s="5" t="s">
        <v>11</v>
      </c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209</v>
      </c>
      <c r="C378" s="6" t="str">
        <f aca="false">HYPERLINK("https://partner.tcgplayer.com/c/6278691/1780961/21018?u=https%3A%2F%2Fwww.tcgplayer.com%2Fproduct%2F488104%3Futm_source%3Dimpact%26utm_medium%3Daffiliate%26utm_campaign%3Dpoke%2Bcottage","Team Star Grunt")</f>
        <v>Team Star Grunt</v>
      </c>
      <c r="D378" s="5" t="s">
        <v>13</v>
      </c>
      <c r="E378" s="5" t="s">
        <v>9</v>
      </c>
      <c r="F378" s="5"/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209</v>
      </c>
      <c r="C379" s="6" t="str">
        <f aca="false">HYPERLINK("https://partner.tcgplayer.com/c/6278691/1780961/21018?u=https%3A%2F%2Fwww.tcgplayer.com%2Fproduct%2F488104%3Futm_source%3Dimpact%26utm_medium%3Daffiliate%26utm_campaign%3Dpoke%2Bcottage","Team Star Grunt")</f>
        <v>Team Star Grunt</v>
      </c>
      <c r="D379" s="5" t="s">
        <v>13</v>
      </c>
      <c r="E379" s="5" t="s">
        <v>11</v>
      </c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210</v>
      </c>
      <c r="C380" s="6" t="str">
        <f aca="false">HYPERLINK("https://partner.tcgplayer.com/c/6278691/1780961/21018?u=https%3A%2F%2Fwww.tcgplayer.com%2Fproduct%2F488105%3Futm_source%3Dimpact%26utm_medium%3Daffiliate%26utm_campaign%3Dpoke%2Bcottage","Ultra Ball")</f>
        <v>Ultra Ball</v>
      </c>
      <c r="D380" s="5" t="s">
        <v>13</v>
      </c>
      <c r="E380" s="5" t="s">
        <v>9</v>
      </c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210</v>
      </c>
      <c r="C381" s="6" t="str">
        <f aca="false">HYPERLINK("https://partner.tcgplayer.com/c/6278691/1780961/21018?u=https%3A%2F%2Fwww.tcgplayer.com%2Fproduct%2F488105%3Futm_source%3Dimpact%26utm_medium%3Daffiliate%26utm_campaign%3Dpoke%2Bcottage","Ultra Ball")</f>
        <v>Ultra Ball</v>
      </c>
      <c r="D381" s="5" t="s">
        <v>13</v>
      </c>
      <c r="E381" s="5" t="s">
        <v>11</v>
      </c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211</v>
      </c>
      <c r="C382" s="6" t="str">
        <f aca="false">HYPERLINK("https://partner.tcgplayer.com/c/6278691/1780961/21018?u=https%3A%2F%2Fwww.tcgplayer.com%2Fproduct%2F488107%3Futm_source%3Dimpact%26utm_medium%3Daffiliate%26utm_campaign%3Dpoke%2Bcottage","Vitality Band")</f>
        <v>Vitality Band</v>
      </c>
      <c r="D382" s="5" t="s">
        <v>13</v>
      </c>
      <c r="E382" s="5" t="s">
        <v>9</v>
      </c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211</v>
      </c>
      <c r="C383" s="6" t="str">
        <f aca="false">HYPERLINK("https://partner.tcgplayer.com/c/6278691/1780961/21018?u=https%3A%2F%2Fwww.tcgplayer.com%2Fproduct%2F488107%3Futm_source%3Dimpact%26utm_medium%3Daffiliate%26utm_campaign%3Dpoke%2Bcottage","Vitality Band")</f>
        <v>Vitality Band</v>
      </c>
      <c r="D383" s="5" t="s">
        <v>13</v>
      </c>
      <c r="E383" s="5" t="s">
        <v>11</v>
      </c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212</v>
      </c>
      <c r="C384" s="6" t="str">
        <f aca="false">HYPERLINK("https://partner.tcgplayer.com/c/6278691/1780961/21018?u=https%3A%2F%2Fwww.tcgplayer.com%2Fproduct%2F488108%3Futm_source%3Dimpact%26utm_medium%3Daffiliate%26utm_campaign%3Dpoke%2Bcottage","Youngster")</f>
        <v>Youngster</v>
      </c>
      <c r="D384" s="5" t="s">
        <v>13</v>
      </c>
      <c r="E384" s="5" t="s">
        <v>9</v>
      </c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212</v>
      </c>
      <c r="C385" s="6" t="str">
        <f aca="false">HYPERLINK("https://partner.tcgplayer.com/c/6278691/1780961/21018?u=https%3A%2F%2Fwww.tcgplayer.com%2Fproduct%2F488108%3Futm_source%3Dimpact%26utm_medium%3Daffiliate%26utm_campaign%3Dpoke%2Bcottage","Youngster")</f>
        <v>Youngster</v>
      </c>
      <c r="D385" s="5" t="s">
        <v>13</v>
      </c>
      <c r="E385" s="5" t="s">
        <v>11</v>
      </c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213</v>
      </c>
      <c r="C386" s="6" t="str">
        <f aca="false">HYPERLINK("https://partner.tcgplayer.com/c/6278691/1780961/21018?u=https%3A%2F%2Fwww.tcgplayer.com%2Fproduct%2F490293%3Futm_source%3Dimpact%26utm_medium%3Daffiliate%26utm_campaign%3Dpoke%2Bcottage","Tarountula")</f>
        <v>Tarountula</v>
      </c>
      <c r="D386" s="5" t="s">
        <v>214</v>
      </c>
      <c r="E386" s="5" t="s">
        <v>28</v>
      </c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215</v>
      </c>
      <c r="C387" s="6" t="str">
        <f aca="false">HYPERLINK("https://partner.tcgplayer.com/c/6278691/1780961/21018?u=https%3A%2F%2Fwww.tcgplayer.com%2Fproduct%2F486622%3Futm_source%3Dimpact%26utm_medium%3Daffiliate%26utm_campaign%3Dpoke%2Bcottage","Dolliv")</f>
        <v>Dolliv</v>
      </c>
      <c r="D387" s="5" t="s">
        <v>214</v>
      </c>
      <c r="E387" s="5" t="s">
        <v>28</v>
      </c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216</v>
      </c>
      <c r="C388" s="6" t="str">
        <f aca="false">HYPERLINK("https://partner.tcgplayer.com/c/6278691/1780961/21018?u=https%3A%2F%2Fwww.tcgplayer.com%2Fproduct%2F490049%3Futm_source%3Dimpact%26utm_medium%3Daffiliate%26utm_campaign%3Dpoke%2Bcottage","Toedscool")</f>
        <v>Toedscool</v>
      </c>
      <c r="D388" s="5" t="s">
        <v>214</v>
      </c>
      <c r="E388" s="5" t="s">
        <v>28</v>
      </c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217</v>
      </c>
      <c r="C389" s="6" t="str">
        <f aca="false">HYPERLINK("https://partner.tcgplayer.com/c/6278691/1780961/21018?u=https%3A%2F%2Fwww.tcgplayer.com%2Fproduct%2F490062%3Futm_source%3Dimpact%26utm_medium%3Daffiliate%26utm_campaign%3Dpoke%2Bcottage","Scovillain")</f>
        <v>Scovillain</v>
      </c>
      <c r="D389" s="5" t="s">
        <v>214</v>
      </c>
      <c r="E389" s="5" t="s">
        <v>28</v>
      </c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218</v>
      </c>
      <c r="C390" s="6" t="str">
        <f aca="false">HYPERLINK("https://partner.tcgplayer.com/c/6278691/1780961/21018?u=https%3A%2F%2Fwww.tcgplayer.com%2Fproduct%2F490063%3Futm_source%3Dimpact%26utm_medium%3Daffiliate%26utm_campaign%3Dpoke%2Bcottage","Armarouge")</f>
        <v>Armarouge</v>
      </c>
      <c r="D390" s="5" t="s">
        <v>214</v>
      </c>
      <c r="E390" s="5" t="s">
        <v>28</v>
      </c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219</v>
      </c>
      <c r="C391" s="6" t="str">
        <f aca="false">HYPERLINK("https://partner.tcgplayer.com/c/6278691/1780961/21018?u=https%3A%2F%2Fwww.tcgplayer.com%2Fproduct%2F490064%3Futm_source%3Dimpact%26utm_medium%3Daffiliate%26utm_campaign%3Dpoke%2Bcottage","Slowpoke")</f>
        <v>Slowpoke</v>
      </c>
      <c r="D391" s="5" t="s">
        <v>214</v>
      </c>
      <c r="E391" s="5" t="s">
        <v>28</v>
      </c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220</v>
      </c>
      <c r="C392" s="6" t="str">
        <f aca="false">HYPERLINK("https://partner.tcgplayer.com/c/6278691/1780961/21018?u=https%3A%2F%2Fwww.tcgplayer.com%2Fproduct%2F490066%3Futm_source%3Dimpact%26utm_medium%3Daffiliate%26utm_campaign%3Dpoke%2Bcottage","Clauncher")</f>
        <v>Clauncher</v>
      </c>
      <c r="D392" s="5" t="s">
        <v>214</v>
      </c>
      <c r="E392" s="5" t="s">
        <v>28</v>
      </c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221</v>
      </c>
      <c r="C393" s="6" t="str">
        <f aca="false">HYPERLINK("https://partner.tcgplayer.com/c/6278691/1780961/21018?u=https%3A%2F%2Fwww.tcgplayer.com%2Fproduct%2F490067%3Futm_source%3Dimpact%26utm_medium%3Daffiliate%26utm_campaign%3Dpoke%2Bcottage","Wiglett")</f>
        <v>Wiglett</v>
      </c>
      <c r="D393" s="5" t="s">
        <v>214</v>
      </c>
      <c r="E393" s="5" t="s">
        <v>28</v>
      </c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222</v>
      </c>
      <c r="C394" s="6" t="str">
        <f aca="false">HYPERLINK("https://partner.tcgplayer.com/c/6278691/1780961/21018?u=https%3A%2F%2Fwww.tcgplayer.com%2Fproduct%2F487060%3Futm_source%3Dimpact%26utm_medium%3Daffiliate%26utm_campaign%3Dpoke%2Bcottage","Dondozo")</f>
        <v>Dondozo</v>
      </c>
      <c r="D394" s="5" t="s">
        <v>214</v>
      </c>
      <c r="E394" s="5" t="s">
        <v>28</v>
      </c>
      <c r="F394" s="5"/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223</v>
      </c>
      <c r="C395" s="6" t="str">
        <f aca="false">HYPERLINK("https://partner.tcgplayer.com/c/6278691/1780961/21018?u=https%3A%2F%2Fwww.tcgplayer.com%2Fproduct%2F490068%3Futm_source%3Dimpact%26utm_medium%3Daffiliate%26utm_campaign%3Dpoke%2Bcottage","Pachirisu")</f>
        <v>Pachirisu</v>
      </c>
      <c r="D395" s="5" t="s">
        <v>214</v>
      </c>
      <c r="E395" s="5" t="s">
        <v>28</v>
      </c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224</v>
      </c>
      <c r="C396" s="6" t="str">
        <f aca="false">HYPERLINK("https://partner.tcgplayer.com/c/6278691/1780961/21018?u=https%3A%2F%2Fwww.tcgplayer.com%2Fproduct%2F490069%3Futm_source%3Dimpact%26utm_medium%3Daffiliate%26utm_campaign%3Dpoke%2Bcottage","Pawmot")</f>
        <v>Pawmot</v>
      </c>
      <c r="D396" s="5" t="s">
        <v>214</v>
      </c>
      <c r="E396" s="5" t="s">
        <v>28</v>
      </c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225</v>
      </c>
      <c r="C397" s="6" t="str">
        <f aca="false">HYPERLINK("https://partner.tcgplayer.com/c/6278691/1780961/21018?u=https%3A%2F%2Fwww.tcgplayer.com%2Fproduct%2F490070%3Futm_source%3Dimpact%26utm_medium%3Daffiliate%26utm_campaign%3Dpoke%2Bcottage","Drowzee")</f>
        <v>Drowzee</v>
      </c>
      <c r="D397" s="5" t="s">
        <v>214</v>
      </c>
      <c r="E397" s="5" t="s">
        <v>28</v>
      </c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226</v>
      </c>
      <c r="C398" s="6" t="str">
        <f aca="false">HYPERLINK("https://partner.tcgplayer.com/c/6278691/1780961/21018?u=https%3A%2F%2Fwww.tcgplayer.com%2Fproduct%2F490071%3Futm_source%3Dimpact%26utm_medium%3Daffiliate%26utm_campaign%3Dpoke%2Bcottage","Ralts")</f>
        <v>Ralts</v>
      </c>
      <c r="D398" s="5" t="s">
        <v>214</v>
      </c>
      <c r="E398" s="5" t="s">
        <v>28</v>
      </c>
      <c r="F398" s="5"/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227</v>
      </c>
      <c r="C399" s="6" t="str">
        <f aca="false">HYPERLINK("https://partner.tcgplayer.com/c/6278691/1780961/21018?u=https%3A%2F%2Fwww.tcgplayer.com%2Fproduct%2F490072%3Futm_source%3Dimpact%26utm_medium%3Daffiliate%26utm_campaign%3Dpoke%2Bcottage","Kirlia")</f>
        <v>Kirlia</v>
      </c>
      <c r="D399" s="5" t="s">
        <v>214</v>
      </c>
      <c r="E399" s="5" t="s">
        <v>28</v>
      </c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228</v>
      </c>
      <c r="C400" s="6" t="str">
        <f aca="false">HYPERLINK("https://partner.tcgplayer.com/c/6278691/1780961/21018?u=https%3A%2F%2Fwww.tcgplayer.com%2Fproduct%2F487086%3Futm_source%3Dimpact%26utm_medium%3Daffiliate%26utm_campaign%3Dpoke%2Bcottage","Fidough")</f>
        <v>Fidough</v>
      </c>
      <c r="D400" s="5" t="s">
        <v>214</v>
      </c>
      <c r="E400" s="5" t="s">
        <v>28</v>
      </c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229</v>
      </c>
      <c r="C401" s="6" t="str">
        <f aca="false">HYPERLINK("https://partner.tcgplayer.com/c/6278691/1780961/21018?u=https%3A%2F%2Fwww.tcgplayer.com%2Fproduct%2F490073%3Futm_source%3Dimpact%26utm_medium%3Daffiliate%26utm_campaign%3Dpoke%2Bcottage","Greavard")</f>
        <v>Greavard</v>
      </c>
      <c r="D401" s="5" t="s">
        <v>214</v>
      </c>
      <c r="E401" s="5" t="s">
        <v>28</v>
      </c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230</v>
      </c>
      <c r="C402" s="6" t="str">
        <f aca="false">HYPERLINK("https://partner.tcgplayer.com/c/6278691/1780961/21018?u=https%3A%2F%2Fwww.tcgplayer.com%2Fproduct%2F490074%3Futm_source%3Dimpact%26utm_medium%3Daffiliate%26utm_campaign%3Dpoke%2Bcottage","Riolu")</f>
        <v>Riolu</v>
      </c>
      <c r="D402" s="5" t="s">
        <v>214</v>
      </c>
      <c r="E402" s="5" t="s">
        <v>28</v>
      </c>
      <c r="F402" s="5"/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231</v>
      </c>
      <c r="C403" s="6" t="str">
        <f aca="false">HYPERLINK("https://partner.tcgplayer.com/c/6278691/1780961/21018?u=https%3A%2F%2Fwww.tcgplayer.com%2Fproduct%2F489631%3Futm_source%3Dimpact%26utm_medium%3Daffiliate%26utm_campaign%3Dpoke%2Bcottage","Sandile")</f>
        <v>Sandile</v>
      </c>
      <c r="D403" s="5" t="s">
        <v>214</v>
      </c>
      <c r="E403" s="5" t="s">
        <v>28</v>
      </c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232</v>
      </c>
      <c r="C404" s="6" t="str">
        <f aca="false">HYPERLINK("https://partner.tcgplayer.com/c/6278691/1780961/21018?u=https%3A%2F%2Fwww.tcgplayer.com%2Fproduct%2F490075%3Futm_source%3Dimpact%26utm_medium%3Daffiliate%26utm_campaign%3Dpoke%2Bcottage","Klawf")</f>
        <v>Klawf</v>
      </c>
      <c r="D404" s="5" t="s">
        <v>214</v>
      </c>
      <c r="E404" s="5" t="s">
        <v>28</v>
      </c>
      <c r="F404" s="5"/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233</v>
      </c>
      <c r="C405" s="6" t="str">
        <f aca="false">HYPERLINK("https://partner.tcgplayer.com/c/6278691/1780961/21018?u=https%3A%2F%2Fwww.tcgplayer.com%2Fproduct%2F490076%3Futm_source%3Dimpact%26utm_medium%3Daffiliate%26utm_campaign%3Dpoke%2Bcottage","Mabosstiff")</f>
        <v>Mabosstiff</v>
      </c>
      <c r="D405" s="5" t="s">
        <v>214</v>
      </c>
      <c r="E405" s="5" t="s">
        <v>28</v>
      </c>
      <c r="F405" s="5"/>
      <c r="G405" s="5"/>
      <c r="H405" s="7"/>
    </row>
    <row r="406" customFormat="false" ht="30" hidden="false" customHeight="true" outlineLevel="0" collapsed="false">
      <c r="A406" s="4" t="s">
        <v>6</v>
      </c>
      <c r="B406" s="5" t="s">
        <v>234</v>
      </c>
      <c r="C406" s="6" t="str">
        <f aca="false">HYPERLINK("https://partner.tcgplayer.com/c/6278691/1780961/21018?u=https%3A%2F%2Fwww.tcgplayer.com%2Fproduct%2F490077%3Futm_source%3Dimpact%26utm_medium%3Daffiliate%26utm_campaign%3Dpoke%2Bcottage","Bombirdier")</f>
        <v>Bombirdier</v>
      </c>
      <c r="D406" s="5" t="s">
        <v>214</v>
      </c>
      <c r="E406" s="5" t="s">
        <v>28</v>
      </c>
      <c r="F406" s="5"/>
      <c r="G406" s="5"/>
      <c r="H406" s="7"/>
    </row>
    <row r="407" customFormat="false" ht="30" hidden="false" customHeight="true" outlineLevel="0" collapsed="false">
      <c r="A407" s="4" t="s">
        <v>6</v>
      </c>
      <c r="B407" s="5" t="s">
        <v>235</v>
      </c>
      <c r="C407" s="6" t="str">
        <f aca="false">HYPERLINK("https://partner.tcgplayer.com/c/6278691/1780961/21018?u=https%3A%2F%2Fwww.tcgplayer.com%2Fproduct%2F490078%3Futm_source%3Dimpact%26utm_medium%3Daffiliate%26utm_campaign%3Dpoke%2Bcottage","Kingambit")</f>
        <v>Kingambit</v>
      </c>
      <c r="D407" s="5" t="s">
        <v>214</v>
      </c>
      <c r="E407" s="5" t="s">
        <v>28</v>
      </c>
      <c r="F407" s="5"/>
      <c r="G407" s="5"/>
      <c r="H407" s="7"/>
    </row>
    <row r="408" customFormat="false" ht="30" hidden="false" customHeight="true" outlineLevel="0" collapsed="false">
      <c r="A408" s="4" t="s">
        <v>6</v>
      </c>
      <c r="B408" s="5" t="s">
        <v>236</v>
      </c>
      <c r="C408" s="6" t="str">
        <f aca="false">HYPERLINK("https://partner.tcgplayer.com/c/6278691/1780961/21018?u=https%3A%2F%2Fwww.tcgplayer.com%2Fproduct%2F490079%3Futm_source%3Dimpact%26utm_medium%3Daffiliate%26utm_campaign%3Dpoke%2Bcottage","Starly")</f>
        <v>Starly</v>
      </c>
      <c r="D408" s="5" t="s">
        <v>214</v>
      </c>
      <c r="E408" s="5" t="s">
        <v>28</v>
      </c>
      <c r="F408" s="5"/>
      <c r="G408" s="5"/>
      <c r="H408" s="7"/>
    </row>
    <row r="409" customFormat="false" ht="30" hidden="false" customHeight="true" outlineLevel="0" collapsed="false">
      <c r="A409" s="4" t="s">
        <v>6</v>
      </c>
      <c r="B409" s="5" t="s">
        <v>237</v>
      </c>
      <c r="C409" s="6" t="str">
        <f aca="false">HYPERLINK("https://partner.tcgplayer.com/c/6278691/1780961/21018?u=https%3A%2F%2Fwww.tcgplayer.com%2Fproduct%2F490080%3Futm_source%3Dimpact%26utm_medium%3Daffiliate%26utm_campaign%3Dpoke%2Bcottage","Skwovet")</f>
        <v>Skwovet</v>
      </c>
      <c r="D409" s="5" t="s">
        <v>214</v>
      </c>
      <c r="E409" s="5" t="s">
        <v>28</v>
      </c>
      <c r="F409" s="5"/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238</v>
      </c>
      <c r="C410" s="6" t="str">
        <f aca="false">HYPERLINK("https://partner.tcgplayer.com/c/6278691/1780961/21018?u=https%3A%2F%2Fwww.tcgplayer.com%2Fproduct%2F490081%3Futm_source%3Dimpact%26utm_medium%3Daffiliate%26utm_campaign%3Dpoke%2Bcottage","Spidops ex")</f>
        <v>Spidops ex</v>
      </c>
      <c r="D410" s="5" t="s">
        <v>239</v>
      </c>
      <c r="E410" s="5" t="s">
        <v>28</v>
      </c>
      <c r="F410" s="5"/>
      <c r="G410" s="5"/>
      <c r="H410" s="7"/>
    </row>
    <row r="411" customFormat="false" ht="30" hidden="false" customHeight="true" outlineLevel="0" collapsed="false">
      <c r="A411" s="4" t="s">
        <v>6</v>
      </c>
      <c r="B411" s="5" t="s">
        <v>240</v>
      </c>
      <c r="C411" s="6" t="str">
        <f aca="false">HYPERLINK("https://partner.tcgplayer.com/c/6278691/1780961/21018?u=https%3A%2F%2Fwww.tcgplayer.com%2Fproduct%2F490082%3Futm_source%3Dimpact%26utm_medium%3Daffiliate%26utm_campaign%3Dpoke%2Bcottage","Arcanine ex")</f>
        <v>Arcanine ex</v>
      </c>
      <c r="D411" s="5" t="s">
        <v>239</v>
      </c>
      <c r="E411" s="5" t="s">
        <v>28</v>
      </c>
      <c r="F411" s="5"/>
      <c r="G411" s="5"/>
      <c r="H411" s="7"/>
    </row>
    <row r="412" customFormat="false" ht="30" hidden="false" customHeight="true" outlineLevel="0" collapsed="false">
      <c r="A412" s="4" t="s">
        <v>6</v>
      </c>
      <c r="B412" s="5" t="s">
        <v>241</v>
      </c>
      <c r="C412" s="6" t="str">
        <f aca="false">HYPERLINK("https://partner.tcgplayer.com/c/6278691/1780961/21018?u=https%3A%2F%2Fwww.tcgplayer.com%2Fproduct%2F490083%3Futm_source%3Dimpact%26utm_medium%3Daffiliate%26utm_campaign%3Dpoke%2Bcottage","Gyarados ex")</f>
        <v>Gyarados ex</v>
      </c>
      <c r="D412" s="5" t="s">
        <v>239</v>
      </c>
      <c r="E412" s="5" t="s">
        <v>28</v>
      </c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242</v>
      </c>
      <c r="C413" s="6" t="str">
        <f aca="false">HYPERLINK("https://partner.tcgplayer.com/c/6278691/1780961/21018?u=https%3A%2F%2Fwww.tcgplayer.com%2Fproduct%2F490084%3Futm_source%3Dimpact%26utm_medium%3Daffiliate%26utm_campaign%3Dpoke%2Bcottage","Magnezone ex")</f>
        <v>Magnezone ex</v>
      </c>
      <c r="D413" s="5" t="s">
        <v>239</v>
      </c>
      <c r="E413" s="5" t="s">
        <v>28</v>
      </c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243</v>
      </c>
      <c r="C414" s="6" t="str">
        <f aca="false">HYPERLINK("https://partner.tcgplayer.com/c/6278691/1780961/21018?u=https%3A%2F%2Fwww.tcgplayer.com%2Fproduct%2F490085%3Futm_source%3Dimpact%26utm_medium%3Daffiliate%26utm_campaign%3Dpoke%2Bcottage","Miraidon ex")</f>
        <v>Miraidon ex</v>
      </c>
      <c r="D414" s="5" t="s">
        <v>239</v>
      </c>
      <c r="E414" s="5" t="s">
        <v>28</v>
      </c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244</v>
      </c>
      <c r="C415" s="6" t="str">
        <f aca="false">HYPERLINK("https://partner.tcgplayer.com/c/6278691/1780961/21018?u=https%3A%2F%2Fwww.tcgplayer.com%2Fproduct%2F490086%3Futm_source%3Dimpact%26utm_medium%3Daffiliate%26utm_campaign%3Dpoke%2Bcottage","Gardevoir ex")</f>
        <v>Gardevoir ex</v>
      </c>
      <c r="D415" s="5" t="s">
        <v>239</v>
      </c>
      <c r="E415" s="5" t="s">
        <v>28</v>
      </c>
      <c r="F415" s="5"/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245</v>
      </c>
      <c r="C416" s="6" t="str">
        <f aca="false">HYPERLINK("https://partner.tcgplayer.com/c/6278691/1780961/21018?u=https%3A%2F%2Fwww.tcgplayer.com%2Fproduct%2F490087%3Futm_source%3Dimpact%26utm_medium%3Daffiliate%26utm_campaign%3Dpoke%2Bcottage","Banette ex")</f>
        <v>Banette ex</v>
      </c>
      <c r="D416" s="5" t="s">
        <v>239</v>
      </c>
      <c r="E416" s="5" t="s">
        <v>28</v>
      </c>
      <c r="F416" s="5"/>
      <c r="G416" s="5"/>
      <c r="H416" s="7"/>
    </row>
    <row r="417" customFormat="false" ht="30" hidden="false" customHeight="true" outlineLevel="0" collapsed="false">
      <c r="A417" s="4" t="s">
        <v>6</v>
      </c>
      <c r="B417" s="5" t="s">
        <v>246</v>
      </c>
      <c r="C417" s="6" t="str">
        <f aca="false">HYPERLINK("https://partner.tcgplayer.com/c/6278691/1780961/21018?u=https%3A%2F%2Fwww.tcgplayer.com%2Fproduct%2F490088%3Futm_source%3Dimpact%26utm_medium%3Daffiliate%26utm_campaign%3Dpoke%2Bcottage","Great Tusk ex")</f>
        <v>Great Tusk ex</v>
      </c>
      <c r="D417" s="5" t="s">
        <v>239</v>
      </c>
      <c r="E417" s="5" t="s">
        <v>28</v>
      </c>
      <c r="F417" s="5"/>
      <c r="G417" s="5"/>
      <c r="H417" s="7"/>
    </row>
    <row r="418" customFormat="false" ht="30" hidden="false" customHeight="true" outlineLevel="0" collapsed="false">
      <c r="A418" s="4" t="s">
        <v>6</v>
      </c>
      <c r="B418" s="5" t="s">
        <v>247</v>
      </c>
      <c r="C418" s="6" t="str">
        <f aca="false">HYPERLINK("https://partner.tcgplayer.com/c/6278691/1780961/21018?u=https%3A%2F%2Fwww.tcgplayer.com%2Fproduct%2F490089%3Futm_source%3Dimpact%26utm_medium%3Daffiliate%26utm_campaign%3Dpoke%2Bcottage","Koraidon ex")</f>
        <v>Koraidon ex</v>
      </c>
      <c r="D418" s="5" t="s">
        <v>239</v>
      </c>
      <c r="E418" s="5" t="s">
        <v>28</v>
      </c>
      <c r="F418" s="5"/>
      <c r="G418" s="5"/>
      <c r="H418" s="7"/>
    </row>
    <row r="419" customFormat="false" ht="30" hidden="false" customHeight="true" outlineLevel="0" collapsed="false">
      <c r="A419" s="4" t="s">
        <v>6</v>
      </c>
      <c r="B419" s="5" t="s">
        <v>248</v>
      </c>
      <c r="C419" s="6" t="str">
        <f aca="false">HYPERLINK("https://partner.tcgplayer.com/c/6278691/1780961/21018?u=https%3A%2F%2Fwww.tcgplayer.com%2Fproduct%2F490090%3Futm_source%3Dimpact%26utm_medium%3Daffiliate%26utm_campaign%3Dpoke%2Bcottage","Toxicroak ex")</f>
        <v>Toxicroak ex</v>
      </c>
      <c r="D419" s="5" t="s">
        <v>239</v>
      </c>
      <c r="E419" s="5" t="s">
        <v>28</v>
      </c>
      <c r="F419" s="5"/>
      <c r="G419" s="5"/>
      <c r="H419" s="7"/>
    </row>
    <row r="420" customFormat="false" ht="30" hidden="false" customHeight="true" outlineLevel="0" collapsed="false">
      <c r="A420" s="4" t="s">
        <v>6</v>
      </c>
      <c r="B420" s="5" t="s">
        <v>249</v>
      </c>
      <c r="C420" s="6" t="str">
        <f aca="false">HYPERLINK("https://partner.tcgplayer.com/c/6278691/1780961/21018?u=https%3A%2F%2Fwww.tcgplayer.com%2Fproduct%2F490091%3Futm_source%3Dimpact%26utm_medium%3Daffiliate%26utm_campaign%3Dpoke%2Bcottage","Iron Treads ex")</f>
        <v>Iron Treads ex</v>
      </c>
      <c r="D420" s="5" t="s">
        <v>239</v>
      </c>
      <c r="E420" s="5" t="s">
        <v>28</v>
      </c>
      <c r="F420" s="5"/>
      <c r="G420" s="5"/>
      <c r="H420" s="7"/>
    </row>
    <row r="421" customFormat="false" ht="30" hidden="false" customHeight="true" outlineLevel="0" collapsed="false">
      <c r="A421" s="4" t="s">
        <v>6</v>
      </c>
      <c r="B421" s="5" t="s">
        <v>250</v>
      </c>
      <c r="C421" s="6" t="str">
        <f aca="false">HYPERLINK("https://partner.tcgplayer.com/c/6278691/1780961/21018?u=https%3A%2F%2Fwww.tcgplayer.com%2Fproduct%2F490092%3Futm_source%3Dimpact%26utm_medium%3Daffiliate%26utm_campaign%3Dpoke%2Bcottage","Oinkologne ex")</f>
        <v>Oinkologne ex</v>
      </c>
      <c r="D421" s="5" t="s">
        <v>239</v>
      </c>
      <c r="E421" s="5" t="s">
        <v>28</v>
      </c>
      <c r="F421" s="5"/>
      <c r="G421" s="5"/>
      <c r="H421" s="7"/>
    </row>
    <row r="422" customFormat="false" ht="30" hidden="false" customHeight="true" outlineLevel="0" collapsed="false">
      <c r="A422" s="4" t="s">
        <v>6</v>
      </c>
      <c r="B422" s="5" t="s">
        <v>251</v>
      </c>
      <c r="C422" s="6" t="str">
        <f aca="false">HYPERLINK("https://partner.tcgplayer.com/c/6278691/1780961/21018?u=https%3A%2F%2Fwww.tcgplayer.com%2Fproduct%2F490093%3Futm_source%3Dimpact%26utm_medium%3Daffiliate%26utm_campaign%3Dpoke%2Bcottage","Arven")</f>
        <v>Arven</v>
      </c>
      <c r="D422" s="5" t="s">
        <v>239</v>
      </c>
      <c r="E422" s="5" t="s">
        <v>28</v>
      </c>
      <c r="F422" s="5"/>
      <c r="G422" s="5"/>
      <c r="H422" s="7"/>
    </row>
    <row r="423" customFormat="false" ht="30" hidden="false" customHeight="true" outlineLevel="0" collapsed="false">
      <c r="A423" s="4" t="s">
        <v>6</v>
      </c>
      <c r="B423" s="5" t="s">
        <v>252</v>
      </c>
      <c r="C423" s="6" t="str">
        <f aca="false">HYPERLINK("https://partner.tcgplayer.com/c/6278691/1780961/21018?u=https%3A%2F%2Fwww.tcgplayer.com%2Fproduct%2F490094%3Futm_source%3Dimpact%26utm_medium%3Daffiliate%26utm_campaign%3Dpoke%2Bcottage","Jacq")</f>
        <v>Jacq</v>
      </c>
      <c r="D423" s="5" t="s">
        <v>239</v>
      </c>
      <c r="E423" s="5" t="s">
        <v>28</v>
      </c>
      <c r="F423" s="5"/>
      <c r="G423" s="5"/>
      <c r="H423" s="7"/>
    </row>
    <row r="424" customFormat="false" ht="30" hidden="false" customHeight="true" outlineLevel="0" collapsed="false">
      <c r="A424" s="4" t="s">
        <v>6</v>
      </c>
      <c r="B424" s="5" t="s">
        <v>253</v>
      </c>
      <c r="C424" s="6" t="str">
        <f aca="false">HYPERLINK("https://partner.tcgplayer.com/c/6278691/1780961/21018?u=https%3A%2F%2Fwww.tcgplayer.com%2Fproduct%2F490095%3Futm_source%3Dimpact%26utm_medium%3Daffiliate%26utm_campaign%3Dpoke%2Bcottage","Katy")</f>
        <v>Katy</v>
      </c>
      <c r="D424" s="5" t="s">
        <v>239</v>
      </c>
      <c r="E424" s="5" t="s">
        <v>28</v>
      </c>
      <c r="F424" s="5"/>
      <c r="G424" s="5"/>
      <c r="H424" s="7"/>
    </row>
    <row r="425" customFormat="false" ht="30" hidden="false" customHeight="true" outlineLevel="0" collapsed="false">
      <c r="A425" s="4" t="s">
        <v>6</v>
      </c>
      <c r="B425" s="5" t="s">
        <v>254</v>
      </c>
      <c r="C425" s="6" t="str">
        <f aca="false">HYPERLINK("https://partner.tcgplayer.com/c/6278691/1780961/21018?u=https%3A%2F%2Fwww.tcgplayer.com%2Fproduct%2F490096%3Futm_source%3Dimpact%26utm_medium%3Daffiliate%26utm_campaign%3Dpoke%2Bcottage","Miriam")</f>
        <v>Miriam</v>
      </c>
      <c r="D425" s="5" t="s">
        <v>239</v>
      </c>
      <c r="E425" s="5" t="s">
        <v>28</v>
      </c>
      <c r="F425" s="5"/>
      <c r="G425" s="5"/>
      <c r="H425" s="7"/>
    </row>
    <row r="426" customFormat="false" ht="30" hidden="false" customHeight="true" outlineLevel="0" collapsed="false">
      <c r="A426" s="4" t="s">
        <v>6</v>
      </c>
      <c r="B426" s="5" t="s">
        <v>255</v>
      </c>
      <c r="C426" s="6" t="str">
        <f aca="false">HYPERLINK("https://partner.tcgplayer.com/c/6278691/1780961/21018?u=https%3A%2F%2Fwww.tcgplayer.com%2Fproduct%2F490097%3Futm_source%3Dimpact%26utm_medium%3Daffiliate%26utm_campaign%3Dpoke%2Bcottage","Penny")</f>
        <v>Penny</v>
      </c>
      <c r="D426" s="5" t="s">
        <v>239</v>
      </c>
      <c r="E426" s="5" t="s">
        <v>28</v>
      </c>
      <c r="F426" s="5"/>
      <c r="G426" s="5"/>
      <c r="H426" s="7"/>
    </row>
    <row r="427" customFormat="false" ht="30" hidden="false" customHeight="true" outlineLevel="0" collapsed="false">
      <c r="A427" s="4" t="s">
        <v>6</v>
      </c>
      <c r="B427" s="5" t="s">
        <v>256</v>
      </c>
      <c r="C427" s="6" t="str">
        <f aca="false">HYPERLINK("https://partner.tcgplayer.com/c/6278691/1780961/21018?u=https%3A%2F%2Fwww.tcgplayer.com%2Fproduct%2F490098%3Futm_source%3Dimpact%26utm_medium%3Daffiliate%26utm_campaign%3Dpoke%2Bcottage","Professor's Research (Professor Sada)")</f>
        <v>Professor's Research (Professor Sada)</v>
      </c>
      <c r="D427" s="5" t="s">
        <v>239</v>
      </c>
      <c r="E427" s="5" t="s">
        <v>28</v>
      </c>
      <c r="F427" s="5"/>
      <c r="G427" s="5"/>
      <c r="H427" s="7"/>
    </row>
    <row r="428" customFormat="false" ht="30" hidden="false" customHeight="true" outlineLevel="0" collapsed="false">
      <c r="A428" s="4" t="s">
        <v>6</v>
      </c>
      <c r="B428" s="5" t="s">
        <v>257</v>
      </c>
      <c r="C428" s="6" t="str">
        <f aca="false">HYPERLINK("https://partner.tcgplayer.com/c/6278691/1780961/21018?u=https%3A%2F%2Fwww.tcgplayer.com%2Fproduct%2F490099%3Futm_source%3Dimpact%26utm_medium%3Daffiliate%26utm_campaign%3Dpoke%2Bcottage","Professor's Research (Professor Turo)")</f>
        <v>Professor's Research (Professor Turo)</v>
      </c>
      <c r="D428" s="5" t="s">
        <v>239</v>
      </c>
      <c r="E428" s="5" t="s">
        <v>28</v>
      </c>
      <c r="F428" s="5"/>
      <c r="G428" s="5"/>
      <c r="H428" s="7"/>
    </row>
    <row r="429" customFormat="false" ht="30" hidden="false" customHeight="true" outlineLevel="0" collapsed="false">
      <c r="A429" s="4" t="s">
        <v>6</v>
      </c>
      <c r="B429" s="5" t="s">
        <v>258</v>
      </c>
      <c r="C429" s="6" t="str">
        <f aca="false">HYPERLINK("https://partner.tcgplayer.com/c/6278691/1780961/21018?u=https%3A%2F%2Fwww.tcgplayer.com%2Fproduct%2F487149%3Futm_source%3Dimpact%26utm_medium%3Daffiliate%26utm_campaign%3Dpoke%2Bcottage","Team Star Grunt")</f>
        <v>Team Star Grunt</v>
      </c>
      <c r="D429" s="5" t="s">
        <v>239</v>
      </c>
      <c r="E429" s="5" t="s">
        <v>28</v>
      </c>
      <c r="F429" s="5"/>
      <c r="G429" s="5"/>
      <c r="H429" s="7"/>
    </row>
    <row r="430" customFormat="false" ht="30" hidden="false" customHeight="true" outlineLevel="0" collapsed="false">
      <c r="A430" s="4" t="s">
        <v>6</v>
      </c>
      <c r="B430" s="5" t="s">
        <v>259</v>
      </c>
      <c r="C430" s="6" t="str">
        <f aca="false">HYPERLINK("https://partner.tcgplayer.com/c/6278691/1780961/21018?u=https%3A%2F%2Fwww.tcgplayer.com%2Fproduct%2F487147%3Futm_source%3Dimpact%26utm_medium%3Daffiliate%26utm_campaign%3Dpoke%2Bcottage","Spidops ex")</f>
        <v>Spidops ex</v>
      </c>
      <c r="D430" s="5" t="s">
        <v>260</v>
      </c>
      <c r="E430" s="5" t="s">
        <v>28</v>
      </c>
      <c r="F430" s="5"/>
      <c r="G430" s="5"/>
      <c r="H430" s="7"/>
    </row>
    <row r="431" customFormat="false" ht="30" hidden="false" customHeight="true" outlineLevel="0" collapsed="false">
      <c r="A431" s="4" t="s">
        <v>6</v>
      </c>
      <c r="B431" s="5" t="s">
        <v>261</v>
      </c>
      <c r="C431" s="6" t="str">
        <f aca="false">HYPERLINK("https://partner.tcgplayer.com/c/6278691/1780961/21018?u=https%3A%2F%2Fwww.tcgplayer.com%2Fproduct%2F485259%3Futm_source%3Dimpact%26utm_medium%3Daffiliate%26utm_campaign%3Dpoke%2Bcottage","Miraidon ex")</f>
        <v>Miraidon ex</v>
      </c>
      <c r="D431" s="5" t="s">
        <v>260</v>
      </c>
      <c r="E431" s="5" t="s">
        <v>28</v>
      </c>
      <c r="F431" s="5"/>
      <c r="G431" s="5"/>
      <c r="H431" s="7"/>
    </row>
    <row r="432" customFormat="false" ht="30" hidden="false" customHeight="true" outlineLevel="0" collapsed="false">
      <c r="A432" s="4" t="s">
        <v>6</v>
      </c>
      <c r="B432" s="5" t="s">
        <v>262</v>
      </c>
      <c r="C432" s="6" t="str">
        <f aca="false">HYPERLINK("https://partner.tcgplayer.com/c/6278691/1780961/21018?u=https%3A%2F%2Fwww.tcgplayer.com%2Fproduct%2F486623%3Futm_source%3Dimpact%26utm_medium%3Daffiliate%26utm_campaign%3Dpoke%2Bcottage","Gardevoir ex")</f>
        <v>Gardevoir ex</v>
      </c>
      <c r="D432" s="5" t="s">
        <v>260</v>
      </c>
      <c r="E432" s="5" t="s">
        <v>28</v>
      </c>
      <c r="F432" s="5"/>
      <c r="G432" s="5"/>
      <c r="H432" s="7"/>
    </row>
    <row r="433" customFormat="false" ht="30" hidden="false" customHeight="true" outlineLevel="0" collapsed="false">
      <c r="A433" s="4" t="s">
        <v>6</v>
      </c>
      <c r="B433" s="5" t="s">
        <v>263</v>
      </c>
      <c r="C433" s="6" t="str">
        <f aca="false">HYPERLINK("https://partner.tcgplayer.com/c/6278691/1780961/21018?u=https%3A%2F%2Fwww.tcgplayer.com%2Fproduct%2F490290%3Futm_source%3Dimpact%26utm_medium%3Daffiliate%26utm_campaign%3Dpoke%2Bcottage","Great Tusk ex")</f>
        <v>Great Tusk ex</v>
      </c>
      <c r="D433" s="5" t="s">
        <v>260</v>
      </c>
      <c r="E433" s="5" t="s">
        <v>28</v>
      </c>
      <c r="F433" s="5"/>
      <c r="G433" s="5"/>
      <c r="H433" s="7"/>
    </row>
    <row r="434" customFormat="false" ht="30" hidden="false" customHeight="true" outlineLevel="0" collapsed="false">
      <c r="A434" s="4" t="s">
        <v>6</v>
      </c>
      <c r="B434" s="5" t="s">
        <v>264</v>
      </c>
      <c r="C434" s="6" t="str">
        <f aca="false">HYPERLINK("https://partner.tcgplayer.com/c/6278691/1780961/21018?u=https%3A%2F%2Fwww.tcgplayer.com%2Fproduct%2F490044%3Futm_source%3Dimpact%26utm_medium%3Daffiliate%26utm_campaign%3Dpoke%2Bcottage","Koraidon ex")</f>
        <v>Koraidon ex</v>
      </c>
      <c r="D434" s="5" t="s">
        <v>260</v>
      </c>
      <c r="E434" s="5" t="s">
        <v>28</v>
      </c>
      <c r="F434" s="5"/>
      <c r="G434" s="5"/>
      <c r="H434" s="7"/>
    </row>
    <row r="435" customFormat="false" ht="30" hidden="false" customHeight="true" outlineLevel="0" collapsed="false">
      <c r="A435" s="4" t="s">
        <v>6</v>
      </c>
      <c r="B435" s="5" t="s">
        <v>265</v>
      </c>
      <c r="C435" s="6" t="str">
        <f aca="false">HYPERLINK("https://partner.tcgplayer.com/c/6278691/1780961/21018?u=https%3A%2F%2Fwww.tcgplayer.com%2Fproduct%2F490291%3Futm_source%3Dimpact%26utm_medium%3Daffiliate%26utm_campaign%3Dpoke%2Bcottage","Iron Treads ex")</f>
        <v>Iron Treads ex</v>
      </c>
      <c r="D435" s="5" t="s">
        <v>260</v>
      </c>
      <c r="E435" s="5" t="s">
        <v>28</v>
      </c>
      <c r="F435" s="5"/>
      <c r="G435" s="5"/>
      <c r="H435" s="7"/>
    </row>
    <row r="436" customFormat="false" ht="30" hidden="false" customHeight="true" outlineLevel="0" collapsed="false">
      <c r="A436" s="4" t="s">
        <v>6</v>
      </c>
      <c r="B436" s="5" t="s">
        <v>266</v>
      </c>
      <c r="C436" s="6" t="str">
        <f aca="false">HYPERLINK("https://partner.tcgplayer.com/c/6278691/1780961/21018?u=https%3A%2F%2Fwww.tcgplayer.com%2Fproduct%2F490292%3Futm_source%3Dimpact%26utm_medium%3Daffiliate%26utm_campaign%3Dpoke%2Bcottage","Arven")</f>
        <v>Arven</v>
      </c>
      <c r="D436" s="5" t="s">
        <v>260</v>
      </c>
      <c r="E436" s="5" t="s">
        <v>28</v>
      </c>
      <c r="F436" s="5"/>
      <c r="G436" s="5"/>
      <c r="H436" s="7"/>
    </row>
    <row r="437" customFormat="false" ht="30" hidden="false" customHeight="true" outlineLevel="0" collapsed="false">
      <c r="A437" s="4" t="s">
        <v>6</v>
      </c>
      <c r="B437" s="5" t="s">
        <v>267</v>
      </c>
      <c r="C437" s="6" t="str">
        <f aca="false">HYPERLINK("https://partner.tcgplayer.com/c/6278691/1780961/21018?u=https%3A%2F%2Fwww.tcgplayer.com%2Fproduct%2F490289%3Futm_source%3Dimpact%26utm_medium%3Daffiliate%26utm_campaign%3Dpoke%2Bcottage","Jacq")</f>
        <v>Jacq</v>
      </c>
      <c r="D437" s="5" t="s">
        <v>260</v>
      </c>
      <c r="E437" s="5" t="s">
        <v>28</v>
      </c>
      <c r="F437" s="5"/>
      <c r="G437" s="5"/>
      <c r="H437" s="7"/>
    </row>
    <row r="438" customFormat="false" ht="30" hidden="false" customHeight="true" outlineLevel="0" collapsed="false">
      <c r="A438" s="4" t="s">
        <v>6</v>
      </c>
      <c r="B438" s="5" t="s">
        <v>268</v>
      </c>
      <c r="C438" s="6" t="str">
        <f aca="false">HYPERLINK("https://partner.tcgplayer.com/c/6278691/1780961/21018?u=https%3A%2F%2Fwww.tcgplayer.com%2Fproduct%2F487061%3Futm_source%3Dimpact%26utm_medium%3Daffiliate%26utm_campaign%3Dpoke%2Bcottage","Miriam")</f>
        <v>Miriam</v>
      </c>
      <c r="D438" s="5" t="s">
        <v>260</v>
      </c>
      <c r="E438" s="5" t="s">
        <v>28</v>
      </c>
      <c r="F438" s="5"/>
      <c r="G438" s="5"/>
      <c r="H438" s="7"/>
    </row>
    <row r="439" customFormat="false" ht="30" hidden="false" customHeight="true" outlineLevel="0" collapsed="false">
      <c r="A439" s="4" t="s">
        <v>6</v>
      </c>
      <c r="B439" s="5" t="s">
        <v>269</v>
      </c>
      <c r="C439" s="6" t="str">
        <f aca="false">HYPERLINK("https://partner.tcgplayer.com/c/6278691/1780961/21018?u=https%3A%2F%2Fwww.tcgplayer.com%2Fproduct%2F490041%3Futm_source%3Dimpact%26utm_medium%3Daffiliate%26utm_campaign%3Dpoke%2Bcottage","Penny")</f>
        <v>Penny</v>
      </c>
      <c r="D439" s="5" t="s">
        <v>260</v>
      </c>
      <c r="E439" s="5" t="s">
        <v>28</v>
      </c>
      <c r="F439" s="5"/>
      <c r="G439" s="5"/>
      <c r="H439" s="7"/>
    </row>
    <row r="440" customFormat="false" ht="30" hidden="false" customHeight="true" outlineLevel="0" collapsed="false">
      <c r="A440" s="4" t="s">
        <v>6</v>
      </c>
      <c r="B440" s="5" t="s">
        <v>270</v>
      </c>
      <c r="C440" s="6" t="str">
        <f aca="false">HYPERLINK("https://partner.tcgplayer.com/c/6278691/1780961/21018?u=https%3A%2F%2Fwww.tcgplayer.com%2Fproduct%2F490043%3Futm_source%3Dimpact%26utm_medium%3Daffiliate%26utm_campaign%3Dpoke%2Bcottage","Miraidon ex")</f>
        <v>Miraidon ex</v>
      </c>
      <c r="D440" s="5" t="s">
        <v>271</v>
      </c>
      <c r="E440" s="5" t="s">
        <v>28</v>
      </c>
      <c r="F440" s="5"/>
      <c r="G440" s="5"/>
      <c r="H440" s="7"/>
    </row>
    <row r="441" customFormat="false" ht="30" hidden="false" customHeight="true" outlineLevel="0" collapsed="false">
      <c r="A441" s="4" t="s">
        <v>6</v>
      </c>
      <c r="B441" s="5" t="s">
        <v>272</v>
      </c>
      <c r="C441" s="6" t="str">
        <f aca="false">HYPERLINK("https://partner.tcgplayer.com/c/6278691/1780961/21018?u=https%3A%2F%2Fwww.tcgplayer.com%2Fproduct%2F490045%3Futm_source%3Dimpact%26utm_medium%3Daffiliate%26utm_campaign%3Dpoke%2Bcottage","Koraidon ex")</f>
        <v>Koraidon ex</v>
      </c>
      <c r="D441" s="5" t="s">
        <v>271</v>
      </c>
      <c r="E441" s="5" t="s">
        <v>28</v>
      </c>
      <c r="F441" s="5"/>
      <c r="G441" s="5"/>
      <c r="H441" s="7"/>
    </row>
    <row r="442" customFormat="false" ht="30" hidden="false" customHeight="true" outlineLevel="0" collapsed="false">
      <c r="A442" s="4" t="s">
        <v>6</v>
      </c>
      <c r="B442" s="5" t="s">
        <v>273</v>
      </c>
      <c r="C442" s="6" t="str">
        <f aca="false">HYPERLINK("https://partner.tcgplayer.com/c/6278691/1780961/21018?u=https%3A%2F%2Fwww.tcgplayer.com%2Fproduct%2F490297%3Futm_source%3Dimpact%26utm_medium%3Daffiliate%26utm_campaign%3Dpoke%2Bcottage","Nest Ball")</f>
        <v>Nest Ball</v>
      </c>
      <c r="D442" s="5" t="s">
        <v>271</v>
      </c>
      <c r="E442" s="5" t="s">
        <v>28</v>
      </c>
      <c r="F442" s="5"/>
      <c r="G442" s="5"/>
      <c r="H442" s="7"/>
    </row>
    <row r="443" customFormat="false" ht="30" hidden="false" customHeight="true" outlineLevel="0" collapsed="false">
      <c r="A443" s="4" t="s">
        <v>6</v>
      </c>
      <c r="B443" s="5" t="s">
        <v>274</v>
      </c>
      <c r="C443" s="6" t="str">
        <f aca="false">HYPERLINK("https://partner.tcgplayer.com/c/6278691/1780961/21018?u=https%3A%2F%2Fwww.tcgplayer.com%2Fproduct%2F490296%3Futm_source%3Dimpact%26utm_medium%3Daffiliate%26utm_campaign%3Dpoke%2Bcottage","Rare Candy")</f>
        <v>Rare Candy</v>
      </c>
      <c r="D443" s="5" t="s">
        <v>271</v>
      </c>
      <c r="E443" s="5" t="s">
        <v>28</v>
      </c>
      <c r="F443" s="5"/>
      <c r="G443" s="5"/>
      <c r="H443" s="7"/>
    </row>
    <row r="444" customFormat="false" ht="30" hidden="false" customHeight="true" outlineLevel="0" collapsed="false">
      <c r="A444" s="4" t="s">
        <v>6</v>
      </c>
      <c r="B444" s="5" t="s">
        <v>275</v>
      </c>
      <c r="C444" s="6" t="str">
        <f aca="false">HYPERLINK("https://partner.tcgplayer.com/c/6278691/1780961/21018?u=https%3A%2F%2Fwww.tcgplayer.com%2Fproduct%2F490295%3Futm_source%3Dimpact%26utm_medium%3Daffiliate%26utm_campaign%3Dpoke%2Bcottage","Basic Lightning Energy")</f>
        <v>Basic Lightning Energy</v>
      </c>
      <c r="D444" s="5" t="s">
        <v>271</v>
      </c>
      <c r="E444" s="5" t="s">
        <v>28</v>
      </c>
      <c r="F444" s="5"/>
      <c r="G444" s="5"/>
      <c r="H444" s="7"/>
    </row>
    <row r="445" customFormat="false" ht="30" hidden="false" customHeight="true" outlineLevel="0" collapsed="false">
      <c r="A445" s="4" t="s">
        <v>6</v>
      </c>
      <c r="B445" s="5" t="s">
        <v>276</v>
      </c>
      <c r="C445" s="6" t="str">
        <f aca="false">HYPERLINK("https://partner.tcgplayer.com/c/6278691/1780961/21018?u=https%3A%2F%2Fwww.tcgplayer.com%2Fproduct%2F490294%3Futm_source%3Dimpact%26utm_medium%3Daffiliate%26utm_campaign%3Dpoke%2Bcottage","Basic Fighting Energy")</f>
        <v>Basic Fighting Energy</v>
      </c>
      <c r="D445" s="5" t="s">
        <v>271</v>
      </c>
      <c r="E445" s="5" t="s">
        <v>28</v>
      </c>
      <c r="F445" s="5"/>
      <c r="G445" s="5"/>
      <c r="H445" s="7"/>
    </row>
    <row r="446" customFormat="false" ht="32" hidden="false" customHeight="true" outlineLevel="0" collapsed="false">
      <c r="A446" s="1" t="s">
        <v>277</v>
      </c>
      <c r="B446" s="1"/>
      <c r="C446" s="1"/>
      <c r="D446" s="1"/>
      <c r="E446" s="1"/>
      <c r="F446" s="1"/>
      <c r="G446" s="1"/>
      <c r="H446" s="1"/>
    </row>
    <row r="447" customFormat="false" ht="30" hidden="false" customHeight="true" outlineLevel="0" collapsed="false">
      <c r="A447" s="4" t="s">
        <v>6</v>
      </c>
      <c r="B447" s="5" t="s">
        <v>278</v>
      </c>
      <c r="C447" s="6" t="str">
        <f aca="false">HYPERLINK("https://partner.tcgplayer.com/c/6278691/1780961/21018?u=https%3A%2F%2Fwww.tcgplayer.com%2Fproduct%2F477184%3Futm_source%3Dimpact%26utm_medium%3Daffiliate%26utm_campaign%3Dpoke%2Bcottage","Sprigatito")</f>
        <v>Sprigatito</v>
      </c>
      <c r="D447" s="5" t="s">
        <v>279</v>
      </c>
      <c r="E447" s="5"/>
      <c r="F447" s="5"/>
      <c r="G447" s="5"/>
      <c r="H447" s="7"/>
    </row>
    <row r="448" customFormat="false" ht="30" hidden="false" customHeight="true" outlineLevel="0" collapsed="false">
      <c r="A448" s="4" t="s">
        <v>6</v>
      </c>
      <c r="B448" s="5" t="s">
        <v>280</v>
      </c>
      <c r="C448" s="6" t="str">
        <f aca="false">HYPERLINK("https://partner.tcgplayer.com/c/6278691/1780961/21018?u=https%3A%2F%2Fwww.tcgplayer.com%2Fproduct%2F477182%3Futm_source%3Dimpact%26utm_medium%3Daffiliate%26utm_campaign%3Dpoke%2Bcottage","Fuecoco")</f>
        <v>Fuecoco</v>
      </c>
      <c r="D448" s="5" t="s">
        <v>281</v>
      </c>
      <c r="E448" s="5"/>
      <c r="F448" s="5"/>
      <c r="G448" s="5"/>
      <c r="H448" s="7"/>
    </row>
    <row r="449" customFormat="false" ht="30" hidden="false" customHeight="true" outlineLevel="0" collapsed="false">
      <c r="A449" s="4" t="s">
        <v>6</v>
      </c>
      <c r="B449" s="5" t="s">
        <v>282</v>
      </c>
      <c r="C449" s="6" t="str">
        <f aca="false">HYPERLINK("https://partner.tcgplayer.com/c/6278691/1780961/21018?u=https%3A%2F%2Fwww.tcgplayer.com%2Fproduct%2F477183%3Futm_source%3Dimpact%26utm_medium%3Daffiliate%26utm_campaign%3Dpoke%2Bcottage","Quaxly")</f>
        <v>Quaxly</v>
      </c>
      <c r="D449" s="5" t="s">
        <v>283</v>
      </c>
      <c r="E449" s="5"/>
      <c r="F449" s="5"/>
      <c r="G449" s="5"/>
      <c r="H449" s="7"/>
    </row>
    <row r="450" customFormat="false" ht="30" hidden="false" customHeight="true" outlineLevel="0" collapsed="false">
      <c r="A450" s="4" t="s">
        <v>6</v>
      </c>
      <c r="B450" s="5" t="s">
        <v>284</v>
      </c>
      <c r="C450" s="6" t="str">
        <f aca="false">HYPERLINK("https://partner.tcgplayer.com/c/6278691/1780961/21018?u=https%3A%2F%2Fwww.tcgplayer.com%2Fproduct%2F513798%3Futm_source%3Dimpact%26utm_medium%3Daffiliate%26utm_campaign%3Dpoke%2Bcottage","Mimikyu ex - Play! Stamp")</f>
        <v>Mimikyu ex - Play! Stamp</v>
      </c>
      <c r="D450" s="5" t="s">
        <v>285</v>
      </c>
      <c r="E450" s="5"/>
      <c r="F450" s="5"/>
      <c r="G450" s="5"/>
      <c r="H450" s="7"/>
    </row>
    <row r="451" customFormat="false" ht="30" hidden="false" customHeight="true" outlineLevel="0" collapsed="false">
      <c r="A451" s="4" t="s">
        <v>6</v>
      </c>
      <c r="B451" s="5" t="s">
        <v>284</v>
      </c>
      <c r="C451" s="6" t="str">
        <f aca="false">HYPERLINK("https://partner.tcgplayer.com/c/6278691/1780961/21018?u=https%3A%2F%2Fwww.tcgplayer.com%2Fproduct%2F487435%3Futm_source%3Dimpact%26utm_medium%3Daffiliate%26utm_campaign%3Dpoke%2Bcottage","Mimikyu ex")</f>
        <v>Mimikyu ex</v>
      </c>
      <c r="D451" s="5" t="s">
        <v>286</v>
      </c>
      <c r="E451" s="5"/>
      <c r="F451" s="5"/>
      <c r="G451" s="5"/>
      <c r="H451" s="7"/>
    </row>
    <row r="452" customFormat="false" ht="30" hidden="false" customHeight="true" outlineLevel="0" collapsed="false">
      <c r="A452" s="4" t="s">
        <v>6</v>
      </c>
      <c r="B452" s="5" t="s">
        <v>287</v>
      </c>
      <c r="C452" s="6" t="str">
        <f aca="false">HYPERLINK("https://partner.tcgplayer.com/c/6278691/1780961/21018?u=https%3A%2F%2Fwww.tcgplayer.com%2Fproduct%2F487751%3Futm_source%3Dimpact%26utm_medium%3Daffiliate%26utm_campaign%3Dpoke%2Bcottage","Quaquaval")</f>
        <v>Quaquaval</v>
      </c>
      <c r="D452" s="5" t="s">
        <v>288</v>
      </c>
      <c r="E452" s="5"/>
      <c r="F452" s="5"/>
      <c r="G452" s="5"/>
      <c r="H452" s="7"/>
    </row>
    <row r="453" customFormat="false" ht="30" hidden="false" customHeight="true" outlineLevel="0" collapsed="false">
      <c r="A453" s="4" t="s">
        <v>6</v>
      </c>
      <c r="B453" s="5" t="s">
        <v>287</v>
      </c>
      <c r="C453" s="6" t="str">
        <f aca="false">HYPERLINK("https://partner.tcgplayer.com/c/6278691/1780961/21018?u=https%3A%2F%2Fwww.tcgplayer.com%2Fproduct%2F522650%3Futm_source%3Dimpact%26utm_medium%3Daffiliate%26utm_campaign%3Dpoke%2Bcottage","Quaquaval - Staff")</f>
        <v>Quaquaval - Staff</v>
      </c>
      <c r="D453" s="5" t="s">
        <v>289</v>
      </c>
      <c r="E453" s="5"/>
      <c r="F453" s="5"/>
      <c r="G453" s="5"/>
      <c r="H453" s="7"/>
    </row>
    <row r="454" customFormat="false" ht="30" hidden="false" customHeight="true" outlineLevel="0" collapsed="false">
      <c r="A454" s="4" t="s">
        <v>6</v>
      </c>
      <c r="B454" s="5" t="s">
        <v>290</v>
      </c>
      <c r="C454" s="6" t="str">
        <f aca="false">HYPERLINK("https://partner.tcgplayer.com/c/6278691/1780961/21018?u=https%3A%2F%2Fwww.tcgplayer.com%2Fproduct%2F487752%3Futm_source%3Dimpact%26utm_medium%3Daffiliate%26utm_campaign%3Dpoke%2Bcottage","Pawmot")</f>
        <v>Pawmot</v>
      </c>
      <c r="D454" s="5" t="s">
        <v>288</v>
      </c>
      <c r="E454" s="5"/>
      <c r="F454" s="5"/>
      <c r="G454" s="5"/>
      <c r="H454" s="7"/>
    </row>
    <row r="455" customFormat="false" ht="30" hidden="false" customHeight="true" outlineLevel="0" collapsed="false">
      <c r="A455" s="4" t="s">
        <v>6</v>
      </c>
      <c r="B455" s="5" t="s">
        <v>290</v>
      </c>
      <c r="C455" s="6" t="str">
        <f aca="false">HYPERLINK("https://partner.tcgplayer.com/c/6278691/1780961/21018?u=https%3A%2F%2Fwww.tcgplayer.com%2Fproduct%2F522648%3Futm_source%3Dimpact%26utm_medium%3Daffiliate%26utm_campaign%3Dpoke%2Bcottage","Pawmot - Staff")</f>
        <v>Pawmot - Staff</v>
      </c>
      <c r="D455" s="5" t="s">
        <v>289</v>
      </c>
      <c r="E455" s="5"/>
      <c r="F455" s="5"/>
      <c r="G455" s="5"/>
      <c r="H455" s="7"/>
    </row>
    <row r="456" customFormat="false" ht="30" hidden="false" customHeight="true" outlineLevel="0" collapsed="false">
      <c r="A456" s="4" t="s">
        <v>6</v>
      </c>
      <c r="B456" s="5" t="s">
        <v>291</v>
      </c>
      <c r="C456" s="6" t="str">
        <f aca="false">HYPERLINK("https://partner.tcgplayer.com/c/6278691/1780961/21018?u=https%3A%2F%2Fwww.tcgplayer.com%2Fproduct%2F487755%3Futm_source%3Dimpact%26utm_medium%3Daffiliate%26utm_campaign%3Dpoke%2Bcottage","Hawlucha")</f>
        <v>Hawlucha</v>
      </c>
      <c r="D456" s="5" t="s">
        <v>288</v>
      </c>
      <c r="E456" s="5"/>
      <c r="F456" s="5"/>
      <c r="G456" s="5"/>
      <c r="H456" s="7"/>
    </row>
    <row r="457" customFormat="false" ht="30" hidden="false" customHeight="true" outlineLevel="0" collapsed="false">
      <c r="A457" s="4" t="s">
        <v>6</v>
      </c>
      <c r="B457" s="5" t="s">
        <v>291</v>
      </c>
      <c r="C457" s="6" t="str">
        <f aca="false">HYPERLINK("https://partner.tcgplayer.com/c/6278691/1780961/21018?u=https%3A%2F%2Fwww.tcgplayer.com%2Fproduct%2F522649%3Futm_source%3Dimpact%26utm_medium%3Daffiliate%26utm_campaign%3Dpoke%2Bcottage","Hawlucha - Staff")</f>
        <v>Hawlucha - Staff</v>
      </c>
      <c r="D457" s="5" t="s">
        <v>289</v>
      </c>
      <c r="E457" s="5"/>
      <c r="F457" s="5"/>
      <c r="G457" s="5"/>
      <c r="H457" s="7"/>
    </row>
    <row r="458" customFormat="false" ht="30" hidden="false" customHeight="true" outlineLevel="0" collapsed="false">
      <c r="A458" s="4" t="s">
        <v>6</v>
      </c>
      <c r="B458" s="5" t="s">
        <v>292</v>
      </c>
      <c r="C458" s="6" t="str">
        <f aca="false">HYPERLINK("https://partner.tcgplayer.com/c/6278691/1780961/21018?u=https%3A%2F%2Fwww.tcgplayer.com%2Fproduct%2F487756%3Futm_source%3Dimpact%26utm_medium%3Daffiliate%26utm_campaign%3Dpoke%2Bcottage","Revavroom")</f>
        <v>Revavroom</v>
      </c>
      <c r="D458" s="5" t="s">
        <v>288</v>
      </c>
      <c r="E458" s="5"/>
      <c r="F458" s="5"/>
      <c r="G458" s="5"/>
      <c r="H458" s="7"/>
    </row>
    <row r="459" customFormat="false" ht="30" hidden="false" customHeight="true" outlineLevel="0" collapsed="false">
      <c r="A459" s="4" t="s">
        <v>6</v>
      </c>
      <c r="B459" s="5" t="s">
        <v>292</v>
      </c>
      <c r="C459" s="6" t="str">
        <f aca="false">HYPERLINK("https://partner.tcgplayer.com/c/6278691/1780961/21018?u=https%3A%2F%2Fwww.tcgplayer.com%2Fproduct%2F515203%3Futm_source%3Dimpact%26utm_medium%3Daffiliate%26utm_campaign%3Dpoke%2Bcottage","Revavroom - Staff")</f>
        <v>Revavroom - Staff</v>
      </c>
      <c r="D459" s="5" t="s">
        <v>289</v>
      </c>
      <c r="E459" s="5"/>
      <c r="F459" s="5"/>
      <c r="G459" s="5"/>
      <c r="H459" s="7"/>
    </row>
    <row r="460" customFormat="false" ht="30" hidden="false" customHeight="true" outlineLevel="0" collapsed="false">
      <c r="A460" s="4" t="s">
        <v>6</v>
      </c>
      <c r="B460" s="5" t="s">
        <v>293</v>
      </c>
      <c r="C460" s="6" t="str">
        <f aca="false">HYPERLINK("https://partner.tcgplayer.com/c/6278691/1780961/21018?u=https%3A%2F%2Fwww.tcgplayer.com%2Fproduct%2F491184%3Futm_source%3Dimpact%26utm_medium%3Daffiliate%26utm_campaign%3Dpoke%2Bcottage","Spidops")</f>
        <v>Spidops</v>
      </c>
      <c r="D460" s="5" t="s">
        <v>294</v>
      </c>
      <c r="E460" s="5"/>
      <c r="F460" s="5"/>
      <c r="G460" s="5"/>
      <c r="H460" s="7"/>
    </row>
    <row r="461" customFormat="false" ht="30" hidden="false" customHeight="true" outlineLevel="0" collapsed="false">
      <c r="A461" s="4" t="s">
        <v>6</v>
      </c>
      <c r="B461" s="5" t="s">
        <v>295</v>
      </c>
      <c r="C461" s="6" t="str">
        <f aca="false">HYPERLINK("https://partner.tcgplayer.com/c/6278691/1780961/21018?u=https%3A%2F%2Fwww.tcgplayer.com%2Fproduct%2F491185%3Futm_source%3Dimpact%26utm_medium%3Daffiliate%26utm_campaign%3Dpoke%2Bcottage","Espathra")</f>
        <v>Espathra</v>
      </c>
      <c r="D461" s="5" t="s">
        <v>294</v>
      </c>
      <c r="E461" s="5"/>
      <c r="F461" s="5"/>
      <c r="G461" s="5"/>
      <c r="H461" s="7"/>
    </row>
    <row r="462" customFormat="false" ht="30" hidden="false" customHeight="true" outlineLevel="0" collapsed="false">
      <c r="A462" s="4" t="s">
        <v>6</v>
      </c>
      <c r="B462" s="5" t="s">
        <v>296</v>
      </c>
      <c r="C462" s="6" t="str">
        <f aca="false">HYPERLINK("https://partner.tcgplayer.com/c/6278691/1780961/21018?u=https%3A%2F%2Fwww.tcgplayer.com%2Fproduct%2F491186%3Futm_source%3Dimpact%26utm_medium%3Daffiliate%26utm_campaign%3Dpoke%2Bcottage","Arcanine")</f>
        <v>Arcanine</v>
      </c>
      <c r="D462" s="5" t="s">
        <v>294</v>
      </c>
      <c r="E462" s="5"/>
      <c r="F462" s="5"/>
      <c r="G462" s="5"/>
      <c r="H462" s="7"/>
    </row>
    <row r="463" customFormat="false" ht="30" hidden="false" customHeight="true" outlineLevel="0" collapsed="false">
      <c r="A463" s="4" t="s">
        <v>6</v>
      </c>
      <c r="B463" s="5" t="s">
        <v>297</v>
      </c>
      <c r="C463" s="6" t="str">
        <f aca="false">HYPERLINK("https://partner.tcgplayer.com/c/6278691/1780961/21018?u=https%3A%2F%2Fwww.tcgplayer.com%2Fproduct%2F491187%3Futm_source%3Dimpact%26utm_medium%3Daffiliate%26utm_campaign%3Dpoke%2Bcottage","Dondozo")</f>
        <v>Dondozo</v>
      </c>
      <c r="D463" s="5" t="s">
        <v>294</v>
      </c>
      <c r="E463" s="5"/>
      <c r="F463" s="5"/>
      <c r="G463" s="5"/>
      <c r="H463" s="7"/>
    </row>
    <row r="464" customFormat="false" ht="30" hidden="false" customHeight="true" outlineLevel="0" collapsed="false">
      <c r="A464" s="4" t="s">
        <v>6</v>
      </c>
      <c r="B464" s="5" t="s">
        <v>298</v>
      </c>
      <c r="C464" s="6" t="str">
        <f aca="false">HYPERLINK("https://partner.tcgplayer.com/c/6278691/1780961/21018?u=https%3A%2F%2Fwww.tcgplayer.com%2Fproduct%2F490719%3Futm_source%3Dimpact%26utm_medium%3Daffiliate%26utm_campaign%3Dpoke%2Bcottage","Miraidon")</f>
        <v>Miraidon</v>
      </c>
      <c r="D464" s="5" t="s">
        <v>299</v>
      </c>
      <c r="E464" s="5"/>
      <c r="F464" s="5"/>
      <c r="G464" s="5"/>
      <c r="H464" s="7"/>
    </row>
    <row r="465" customFormat="false" ht="30" hidden="false" customHeight="true" outlineLevel="0" collapsed="false">
      <c r="A465" s="4" t="s">
        <v>6</v>
      </c>
      <c r="B465" s="5" t="s">
        <v>298</v>
      </c>
      <c r="C465" s="6" t="str">
        <f aca="false">HYPERLINK("https://partner.tcgplayer.com/c/6278691/1780961/21018?u=https%3A%2F%2Fwww.tcgplayer.com%2Fproduct%2F490730%3Futm_source%3Dimpact%26utm_medium%3Daffiliate%26utm_campaign%3Dpoke%2Bcottage","Miraidon - Pokemon Center Stamp")</f>
        <v>Miraidon - Pokemon Center Stamp</v>
      </c>
      <c r="D465" s="5" t="s">
        <v>300</v>
      </c>
      <c r="E465" s="5"/>
      <c r="F465" s="5"/>
      <c r="G465" s="5"/>
      <c r="H465" s="7"/>
    </row>
    <row r="466" customFormat="false" ht="30" hidden="false" customHeight="true" outlineLevel="0" collapsed="false">
      <c r="A466" s="4" t="s">
        <v>6</v>
      </c>
      <c r="B466" s="5" t="s">
        <v>301</v>
      </c>
      <c r="C466" s="6" t="str">
        <f aca="false">HYPERLINK("https://partner.tcgplayer.com/c/6278691/1780961/21018?u=https%3A%2F%2Fwww.tcgplayer.com%2Fproduct%2F490721%3Futm_source%3Dimpact%26utm_medium%3Daffiliate%26utm_campaign%3Dpoke%2Bcottage","Koraidon")</f>
        <v>Koraidon</v>
      </c>
      <c r="D466" s="5" t="s">
        <v>299</v>
      </c>
      <c r="E466" s="5"/>
      <c r="F466" s="5"/>
      <c r="G466" s="5"/>
      <c r="H466" s="7"/>
    </row>
    <row r="467" customFormat="false" ht="30" hidden="false" customHeight="true" outlineLevel="0" collapsed="false">
      <c r="A467" s="4" t="s">
        <v>6</v>
      </c>
      <c r="B467" s="5" t="s">
        <v>301</v>
      </c>
      <c r="C467" s="6" t="str">
        <f aca="false">HYPERLINK("https://partner.tcgplayer.com/c/6278691/1780961/21018?u=https%3A%2F%2Fwww.tcgplayer.com%2Fproduct%2F490725%3Futm_source%3Dimpact%26utm_medium%3Daffiliate%26utm_campaign%3Dpoke%2Bcottage","Koraidon - Pokemon Center Stamp")</f>
        <v>Koraidon - Pokemon Center Stamp</v>
      </c>
      <c r="D467" s="5" t="s">
        <v>300</v>
      </c>
      <c r="E467" s="5"/>
      <c r="F467" s="5"/>
      <c r="G467" s="5"/>
      <c r="H467" s="7"/>
    </row>
    <row r="468" customFormat="false" ht="30" hidden="false" customHeight="true" outlineLevel="0" collapsed="false">
      <c r="A468" s="4" t="s">
        <v>6</v>
      </c>
      <c r="B468" s="5" t="s">
        <v>302</v>
      </c>
      <c r="C468" s="6" t="str">
        <f aca="false">HYPERLINK("https://partner.tcgplayer.com/c/6278691/1780961/21018?u=https%3A%2F%2Fwww.tcgplayer.com%2Fproduct%2F496972%3Futm_source%3Dimpact%26utm_medium%3Daffiliate%26utm_campaign%3Dpoke%2Bcottage","Flaaffy")</f>
        <v>Flaaffy</v>
      </c>
      <c r="D468" s="5" t="s">
        <v>303</v>
      </c>
      <c r="E468" s="5"/>
      <c r="F468" s="5"/>
      <c r="G468" s="5"/>
      <c r="H468" s="7"/>
    </row>
    <row r="469" customFormat="false" ht="30" hidden="false" customHeight="true" outlineLevel="0" collapsed="false">
      <c r="A469" s="4" t="s">
        <v>6</v>
      </c>
      <c r="B469" s="5" t="s">
        <v>304</v>
      </c>
      <c r="C469" s="6" t="str">
        <f aca="false">HYPERLINK("https://partner.tcgplayer.com/c/6278691/1780961/21018?u=https%3A%2F%2Fwww.tcgplayer.com%2Fproduct%2F513773%3Futm_source%3Dimpact%26utm_medium%3Daffiliate%26utm_campaign%3Dpoke%2Bcottage","Ampharos ex - Play! Stamp")</f>
        <v>Ampharos ex - Play! Stamp</v>
      </c>
      <c r="D469" s="5" t="s">
        <v>285</v>
      </c>
      <c r="E469" s="5"/>
      <c r="F469" s="5"/>
      <c r="G469" s="5"/>
      <c r="H469" s="7"/>
    </row>
    <row r="470" customFormat="false" ht="30" hidden="false" customHeight="true" outlineLevel="0" collapsed="false">
      <c r="A470" s="4" t="s">
        <v>6</v>
      </c>
      <c r="B470" s="5" t="s">
        <v>304</v>
      </c>
      <c r="C470" s="6" t="str">
        <f aca="false">HYPERLINK("https://partner.tcgplayer.com/c/6278691/1780961/21018?u=https%3A%2F%2Fwww.tcgplayer.com%2Fproduct%2F484397%3Futm_source%3Dimpact%26utm_medium%3Daffiliate%26utm_campaign%3Dpoke%2Bcottage","Ampharos ex")</f>
        <v>Ampharos ex</v>
      </c>
      <c r="D470" s="5" t="s">
        <v>303</v>
      </c>
      <c r="E470" s="5"/>
      <c r="F470" s="5"/>
      <c r="G470" s="5"/>
      <c r="H470" s="7"/>
    </row>
    <row r="471" customFormat="false" ht="30" hidden="false" customHeight="true" outlineLevel="0" collapsed="false">
      <c r="A471" s="4" t="s">
        <v>6</v>
      </c>
      <c r="B471" s="5" t="s">
        <v>305</v>
      </c>
      <c r="C471" s="6" t="str">
        <f aca="false">HYPERLINK("https://partner.tcgplayer.com/c/6278691/1780961/21018?u=https%3A%2F%2Fwww.tcgplayer.com%2Fproduct%2F513792%3Futm_source%3Dimpact%26utm_medium%3Daffiliate%26utm_campaign%3Dpoke%2Bcottage","Lucario ex - Play! Stamp")</f>
        <v>Lucario ex - Play! Stamp</v>
      </c>
      <c r="D471" s="5" t="s">
        <v>285</v>
      </c>
      <c r="E471" s="5"/>
      <c r="F471" s="5"/>
      <c r="G471" s="5"/>
      <c r="H471" s="7"/>
    </row>
    <row r="472" customFormat="false" ht="30" hidden="false" customHeight="true" outlineLevel="0" collapsed="false">
      <c r="A472" s="4" t="s">
        <v>6</v>
      </c>
      <c r="B472" s="5" t="s">
        <v>305</v>
      </c>
      <c r="C472" s="6" t="str">
        <f aca="false">HYPERLINK("https://partner.tcgplayer.com/c/6278691/1780961/21018?u=https%3A%2F%2Fwww.tcgplayer.com%2Fproduct%2F484396%3Futm_source%3Dimpact%26utm_medium%3Daffiliate%26utm_campaign%3Dpoke%2Bcottage","Lucario ex")</f>
        <v>Lucario ex</v>
      </c>
      <c r="D472" s="5" t="s">
        <v>306</v>
      </c>
      <c r="E472" s="5"/>
      <c r="F472" s="5"/>
      <c r="G472" s="5"/>
      <c r="H472" s="7"/>
    </row>
    <row r="473" customFormat="false" ht="30" hidden="false" customHeight="true" outlineLevel="0" collapsed="false">
      <c r="A473" s="4" t="s">
        <v>6</v>
      </c>
      <c r="B473" s="5" t="s">
        <v>307</v>
      </c>
      <c r="C473" s="6" t="str">
        <f aca="false">HYPERLINK("https://partner.tcgplayer.com/c/6278691/1780961/21018?u=https%3A%2F%2Fwww.tcgplayer.com%2Fproduct%2F513776%3Futm_source%3Dimpact%26utm_medium%3Daffiliate%26utm_campaign%3Dpoke%2Bcottage","Cyclizar ex - Play! Stamp")</f>
        <v>Cyclizar ex - Play! Stamp</v>
      </c>
      <c r="D473" s="5" t="s">
        <v>285</v>
      </c>
      <c r="E473" s="5"/>
      <c r="F473" s="5"/>
      <c r="G473" s="5"/>
      <c r="H473" s="7"/>
    </row>
    <row r="474" customFormat="false" ht="30" hidden="false" customHeight="true" outlineLevel="0" collapsed="false">
      <c r="A474" s="4" t="s">
        <v>6</v>
      </c>
      <c r="B474" s="5" t="s">
        <v>307</v>
      </c>
      <c r="C474" s="6" t="str">
        <f aca="false">HYPERLINK("https://partner.tcgplayer.com/c/6278691/1780961/21018?u=https%3A%2F%2Fwww.tcgplayer.com%2Fproduct%2F496429%3Futm_source%3Dimpact%26utm_medium%3Daffiliate%26utm_campaign%3Dpoke%2Bcottage","Cyclizar ex")</f>
        <v>Cyclizar ex</v>
      </c>
      <c r="D474" s="5" t="s">
        <v>308</v>
      </c>
      <c r="E474" s="5"/>
      <c r="F474" s="5"/>
      <c r="G474" s="5"/>
      <c r="H474" s="7"/>
    </row>
    <row r="475" customFormat="false" ht="30" hidden="false" customHeight="true" outlineLevel="0" collapsed="false">
      <c r="A475" s="4" t="s">
        <v>6</v>
      </c>
      <c r="B475" s="5" t="s">
        <v>24</v>
      </c>
      <c r="C475" s="6" t="str">
        <f aca="false">HYPERLINK("https://partner.tcgplayer.com/c/6278691/1780961/21018?u=https%3A%2F%2Fwww.tcgplayer.com%2Fproduct%2F505063%3Futm_source%3Dimpact%26utm_medium%3Daffiliate%26utm_campaign%3Dpoke%2Bcottage","Sprigatito")</f>
        <v>Sprigatito</v>
      </c>
      <c r="D475" s="5" t="s">
        <v>28</v>
      </c>
      <c r="E475" s="5"/>
      <c r="F475" s="5"/>
      <c r="G475" s="5"/>
      <c r="H475" s="7"/>
    </row>
    <row r="476" customFormat="false" ht="30" hidden="false" customHeight="true" outlineLevel="0" collapsed="false">
      <c r="A476" s="4" t="s">
        <v>6</v>
      </c>
      <c r="B476" s="5" t="s">
        <v>24</v>
      </c>
      <c r="C476" s="5" t="s">
        <v>309</v>
      </c>
      <c r="D476" s="5" t="s">
        <v>310</v>
      </c>
      <c r="E476" s="5"/>
      <c r="F476" s="5" t="str">
        <f aca="false">HYPERLINK("https://www.ebay.com/sch/i.html?_nkw=Sprigatito+Beginner+s+Session+Scarlet+%26+Violet+13+pokemon+card&amp;_sacat=0&amp;_from=R40&amp;_trksid=p4624852.m570.l1313&amp;mkcid=1&amp;mkrid=711-53200-19255-0&amp;siteid=0&amp;campid=5339158445&amp;customid=pokecottage&amp;toolid=10001&amp;mkevt=1","FIND ON EBAY")</f>
        <v>FIND ON EBAY</v>
      </c>
      <c r="G476" s="5"/>
      <c r="H476" s="7"/>
    </row>
    <row r="477" customFormat="false" ht="30" hidden="false" customHeight="true" outlineLevel="0" collapsed="false">
      <c r="A477" s="4" t="s">
        <v>6</v>
      </c>
      <c r="B477" s="5" t="s">
        <v>26</v>
      </c>
      <c r="C477" s="6" t="str">
        <f aca="false">HYPERLINK("https://partner.tcgplayer.com/c/6278691/1780961/21018?u=https%3A%2F%2Fwww.tcgplayer.com%2Fproduct%2F536209%3Futm_source%3Dimpact%26utm_medium%3Daffiliate%26utm_campaign%3Dpoke%2Bcottage","Meowscarada")</f>
        <v>Meowscarada</v>
      </c>
      <c r="D477" s="5" t="s">
        <v>311</v>
      </c>
      <c r="E477" s="5"/>
      <c r="F477" s="5"/>
      <c r="G477" s="5"/>
      <c r="H477" s="7"/>
    </row>
    <row r="478" customFormat="false" ht="30" hidden="false" customHeight="true" outlineLevel="0" collapsed="false">
      <c r="A478" s="4" t="s">
        <v>6</v>
      </c>
      <c r="B478" s="5" t="s">
        <v>26</v>
      </c>
      <c r="C478" s="6" t="str">
        <f aca="false">HYPERLINK("https://partner.tcgplayer.com/c/6278691/1780961/21018?u=https%3A%2F%2Fwww.tcgplayer.com%2Fproduct%2F620551%3Futm_source%3Dimpact%26utm_medium%3Daffiliate%26utm_campaign%3Dpoke%2Bcottage","Meowscarada")</f>
        <v>Meowscarada</v>
      </c>
      <c r="D478" s="5" t="s">
        <v>312</v>
      </c>
      <c r="E478" s="5"/>
      <c r="F478" s="5"/>
      <c r="G478" s="5"/>
      <c r="H478" s="7"/>
    </row>
    <row r="479" customFormat="false" ht="30" hidden="false" customHeight="true" outlineLevel="0" collapsed="false">
      <c r="A479" s="4" t="s">
        <v>6</v>
      </c>
      <c r="B479" s="5" t="s">
        <v>32</v>
      </c>
      <c r="C479" s="6" t="str">
        <f aca="false">HYPERLINK("https://partner.tcgplayer.com/c/6278691/1780961/21018?u=https%3A%2F%2Fwww.tcgplayer.com%2Fproduct%2F517268%3Futm_source%3Dimpact%26utm_medium%3Daffiliate%26utm_campaign%3Dpoke%2Bcottage","Spidops ex")</f>
        <v>Spidops ex</v>
      </c>
      <c r="D479" s="5" t="s">
        <v>285</v>
      </c>
      <c r="E479" s="5"/>
      <c r="F479" s="5"/>
      <c r="G479" s="5"/>
      <c r="H479" s="7"/>
    </row>
    <row r="480" customFormat="false" ht="30" hidden="false" customHeight="true" outlineLevel="0" collapsed="false">
      <c r="A480" s="4" t="s">
        <v>6</v>
      </c>
      <c r="B480" s="5" t="s">
        <v>37</v>
      </c>
      <c r="C480" s="6" t="str">
        <f aca="false">HYPERLINK("https://partner.tcgplayer.com/c/6278691/1780961/21018?u=https%3A%2F%2Fwww.tcgplayer.com%2Fproduct%2F546428%3Futm_source%3Dimpact%26utm_medium%3Daffiliate%26utm_campaign%3Dpoke%2Bcottage","Arboliva")</f>
        <v>Arboliva</v>
      </c>
      <c r="D480" s="5" t="s">
        <v>313</v>
      </c>
      <c r="E480" s="5"/>
      <c r="F480" s="5"/>
      <c r="G480" s="5"/>
      <c r="H480" s="7"/>
    </row>
    <row r="481" customFormat="false" ht="30" hidden="false" customHeight="true" outlineLevel="0" collapsed="false">
      <c r="A481" s="4" t="s">
        <v>6</v>
      </c>
      <c r="B481" s="5" t="s">
        <v>37</v>
      </c>
      <c r="C481" s="6" t="str">
        <f aca="false">HYPERLINK("https://partner.tcgplayer.com/c/6278691/1780961/21018?u=https%3A%2F%2Fwww.tcgplayer.com%2Fproduct%2F505040%3Futm_source%3Dimpact%26utm_medium%3Daffiliate%26utm_campaign%3Dpoke%2Bcottage","Arboliva")</f>
        <v>Arboliva</v>
      </c>
      <c r="D481" s="5" t="s">
        <v>314</v>
      </c>
      <c r="E481" s="5"/>
      <c r="F481" s="5"/>
      <c r="G481" s="5"/>
      <c r="H481" s="7"/>
    </row>
    <row r="482" customFormat="false" ht="30" hidden="false" customHeight="true" outlineLevel="0" collapsed="false">
      <c r="A482" s="4" t="s">
        <v>6</v>
      </c>
      <c r="B482" s="5" t="s">
        <v>47</v>
      </c>
      <c r="C482" s="6" t="str">
        <f aca="false">HYPERLINK("https://partner.tcgplayer.com/c/6278691/1780961/21018?u=https%3A%2F%2Fwww.tcgplayer.com%2Fproduct%2F557052%3Futm_source%3Dimpact%26utm_medium%3Daffiliate%26utm_campaign%3Dpoke%2Bcottage","Houndour #21")</f>
        <v>Houndour #21</v>
      </c>
      <c r="D482" s="5" t="s">
        <v>315</v>
      </c>
      <c r="E482" s="5"/>
      <c r="F482" s="5"/>
      <c r="G482" s="5"/>
      <c r="H482" s="7"/>
    </row>
    <row r="483" customFormat="false" ht="30" hidden="false" customHeight="true" outlineLevel="0" collapsed="false">
      <c r="A483" s="4" t="s">
        <v>6</v>
      </c>
      <c r="B483" s="5" t="s">
        <v>47</v>
      </c>
      <c r="C483" s="6" t="str">
        <f aca="false">HYPERLINK("https://partner.tcgplayer.com/c/6278691/1780961/21018?u=https%3A%2F%2Fwww.tcgplayer.com%2Fproduct%2F557053%3Futm_source%3Dimpact%26utm_medium%3Daffiliate%26utm_campaign%3Dpoke%2Bcottage","Houndour #39")</f>
        <v>Houndour #39</v>
      </c>
      <c r="D483" s="5" t="s">
        <v>316</v>
      </c>
      <c r="E483" s="5"/>
      <c r="F483" s="5"/>
      <c r="G483" s="5"/>
      <c r="H483" s="7"/>
    </row>
    <row r="484" customFormat="false" ht="30" hidden="false" customHeight="true" outlineLevel="0" collapsed="false">
      <c r="A484" s="4" t="s">
        <v>6</v>
      </c>
      <c r="B484" s="5" t="s">
        <v>47</v>
      </c>
      <c r="C484" s="6" t="str">
        <f aca="false">HYPERLINK("https://partner.tcgplayer.com/c/6278691/1780961/21018?u=https%3A%2F%2Fwww.tcgplayer.com%2Fproduct%2F557051%3Futm_source%3Dimpact%26utm_medium%3Daffiliate%26utm_campaign%3Dpoke%2Bcottage","Houndour #7")</f>
        <v>Houndour #7</v>
      </c>
      <c r="D484" s="5" t="s">
        <v>317</v>
      </c>
      <c r="E484" s="5"/>
      <c r="F484" s="5"/>
      <c r="G484" s="5"/>
      <c r="H484" s="7"/>
    </row>
    <row r="485" customFormat="false" ht="30" hidden="false" customHeight="true" outlineLevel="0" collapsed="false">
      <c r="A485" s="4" t="s">
        <v>6</v>
      </c>
      <c r="B485" s="5" t="s">
        <v>48</v>
      </c>
      <c r="C485" s="6" t="str">
        <f aca="false">HYPERLINK("https://partner.tcgplayer.com/c/6278691/1780961/21018?u=https%3A%2F%2Fwww.tcgplayer.com%2Fproduct%2F557046%3Futm_source%3Dimpact%26utm_medium%3Daffiliate%26utm_campaign%3Dpoke%2Bcottage","Houndoom #23")</f>
        <v>Houndoom #23</v>
      </c>
      <c r="D485" s="5" t="s">
        <v>318</v>
      </c>
      <c r="E485" s="5"/>
      <c r="F485" s="5"/>
      <c r="G485" s="5"/>
      <c r="H485" s="7"/>
    </row>
    <row r="486" customFormat="false" ht="30" hidden="false" customHeight="true" outlineLevel="0" collapsed="false">
      <c r="A486" s="4" t="s">
        <v>6</v>
      </c>
      <c r="B486" s="5" t="s">
        <v>48</v>
      </c>
      <c r="C486" s="6" t="str">
        <f aca="false">HYPERLINK("https://partner.tcgplayer.com/c/6278691/1780961/21018?u=https%3A%2F%2Fwww.tcgplayer.com%2Fproduct%2F557050%3Futm_source%3Dimpact%26utm_medium%3Daffiliate%26utm_campaign%3Dpoke%2Bcottage","Houndoom #27")</f>
        <v>Houndoom #27</v>
      </c>
      <c r="D486" s="5" t="s">
        <v>319</v>
      </c>
      <c r="E486" s="5"/>
      <c r="F486" s="5"/>
      <c r="G486" s="5"/>
      <c r="H486" s="7"/>
    </row>
    <row r="487" customFormat="false" ht="30" hidden="false" customHeight="true" outlineLevel="0" collapsed="false">
      <c r="A487" s="4" t="s">
        <v>6</v>
      </c>
      <c r="B487" s="5" t="s">
        <v>48</v>
      </c>
      <c r="C487" s="6" t="str">
        <f aca="false">HYPERLINK("https://partner.tcgplayer.com/c/6278691/1780961/21018?u=https%3A%2F%2Fwww.tcgplayer.com%2Fproduct%2F515650%3Futm_source%3Dimpact%26utm_medium%3Daffiliate%26utm_campaign%3Dpoke%2Bcottage","Houndoom")</f>
        <v>Houndoom</v>
      </c>
      <c r="D487" s="5" t="s">
        <v>320</v>
      </c>
      <c r="E487" s="5"/>
      <c r="F487" s="5"/>
      <c r="G487" s="5"/>
      <c r="H487" s="7"/>
    </row>
    <row r="488" customFormat="false" ht="30" hidden="false" customHeight="true" outlineLevel="0" collapsed="false">
      <c r="A488" s="4" t="s">
        <v>6</v>
      </c>
      <c r="B488" s="5" t="s">
        <v>49</v>
      </c>
      <c r="C488" s="6" t="str">
        <f aca="false">HYPERLINK("https://partner.tcgplayer.com/c/6278691/1780961/21018?u=https%3A%2F%2Fwww.tcgplayer.com%2Fproduct%2F557070%3Futm_source%3Dimpact%26utm_medium%3Daffiliate%26utm_campaign%3Dpoke%2Bcottage","Torkoal #4")</f>
        <v>Torkoal #4</v>
      </c>
      <c r="D488" s="5" t="s">
        <v>321</v>
      </c>
      <c r="E488" s="5"/>
      <c r="F488" s="5"/>
      <c r="G488" s="5"/>
      <c r="H488" s="7"/>
    </row>
    <row r="489" customFormat="false" ht="30" hidden="false" customHeight="true" outlineLevel="0" collapsed="false">
      <c r="A489" s="4" t="s">
        <v>6</v>
      </c>
      <c r="B489" s="5" t="s">
        <v>49</v>
      </c>
      <c r="C489" s="6" t="str">
        <f aca="false">HYPERLINK("https://partner.tcgplayer.com/c/6278691/1780961/21018?u=https%3A%2F%2Fwww.tcgplayer.com%2Fproduct%2F557071%3Futm_source%3Dimpact%26utm_medium%3Daffiliate%26utm_campaign%3Dpoke%2Bcottage","Torkoal #53")</f>
        <v>Torkoal #53</v>
      </c>
      <c r="D489" s="5" t="s">
        <v>322</v>
      </c>
      <c r="E489" s="5"/>
      <c r="F489" s="5"/>
      <c r="G489" s="5"/>
      <c r="H489" s="7"/>
    </row>
    <row r="490" customFormat="false" ht="30" hidden="false" customHeight="true" outlineLevel="0" collapsed="false">
      <c r="A490" s="4" t="s">
        <v>6</v>
      </c>
      <c r="B490" s="5" t="s">
        <v>50</v>
      </c>
      <c r="C490" s="6" t="str">
        <f aca="false">HYPERLINK("https://partner.tcgplayer.com/c/6278691/1780961/21018?u=https%3A%2F%2Fwww.tcgplayer.com%2Fproduct%2F477852%3Futm_source%3Dimpact%26utm_medium%3Daffiliate%26utm_campaign%3Dpoke%2Bcottage","Fuecoco")</f>
        <v>Fuecoco</v>
      </c>
      <c r="D490" s="5" t="s">
        <v>28</v>
      </c>
      <c r="E490" s="5"/>
      <c r="F490" s="5"/>
      <c r="G490" s="5"/>
      <c r="H490" s="7"/>
    </row>
    <row r="491" customFormat="false" ht="30" hidden="false" customHeight="true" outlineLevel="0" collapsed="false">
      <c r="A491" s="4" t="s">
        <v>6</v>
      </c>
      <c r="B491" s="5" t="s">
        <v>50</v>
      </c>
      <c r="C491" s="5" t="s">
        <v>323</v>
      </c>
      <c r="D491" s="5" t="s">
        <v>310</v>
      </c>
      <c r="E491" s="5"/>
      <c r="F491" s="5" t="str">
        <f aca="false">HYPERLINK("https://www.ebay.com/sch/i.html?_nkw=Fuecoco+Beginner+s+Session+Scarlet+%26+Violet+36+pokemon+card&amp;_sacat=0&amp;_from=R40&amp;_trksid=p4624852.m570.l1313&amp;mkcid=1&amp;mkrid=711-53200-19255-0&amp;siteid=0&amp;campid=5339158445&amp;customid=pokecottage&amp;toolid=10001&amp;mkevt=1","FIND ON EBAY")</f>
        <v>FIND ON EBAY</v>
      </c>
      <c r="G491" s="5"/>
      <c r="H491" s="7"/>
    </row>
    <row r="492" customFormat="false" ht="30" hidden="false" customHeight="true" outlineLevel="0" collapsed="false">
      <c r="A492" s="4" t="s">
        <v>6</v>
      </c>
      <c r="B492" s="5" t="s">
        <v>52</v>
      </c>
      <c r="C492" s="6" t="str">
        <f aca="false">HYPERLINK("https://partner.tcgplayer.com/c/6278691/1780961/21018?u=https%3A%2F%2Fwww.tcgplayer.com%2Fproduct%2F533672%3Futm_source%3Dimpact%26utm_medium%3Daffiliate%26utm_campaign%3Dpoke%2Bcottage","Skeledirge")</f>
        <v>Skeledirge</v>
      </c>
      <c r="D492" s="5" t="s">
        <v>311</v>
      </c>
      <c r="E492" s="5"/>
      <c r="F492" s="5"/>
      <c r="G492" s="5"/>
      <c r="H492" s="7"/>
    </row>
    <row r="493" customFormat="false" ht="30" hidden="false" customHeight="true" outlineLevel="0" collapsed="false">
      <c r="A493" s="4" t="s">
        <v>6</v>
      </c>
      <c r="B493" s="5" t="s">
        <v>52</v>
      </c>
      <c r="C493" s="6" t="str">
        <f aca="false">HYPERLINK("https://partner.tcgplayer.com/c/6278691/1780961/21018?u=https%3A%2F%2Fwww.tcgplayer.com%2Fproduct%2F583519%3Futm_source%3Dimpact%26utm_medium%3Daffiliate%26utm_campaign%3Dpoke%2Bcottage","Skeledirge")</f>
        <v>Skeledirge</v>
      </c>
      <c r="D493" s="5" t="s">
        <v>313</v>
      </c>
      <c r="E493" s="5"/>
      <c r="F493" s="5"/>
      <c r="G493" s="5"/>
      <c r="H493" s="7"/>
    </row>
    <row r="494" customFormat="false" ht="30" hidden="false" customHeight="true" outlineLevel="0" collapsed="false">
      <c r="A494" s="4" t="s">
        <v>6</v>
      </c>
      <c r="B494" s="5" t="s">
        <v>52</v>
      </c>
      <c r="C494" s="6" t="str">
        <f aca="false">HYPERLINK("https://partner.tcgplayer.com/c/6278691/1780961/21018?u=https%3A%2F%2Fwww.tcgplayer.com%2Fproduct%2F620552%3Futm_source%3Dimpact%26utm_medium%3Daffiliate%26utm_campaign%3Dpoke%2Bcottage","Skeledirge")</f>
        <v>Skeledirge</v>
      </c>
      <c r="D494" s="5" t="s">
        <v>312</v>
      </c>
      <c r="E494" s="5"/>
      <c r="F494" s="5"/>
      <c r="G494" s="5"/>
      <c r="H494" s="7"/>
    </row>
    <row r="495" customFormat="false" ht="30" hidden="false" customHeight="true" outlineLevel="0" collapsed="false">
      <c r="A495" s="4" t="s">
        <v>6</v>
      </c>
      <c r="B495" s="5" t="s">
        <v>52</v>
      </c>
      <c r="C495" s="6" t="str">
        <f aca="false">HYPERLINK("https://partner.tcgplayer.com/c/6278691/1780961/21018?u=https%3A%2F%2Fwww.tcgplayer.com%2Fproduct%2F557067%3Futm_source%3Dimpact%26utm_medium%3Daffiliate%26utm_campaign%3Dpoke%2Bcottage","Skeledirge")</f>
        <v>Skeledirge</v>
      </c>
      <c r="D495" s="5" t="s">
        <v>324</v>
      </c>
      <c r="E495" s="5"/>
      <c r="F495" s="5"/>
      <c r="G495" s="5"/>
      <c r="H495" s="7"/>
    </row>
    <row r="496" customFormat="false" ht="30" hidden="false" customHeight="true" outlineLevel="0" collapsed="false">
      <c r="A496" s="4" t="s">
        <v>6</v>
      </c>
      <c r="B496" s="5" t="s">
        <v>55</v>
      </c>
      <c r="C496" s="6" t="str">
        <f aca="false">HYPERLINK("https://partner.tcgplayer.com/c/6278691/1780961/21018?u=https%3A%2F%2Fwww.tcgplayer.com%2Fproduct%2F505042%3Futm_source%3Dimpact%26utm_medium%3Daffiliate%26utm_campaign%3Dpoke%2Bcottage","Armarouge")</f>
        <v>Armarouge</v>
      </c>
      <c r="D496" s="5" t="s">
        <v>314</v>
      </c>
      <c r="E496" s="5"/>
      <c r="F496" s="5"/>
      <c r="G496" s="5"/>
      <c r="H496" s="7"/>
    </row>
    <row r="497" customFormat="false" ht="30" hidden="false" customHeight="true" outlineLevel="0" collapsed="false">
      <c r="A497" s="4" t="s">
        <v>6</v>
      </c>
      <c r="B497" s="5" t="s">
        <v>55</v>
      </c>
      <c r="C497" s="6" t="str">
        <f aca="false">HYPERLINK("https://partner.tcgplayer.com/c/6278691/1780961/21018?u=https%3A%2F%2Fwww.tcgplayer.com%2Fproduct%2F515317%3Futm_source%3Dimpact%26utm_medium%3Daffiliate%26utm_campaign%3Dpoke%2Bcottage","Armarouge")</f>
        <v>Armarouge</v>
      </c>
      <c r="D497" s="5" t="s">
        <v>285</v>
      </c>
      <c r="E497" s="5"/>
      <c r="F497" s="5"/>
      <c r="G497" s="5"/>
      <c r="H497" s="7"/>
    </row>
    <row r="498" customFormat="false" ht="30" hidden="false" customHeight="true" outlineLevel="0" collapsed="false">
      <c r="A498" s="4" t="s">
        <v>6</v>
      </c>
      <c r="B498" s="5" t="s">
        <v>57</v>
      </c>
      <c r="C498" s="6" t="str">
        <f aca="false">HYPERLINK("https://partner.tcgplayer.com/c/6278691/1780961/21018?u=https%3A%2F%2Fwww.tcgplayer.com%2Fproduct%2F515454%3Futm_source%3Dimpact%26utm_medium%3Daffiliate%26utm_campaign%3Dpoke%2Bcottage","Slowbro")</f>
        <v>Slowbro</v>
      </c>
      <c r="D498" s="5" t="s">
        <v>285</v>
      </c>
      <c r="E498" s="5"/>
      <c r="F498" s="5"/>
      <c r="G498" s="5"/>
      <c r="H498" s="7"/>
    </row>
    <row r="499" customFormat="false" ht="30" hidden="false" customHeight="true" outlineLevel="0" collapsed="false">
      <c r="A499" s="4" t="s">
        <v>6</v>
      </c>
      <c r="B499" s="5" t="s">
        <v>66</v>
      </c>
      <c r="C499" s="6" t="str">
        <f aca="false">HYPERLINK("https://partner.tcgplayer.com/c/6278691/1780961/21018?u=https%3A%2F%2Fwww.tcgplayer.com%2Fproduct%2F477855%3Futm_source%3Dimpact%26utm_medium%3Daffiliate%26utm_campaign%3Dpoke%2Bcottage","Quaxly")</f>
        <v>Quaxly</v>
      </c>
      <c r="D499" s="5" t="s">
        <v>28</v>
      </c>
      <c r="E499" s="5"/>
      <c r="F499" s="5"/>
      <c r="G499" s="5"/>
      <c r="H499" s="7"/>
    </row>
    <row r="500" customFormat="false" ht="30" hidden="false" customHeight="true" outlineLevel="0" collapsed="false">
      <c r="A500" s="4" t="s">
        <v>6</v>
      </c>
      <c r="B500" s="5" t="s">
        <v>66</v>
      </c>
      <c r="C500" s="5" t="s">
        <v>325</v>
      </c>
      <c r="D500" s="5" t="s">
        <v>310</v>
      </c>
      <c r="E500" s="5"/>
      <c r="F500" s="5" t="str">
        <f aca="false">HYPERLINK("https://www.ebay.com/sch/i.html?_nkw=Quaxly+Beginner+s+Session+Scarlet+%26+Violet+52+pokemon+card&amp;_sacat=0&amp;_from=R40&amp;_trksid=p4624852.m570.l1313&amp;mkcid=1&amp;mkrid=711-53200-19255-0&amp;siteid=0&amp;campid=5339158445&amp;customid=pokecottage&amp;toolid=10001&amp;mkevt=1","FIND ON EBAY")</f>
        <v>FIND ON EBAY</v>
      </c>
      <c r="G500" s="5"/>
      <c r="H500" s="7"/>
    </row>
    <row r="501" customFormat="false" ht="30" hidden="false" customHeight="true" outlineLevel="0" collapsed="false">
      <c r="A501" s="4" t="s">
        <v>6</v>
      </c>
      <c r="B501" s="5" t="s">
        <v>68</v>
      </c>
      <c r="C501" s="6" t="str">
        <f aca="false">HYPERLINK("https://partner.tcgplayer.com/c/6278691/1780961/21018?u=https%3A%2F%2Fwww.tcgplayer.com%2Fproduct%2F536205%3Futm_source%3Dimpact%26utm_medium%3Daffiliate%26utm_campaign%3Dpoke%2Bcottage","Quaquaval")</f>
        <v>Quaquaval</v>
      </c>
      <c r="D501" s="5" t="s">
        <v>311</v>
      </c>
      <c r="E501" s="5"/>
      <c r="F501" s="5"/>
      <c r="G501" s="5"/>
      <c r="H501" s="7"/>
    </row>
    <row r="502" customFormat="false" ht="30" hidden="false" customHeight="true" outlineLevel="0" collapsed="false">
      <c r="A502" s="4" t="s">
        <v>6</v>
      </c>
      <c r="B502" s="5" t="s">
        <v>68</v>
      </c>
      <c r="C502" s="6" t="str">
        <f aca="false">HYPERLINK("https://partner.tcgplayer.com/c/6278691/1780961/21018?u=https%3A%2F%2Fwww.tcgplayer.com%2Fproduct%2F494950%3Futm_source%3Dimpact%26utm_medium%3Daffiliate%26utm_campaign%3Dpoke%2Bcottage","Quaquaval")</f>
        <v>Quaquaval</v>
      </c>
      <c r="D502" s="5" t="s">
        <v>313</v>
      </c>
      <c r="E502" s="5"/>
      <c r="F502" s="5"/>
      <c r="G502" s="5"/>
      <c r="H502" s="7"/>
    </row>
    <row r="503" customFormat="false" ht="30" hidden="false" customHeight="true" outlineLevel="0" collapsed="false">
      <c r="A503" s="4" t="s">
        <v>6</v>
      </c>
      <c r="B503" s="5" t="s">
        <v>68</v>
      </c>
      <c r="C503" s="6" t="str">
        <f aca="false">HYPERLINK("https://partner.tcgplayer.com/c/6278691/1780961/21018?u=https%3A%2F%2Fwww.tcgplayer.com%2Fproduct%2F620555%3Futm_source%3Dimpact%26utm_medium%3Daffiliate%26utm_campaign%3Dpoke%2Bcottage","Quaquaval")</f>
        <v>Quaquaval</v>
      </c>
      <c r="D503" s="5" t="s">
        <v>312</v>
      </c>
      <c r="E503" s="5"/>
      <c r="F503" s="5"/>
      <c r="G503" s="5"/>
      <c r="H503" s="7"/>
    </row>
    <row r="504" customFormat="false" ht="30" hidden="false" customHeight="true" outlineLevel="0" collapsed="false">
      <c r="A504" s="4" t="s">
        <v>6</v>
      </c>
      <c r="B504" s="5" t="s">
        <v>68</v>
      </c>
      <c r="C504" s="6" t="str">
        <f aca="false">HYPERLINK("https://partner.tcgplayer.com/c/6278691/1780961/21018?u=https%3A%2F%2Fwww.tcgplayer.com%2Fproduct%2F538738%3Futm_source%3Dimpact%26utm_medium%3Daffiliate%26utm_campaign%3Dpoke%2Bcottage","Quaquaval")</f>
        <v>Quaquaval</v>
      </c>
      <c r="D504" s="5" t="s">
        <v>285</v>
      </c>
      <c r="E504" s="5"/>
      <c r="F504" s="5"/>
      <c r="G504" s="5"/>
      <c r="H504" s="7"/>
    </row>
    <row r="505" customFormat="false" ht="30" hidden="false" customHeight="true" outlineLevel="0" collapsed="false">
      <c r="A505" s="4" t="s">
        <v>6</v>
      </c>
      <c r="B505" s="5" t="s">
        <v>75</v>
      </c>
      <c r="C505" s="6" t="str">
        <f aca="false">HYPERLINK("https://partner.tcgplayer.com/c/6278691/1780961/21018?u=https%3A%2F%2Fwww.tcgplayer.com%2Fproduct%2F494952%3Futm_source%3Dimpact%26utm_medium%3Daffiliate%26utm_campaign%3Dpoke%2Bcottage","Dondozo")</f>
        <v>Dondozo</v>
      </c>
      <c r="D505" s="5" t="s">
        <v>313</v>
      </c>
      <c r="E505" s="5"/>
      <c r="F505" s="5"/>
      <c r="G505" s="5"/>
      <c r="H505" s="7"/>
    </row>
    <row r="506" customFormat="false" ht="30" hidden="false" customHeight="true" outlineLevel="0" collapsed="false">
      <c r="A506" s="4" t="s">
        <v>6</v>
      </c>
      <c r="B506" s="5" t="s">
        <v>75</v>
      </c>
      <c r="C506" s="6" t="str">
        <f aca="false">HYPERLINK("https://partner.tcgplayer.com/c/6278691/1780961/21018?u=https%3A%2F%2Fwww.tcgplayer.com%2Fproduct%2F505047%3Futm_source%3Dimpact%26utm_medium%3Daffiliate%26utm_campaign%3Dpoke%2Bcottage","Dondozo")</f>
        <v>Dondozo</v>
      </c>
      <c r="D506" s="5" t="s">
        <v>314</v>
      </c>
      <c r="E506" s="5"/>
      <c r="F506" s="5"/>
      <c r="G506" s="5"/>
      <c r="H506" s="7"/>
    </row>
    <row r="507" customFormat="false" ht="30" hidden="false" customHeight="true" outlineLevel="0" collapsed="false">
      <c r="A507" s="4" t="s">
        <v>6</v>
      </c>
      <c r="B507" s="5" t="s">
        <v>75</v>
      </c>
      <c r="C507" s="6" t="str">
        <f aca="false">HYPERLINK("https://partner.tcgplayer.com/c/6278691/1780961/21018?u=https%3A%2F%2Fwww.tcgplayer.com%2Fproduct%2F515349%3Futm_source%3Dimpact%26utm_medium%3Daffiliate%26utm_campaign%3Dpoke%2Bcottage","Dondozo")</f>
        <v>Dondozo</v>
      </c>
      <c r="D507" s="5" t="s">
        <v>285</v>
      </c>
      <c r="E507" s="5"/>
      <c r="F507" s="5"/>
      <c r="G507" s="5"/>
      <c r="H507" s="7"/>
    </row>
    <row r="508" customFormat="false" ht="30" hidden="false" customHeight="true" outlineLevel="0" collapsed="false">
      <c r="A508" s="4" t="s">
        <v>6</v>
      </c>
      <c r="B508" s="5" t="s">
        <v>75</v>
      </c>
      <c r="C508" s="6" t="str">
        <f aca="false">HYPERLINK("https://partner.tcgplayer.com/c/6278691/1780961/21018?u=https%3A%2F%2Fwww.tcgplayer.com%2Fproduct%2F515349%3Futm_source%3Dimpact%26utm_medium%3Daffiliate%26utm_campaign%3Dpoke%2Bcottage","Dondozo")</f>
        <v>Dondozo</v>
      </c>
      <c r="D508" s="5" t="s">
        <v>326</v>
      </c>
      <c r="E508" s="5"/>
      <c r="F508" s="5"/>
      <c r="G508" s="5"/>
      <c r="H508" s="7"/>
    </row>
    <row r="509" customFormat="false" ht="30" hidden="false" customHeight="true" outlineLevel="0" collapsed="false">
      <c r="A509" s="4" t="s">
        <v>6</v>
      </c>
      <c r="B509" s="5" t="s">
        <v>76</v>
      </c>
      <c r="C509" s="6" t="str">
        <f aca="false">HYPERLINK("https://partner.tcgplayer.com/c/6278691/1780961/21018?u=https%3A%2F%2Fwww.tcgplayer.com%2Fproduct%2F515458%3Futm_source%3Dimpact%26utm_medium%3Daffiliate%26utm_campaign%3Dpoke%2Bcottage","Tatsugiri")</f>
        <v>Tatsugiri</v>
      </c>
      <c r="D509" s="5" t="s">
        <v>285</v>
      </c>
      <c r="E509" s="5"/>
      <c r="F509" s="5"/>
      <c r="G509" s="5"/>
      <c r="H509" s="7"/>
    </row>
    <row r="510" customFormat="false" ht="30" hidden="false" customHeight="true" outlineLevel="0" collapsed="false">
      <c r="A510" s="4" t="s">
        <v>6</v>
      </c>
      <c r="B510" s="5" t="s">
        <v>76</v>
      </c>
      <c r="C510" s="6" t="str">
        <f aca="false">HYPERLINK("https://partner.tcgplayer.com/c/6278691/1780961/21018?u=https%3A%2F%2Fwww.tcgplayer.com%2Fproduct%2F515458%3Futm_source%3Dimpact%26utm_medium%3Daffiliate%26utm_campaign%3Dpoke%2Bcottage","Tatsugiri")</f>
        <v>Tatsugiri</v>
      </c>
      <c r="D510" s="5" t="s">
        <v>326</v>
      </c>
      <c r="E510" s="5"/>
      <c r="F510" s="5"/>
      <c r="G510" s="5"/>
      <c r="H510" s="7"/>
    </row>
    <row r="511" customFormat="false" ht="30" hidden="false" customHeight="true" outlineLevel="0" collapsed="false">
      <c r="A511" s="4" t="s">
        <v>6</v>
      </c>
      <c r="B511" s="5" t="s">
        <v>79</v>
      </c>
      <c r="C511" s="6" t="str">
        <f aca="false">HYPERLINK("https://partner.tcgplayer.com/c/6278691/1780961/21018?u=https%3A%2F%2Fwww.tcgplayer.com%2Fproduct%2F513795%3Futm_source%3Dimpact%26utm_medium%3Daffiliate%26utm_campaign%3Dpoke%2Bcottage","Magnezone ex")</f>
        <v>Magnezone ex</v>
      </c>
      <c r="D511" s="5" t="s">
        <v>285</v>
      </c>
      <c r="E511" s="5"/>
      <c r="F511" s="5"/>
      <c r="G511" s="5"/>
      <c r="H511" s="7"/>
    </row>
    <row r="512" customFormat="false" ht="30" hidden="false" customHeight="true" outlineLevel="0" collapsed="false">
      <c r="A512" s="4" t="s">
        <v>6</v>
      </c>
      <c r="B512" s="5" t="s">
        <v>83</v>
      </c>
      <c r="C512" s="6" t="str">
        <f aca="false">HYPERLINK("https://partner.tcgplayer.com/c/6278691/1780961/21018?u=https%3A%2F%2Fwww.tcgplayer.com%2Fproduct%2F556925%3Futm_source%3Dimpact%26utm_medium%3Daffiliate%26utm_campaign%3Dpoke%2Bcottage","Rotom")</f>
        <v>Rotom</v>
      </c>
      <c r="D512" s="5" t="s">
        <v>327</v>
      </c>
      <c r="E512" s="5"/>
      <c r="F512" s="5"/>
      <c r="G512" s="5"/>
      <c r="H512" s="7"/>
    </row>
    <row r="513" customFormat="false" ht="30" hidden="false" customHeight="true" outlineLevel="0" collapsed="false">
      <c r="A513" s="4" t="s">
        <v>6</v>
      </c>
      <c r="B513" s="5" t="s">
        <v>84</v>
      </c>
      <c r="C513" s="6" t="str">
        <f aca="false">HYPERLINK("https://partner.tcgplayer.com/c/6278691/1780961/21018?u=https%3A%2F%2Fwww.tcgplayer.com%2Fproduct%2F497061%3Futm_source%3Dimpact%26utm_medium%3Daffiliate%26utm_campaign%3Dpoke%2Bcottage","Rotom")</f>
        <v>Rotom</v>
      </c>
      <c r="D513" s="5" t="s">
        <v>311</v>
      </c>
      <c r="E513" s="5"/>
      <c r="F513" s="5"/>
      <c r="G513" s="5"/>
      <c r="H513" s="7"/>
    </row>
    <row r="514" customFormat="false" ht="30" hidden="false" customHeight="true" outlineLevel="0" collapsed="false">
      <c r="A514" s="4" t="s">
        <v>6</v>
      </c>
      <c r="B514" s="5" t="s">
        <v>90</v>
      </c>
      <c r="C514" s="6" t="str">
        <f aca="false">HYPERLINK("https://partner.tcgplayer.com/c/6278691/1780961/21018?u=https%3A%2F%2Fwww.tcgplayer.com%2Fproduct%2F494955%3Futm_source%3Dimpact%26utm_medium%3Daffiliate%26utm_campaign%3Dpoke%2Bcottage","Pawmot")</f>
        <v>Pawmot</v>
      </c>
      <c r="D514" s="5" t="s">
        <v>313</v>
      </c>
      <c r="E514" s="5"/>
      <c r="F514" s="5"/>
      <c r="G514" s="5"/>
      <c r="H514" s="7"/>
    </row>
    <row r="515" customFormat="false" ht="30" hidden="false" customHeight="true" outlineLevel="0" collapsed="false">
      <c r="A515" s="4" t="s">
        <v>6</v>
      </c>
      <c r="B515" s="5" t="s">
        <v>90</v>
      </c>
      <c r="C515" s="6" t="str">
        <f aca="false">HYPERLINK("https://partner.tcgplayer.com/c/6278691/1780961/21018?u=https%3A%2F%2Fwww.tcgplayer.com%2Fproduct%2F505050%3Futm_source%3Dimpact%26utm_medium%3Daffiliate%26utm_campaign%3Dpoke%2Bcottage","Pawmot")</f>
        <v>Pawmot</v>
      </c>
      <c r="D515" s="5" t="s">
        <v>314</v>
      </c>
      <c r="E515" s="5"/>
      <c r="F515" s="5"/>
      <c r="G515" s="5"/>
      <c r="H515" s="7"/>
    </row>
    <row r="516" customFormat="false" ht="30" hidden="false" customHeight="true" outlineLevel="0" collapsed="false">
      <c r="A516" s="4" t="s">
        <v>6</v>
      </c>
      <c r="B516" s="5" t="s">
        <v>90</v>
      </c>
      <c r="C516" s="6" t="str">
        <f aca="false">HYPERLINK("https://partner.tcgplayer.com/c/6278691/1780961/21018?u=https%3A%2F%2Fwww.tcgplayer.com%2Fproduct%2F515435%3Futm_source%3Dimpact%26utm_medium%3Daffiliate%26utm_campaign%3Dpoke%2Bcottage","Pawmot")</f>
        <v>Pawmot</v>
      </c>
      <c r="D516" s="5" t="s">
        <v>285</v>
      </c>
      <c r="E516" s="5"/>
      <c r="F516" s="5"/>
      <c r="G516" s="5"/>
      <c r="H516" s="7"/>
    </row>
    <row r="517" customFormat="false" ht="30" hidden="false" customHeight="true" outlineLevel="0" collapsed="false">
      <c r="A517" s="4" t="s">
        <v>6</v>
      </c>
      <c r="B517" s="5" t="s">
        <v>91</v>
      </c>
      <c r="C517" s="6" t="str">
        <f aca="false">HYPERLINK("https://partner.tcgplayer.com/c/6278691/1780961/21018?u=https%3A%2F%2Fwww.tcgplayer.com%2Fproduct%2F557942%3Futm_source%3Dimpact%26utm_medium%3Daffiliate%26utm_campaign%3Dpoke%2Bcottage","Wattrel #17")</f>
        <v>Wattrel #17</v>
      </c>
      <c r="D517" s="5" t="s">
        <v>328</v>
      </c>
      <c r="E517" s="5"/>
      <c r="F517" s="5"/>
      <c r="G517" s="5"/>
      <c r="H517" s="7"/>
    </row>
    <row r="518" customFormat="false" ht="30" hidden="false" customHeight="true" outlineLevel="0" collapsed="false">
      <c r="A518" s="4" t="s">
        <v>6</v>
      </c>
      <c r="B518" s="5" t="s">
        <v>91</v>
      </c>
      <c r="C518" s="6" t="str">
        <f aca="false">HYPERLINK("https://partner.tcgplayer.com/c/6278691/1780961/21018?u=https%3A%2F%2Fwww.tcgplayer.com%2Fproduct%2F556943%3Futm_source%3Dimpact%26utm_medium%3Daffiliate%26utm_campaign%3Dpoke%2Bcottage","Wattrel #58")</f>
        <v>Wattrel #58</v>
      </c>
      <c r="D518" s="5" t="s">
        <v>329</v>
      </c>
      <c r="E518" s="5"/>
      <c r="F518" s="5"/>
      <c r="G518" s="5"/>
      <c r="H518" s="7"/>
    </row>
    <row r="519" customFormat="false" ht="30" hidden="false" customHeight="true" outlineLevel="0" collapsed="false">
      <c r="A519" s="4" t="s">
        <v>6</v>
      </c>
      <c r="B519" s="5" t="s">
        <v>94</v>
      </c>
      <c r="C519" s="6" t="str">
        <f aca="false">HYPERLINK("https://partner.tcgplayer.com/c/6278691/1780961/21018?u=https%3A%2F%2Fwww.tcgplayer.com%2Fproduct%2F498187%3Futm_source%3Dimpact%26utm_medium%3Daffiliate%26utm_campaign%3Dpoke%2Bcottage","Miraidon")</f>
        <v>Miraidon</v>
      </c>
      <c r="D519" s="5" t="s">
        <v>313</v>
      </c>
      <c r="E519" s="5"/>
      <c r="F519" s="5"/>
      <c r="G519" s="5"/>
      <c r="H519" s="7"/>
    </row>
    <row r="520" customFormat="false" ht="30" hidden="false" customHeight="true" outlineLevel="0" collapsed="false">
      <c r="A520" s="4" t="s">
        <v>6</v>
      </c>
      <c r="B520" s="5" t="s">
        <v>95</v>
      </c>
      <c r="C520" s="6" t="str">
        <f aca="false">HYPERLINK("https://partner.tcgplayer.com/c/6278691/1780961/21018?u=https%3A%2F%2Fwww.tcgplayer.com%2Fproduct%2F518864%3Futm_source%3Dimpact%26utm_medium%3Daffiliate%26utm_campaign%3Dpoke%2Bcottage","Miraidon ex")</f>
        <v>Miraidon ex</v>
      </c>
      <c r="D520" s="5" t="s">
        <v>285</v>
      </c>
      <c r="E520" s="5"/>
      <c r="F520" s="5"/>
      <c r="G520" s="5"/>
      <c r="H520" s="7"/>
    </row>
    <row r="521" customFormat="false" ht="30" hidden="false" customHeight="true" outlineLevel="0" collapsed="false">
      <c r="A521" s="4" t="s">
        <v>6</v>
      </c>
      <c r="B521" s="5" t="s">
        <v>95</v>
      </c>
      <c r="C521" s="6" t="str">
        <f aca="false">HYPERLINK("https://partner.tcgplayer.com/c/6278691/1780961/21018?u=https%3A%2F%2Fwww.tcgplayer.com%2Fproduct%2F475655%3Futm_source%3Dimpact%26utm_medium%3Daffiliate%26utm_campaign%3Dpoke%2Bcottage","Miraidon ex")</f>
        <v>Miraidon ex</v>
      </c>
      <c r="D521" s="5" t="s">
        <v>330</v>
      </c>
      <c r="E521" s="5"/>
      <c r="F521" s="5"/>
      <c r="G521" s="5"/>
      <c r="H521" s="7"/>
    </row>
    <row r="522" customFormat="false" ht="30" hidden="false" customHeight="true" outlineLevel="0" collapsed="false">
      <c r="A522" s="4" t="s">
        <v>6</v>
      </c>
      <c r="B522" s="5" t="s">
        <v>95</v>
      </c>
      <c r="C522" s="6" t="str">
        <f aca="false">HYPERLINK("https://partner.tcgplayer.com/c/6278691/1780961/21018?u=https%3A%2F%2Fwww.tcgplayer.com%2Fproduct%2F599657%3Futm_source%3Dimpact%26utm_medium%3Daffiliate%26utm_campaign%3Dpoke%2Bcottage","Miraidon ex")</f>
        <v>Miraidon ex</v>
      </c>
      <c r="D522" s="5" t="s">
        <v>331</v>
      </c>
      <c r="E522" s="5"/>
      <c r="F522" s="5"/>
      <c r="G522" s="5"/>
      <c r="H522" s="7"/>
    </row>
    <row r="523" customFormat="false" ht="30" hidden="false" customHeight="true" outlineLevel="0" collapsed="false">
      <c r="A523" s="4" t="s">
        <v>6</v>
      </c>
      <c r="B523" s="5" t="s">
        <v>95</v>
      </c>
      <c r="C523" s="5" t="s">
        <v>332</v>
      </c>
      <c r="D523" s="5" t="s">
        <v>333</v>
      </c>
      <c r="E523" s="5"/>
      <c r="F523" s="5" t="str">
        <f aca="false">HYPERLINK("https://www.ebay.com/sch/i.html?_nkw=Miraidon+ex+Pokemon+TCG+Gym+Scarlet+%26+Violet+81+pokemon+card&amp;_sacat=0&amp;_from=R40&amp;_trksid=p4624852.m570.l1313&amp;mkcid=1&amp;mkrid=711-53200-19255-0&amp;siteid=0&amp;campid=5339158445&amp;customid=pokecottage&amp;toolid=10001&amp;mkevt=1","FIND ON EBAY")</f>
        <v>FIND ON EBAY</v>
      </c>
      <c r="G523" s="5"/>
      <c r="H523" s="7"/>
    </row>
    <row r="524" customFormat="false" ht="30" hidden="false" customHeight="true" outlineLevel="0" collapsed="false">
      <c r="A524" s="4" t="s">
        <v>6</v>
      </c>
      <c r="B524" s="5" t="s">
        <v>95</v>
      </c>
      <c r="C524" s="6" t="str">
        <f aca="false">HYPERLINK("https://partner.tcgplayer.com/c/6278691/1780961/21018?u=https%3A%2F%2Fwww.tcgplayer.com%2Fproduct%2F637570%3Futm_source%3Dimpact%26utm_medium%3Daffiliate%26utm_campaign%3Dpoke%2Bcottage","Miraidon ex")</f>
        <v>Miraidon ex</v>
      </c>
      <c r="D524" s="5" t="s">
        <v>334</v>
      </c>
      <c r="E524" s="5"/>
      <c r="F524" s="5"/>
      <c r="G524" s="5"/>
      <c r="H524" s="7"/>
    </row>
    <row r="525" customFormat="false" ht="30" hidden="false" customHeight="true" outlineLevel="0" collapsed="false">
      <c r="A525" s="4" t="s">
        <v>6</v>
      </c>
      <c r="B525" s="5" t="s">
        <v>95</v>
      </c>
      <c r="C525" s="6" t="str">
        <f aca="false">HYPERLINK("https://partner.tcgplayer.com/c/6278691/1780961/21018?u=https%3A%2F%2Fwww.tcgplayer.com%2Fproduct%2F642095%3Futm_source%3Dimpact%26utm_medium%3Daffiliate%26utm_campaign%3Dpoke%2Bcottage","Miraidon ex")</f>
        <v>Miraidon ex</v>
      </c>
      <c r="D525" s="5" t="s">
        <v>335</v>
      </c>
      <c r="E525" s="5"/>
      <c r="F525" s="5"/>
      <c r="G525" s="5"/>
      <c r="H525" s="7"/>
    </row>
    <row r="526" customFormat="false" ht="30" hidden="false" customHeight="true" outlineLevel="0" collapsed="false">
      <c r="A526" s="4" t="s">
        <v>6</v>
      </c>
      <c r="B526" s="5" t="s">
        <v>95</v>
      </c>
      <c r="C526" s="6" t="str">
        <f aca="false">HYPERLINK("https://partner.tcgplayer.com/c/6278691/1780961/21018?u=https%3A%2F%2Fwww.tcgplayer.com%2Fproduct%2F689621%3Futm_source%3Dimpact%26utm_medium%3Daffiliate%26utm_campaign%3Dpoke%2Bcottage","Miraidon ex")</f>
        <v>Miraidon ex</v>
      </c>
      <c r="D526" s="5" t="s">
        <v>336</v>
      </c>
      <c r="E526" s="5"/>
      <c r="F526" s="5"/>
      <c r="G526" s="5"/>
      <c r="H526" s="7"/>
    </row>
    <row r="527" customFormat="false" ht="30" hidden="false" customHeight="true" outlineLevel="0" collapsed="false">
      <c r="A527" s="4" t="s">
        <v>6</v>
      </c>
      <c r="B527" s="5" t="s">
        <v>98</v>
      </c>
      <c r="C527" s="5" t="s">
        <v>337</v>
      </c>
      <c r="D527" s="5" t="s">
        <v>338</v>
      </c>
      <c r="E527" s="5"/>
      <c r="F527" s="5" t="str">
        <f aca="false">HYPERLINK("https://www.ebay.com/sch/i.html?_nkw=Ralts+World+Championships+Deck+2025+Flutter+Devo+Gardevoir+by+Riley+McKay+Scarlet+%26+Violet+84+pokemon+card&amp;_sacat=0&amp;_from=R40&amp;_trksid=p4624852.m570.l1313&amp;mkcid=1&amp;mkrid=711-53200-19255-0&amp;siteid=0&amp;campid=5339158445&amp;customid=pokecottage&amp;toolid=10001&amp;mkevt=1","FIND ON EBAY")</f>
        <v>FIND ON EBAY</v>
      </c>
      <c r="G527" s="5"/>
      <c r="H527" s="7"/>
    </row>
    <row r="528" customFormat="false" ht="30" hidden="false" customHeight="true" outlineLevel="0" collapsed="false">
      <c r="A528" s="4" t="s">
        <v>6</v>
      </c>
      <c r="B528" s="5" t="s">
        <v>99</v>
      </c>
      <c r="C528" s="5" t="s">
        <v>339</v>
      </c>
      <c r="D528" s="5" t="s">
        <v>338</v>
      </c>
      <c r="E528" s="5"/>
      <c r="F528" s="5" t="str">
        <f aca="false">HYPERLINK("https://www.ebay.com/sch/i.html?_nkw=Kirlia+World+Championships+Deck+2025+Flutter+Devo+Gardevoir+by+Riley+McKay+Scarlet+%26+Violet+85+pokemon+card&amp;_sacat=0&amp;_from=R40&amp;_trksid=p4624852.m570.l1313&amp;mkcid=1&amp;mkrid=711-53200-19255-0&amp;siteid=0&amp;campid=5339158445&amp;customid=pokecottage&amp;toolid=10001&amp;mkevt=1","FIND ON EBAY")</f>
        <v>FIND ON EBAY</v>
      </c>
      <c r="G528" s="5"/>
      <c r="H528" s="7"/>
    </row>
    <row r="529" customFormat="false" ht="30" hidden="false" customHeight="true" outlineLevel="0" collapsed="false">
      <c r="A529" s="4" t="s">
        <v>6</v>
      </c>
      <c r="B529" s="5" t="s">
        <v>100</v>
      </c>
      <c r="C529" s="6" t="str">
        <f aca="false">HYPERLINK("https://partner.tcgplayer.com/c/6278691/1780961/21018?u=https%3A%2F%2Fwww.tcgplayer.com%2Fproduct%2F518689%3Futm_source%3Dimpact%26utm_medium%3Daffiliate%26utm_campaign%3Dpoke%2Bcottage","Gardevoir ex")</f>
        <v>Gardevoir ex</v>
      </c>
      <c r="D529" s="5" t="s">
        <v>285</v>
      </c>
      <c r="E529" s="5"/>
      <c r="F529" s="5"/>
      <c r="G529" s="5"/>
      <c r="H529" s="7"/>
    </row>
    <row r="530" customFormat="false" ht="30" hidden="false" customHeight="true" outlineLevel="0" collapsed="false">
      <c r="A530" s="4" t="s">
        <v>6</v>
      </c>
      <c r="B530" s="5" t="s">
        <v>100</v>
      </c>
      <c r="C530" s="6" t="str">
        <f aca="false">HYPERLINK("https://partner.tcgplayer.com/c/6278691/1780961/21018?u=https%3A%2F%2Fwww.tcgplayer.com%2Fproduct%2F542043%3Futm_source%3Dimpact%26utm_medium%3Daffiliate%26utm_campaign%3Dpoke%2Bcottage","Gardevoir ex")</f>
        <v>Gardevoir ex</v>
      </c>
      <c r="D530" s="5" t="s">
        <v>340</v>
      </c>
      <c r="E530" s="5"/>
      <c r="F530" s="5"/>
      <c r="G530" s="5"/>
      <c r="H530" s="7"/>
    </row>
    <row r="531" customFormat="false" ht="30" hidden="false" customHeight="true" outlineLevel="0" collapsed="false">
      <c r="A531" s="4" t="s">
        <v>6</v>
      </c>
      <c r="B531" s="5" t="s">
        <v>100</v>
      </c>
      <c r="C531" s="6" t="str">
        <f aca="false">HYPERLINK("https://partner.tcgplayer.com/c/6278691/1780961/21018?u=https%3A%2F%2Fwww.tcgplayer.com%2Fproduct%2F689015%3Futm_source%3Dimpact%26utm_medium%3Daffiliate%26utm_campaign%3Dpoke%2Bcottage","Gardevoir ex")</f>
        <v>Gardevoir ex</v>
      </c>
      <c r="D531" s="5" t="s">
        <v>338</v>
      </c>
      <c r="E531" s="5"/>
      <c r="F531" s="5"/>
      <c r="G531" s="5"/>
      <c r="H531" s="7"/>
    </row>
    <row r="532" customFormat="false" ht="30" hidden="false" customHeight="true" outlineLevel="0" collapsed="false">
      <c r="A532" s="4" t="s">
        <v>6</v>
      </c>
      <c r="B532" s="5" t="s">
        <v>100</v>
      </c>
      <c r="C532" s="5" t="s">
        <v>341</v>
      </c>
      <c r="D532" s="5" t="s">
        <v>342</v>
      </c>
      <c r="E532" s="5"/>
      <c r="F532" s="5" t="str">
        <f aca="false">HYPERLINK("https://www.ebay.com/sch/i.html?_nkw=Gardevoir+ex+World+Championships+Deck+2025+Flutter+Devo+Gardevoir+by+Riley+McKay+Gold+Signature+Scarlet+%26+Violet+86+pokemon+card&amp;_sacat=0&amp;_from=R40&amp;_trksid=p4624852.m570.l1313&amp;mkcid=1&amp;mkrid=711-53200-19255-0&amp;siteid=0&amp;campid=5339158445&amp;customid=pokecottage&amp;toolid=10001&amp;mkevt=1","FIND ON EBAY")</f>
        <v>FIND ON EBAY</v>
      </c>
      <c r="G532" s="5"/>
      <c r="H532" s="7"/>
    </row>
    <row r="533" customFormat="false" ht="30" hidden="false" customHeight="true" outlineLevel="0" collapsed="false">
      <c r="A533" s="4" t="s">
        <v>6</v>
      </c>
      <c r="B533" s="5" t="s">
        <v>101</v>
      </c>
      <c r="C533" s="6" t="str">
        <f aca="false">HYPERLINK("https://partner.tcgplayer.com/c/6278691/1780961/21018?u=https%3A%2F%2Fwww.tcgplayer.com%2Fproduct%2F515665%3Futm_source%3Dimpact%26utm_medium%3Daffiliate%26utm_campaign%3Dpoke%2Bcottage","Shuppet")</f>
        <v>Shuppet</v>
      </c>
      <c r="D533" s="5" t="s">
        <v>320</v>
      </c>
      <c r="E533" s="5"/>
      <c r="F533" s="5"/>
      <c r="G533" s="5"/>
      <c r="H533" s="7"/>
    </row>
    <row r="534" customFormat="false" ht="30" hidden="false" customHeight="true" outlineLevel="0" collapsed="false">
      <c r="A534" s="4" t="s">
        <v>6</v>
      </c>
      <c r="B534" s="5" t="s">
        <v>102</v>
      </c>
      <c r="C534" s="6" t="str">
        <f aca="false">HYPERLINK("https://partner.tcgplayer.com/c/6278691/1780961/21018?u=https%3A%2F%2Fwww.tcgplayer.com%2Fproduct%2F513774%3Futm_source%3Dimpact%26utm_medium%3Daffiliate%26utm_campaign%3Dpoke%2Bcottage","Banette ex")</f>
        <v>Banette ex</v>
      </c>
      <c r="D534" s="5" t="s">
        <v>285</v>
      </c>
      <c r="E534" s="5"/>
      <c r="F534" s="5"/>
      <c r="G534" s="5"/>
      <c r="H534" s="7"/>
    </row>
    <row r="535" customFormat="false" ht="30" hidden="false" customHeight="true" outlineLevel="0" collapsed="false">
      <c r="A535" s="4" t="s">
        <v>6</v>
      </c>
      <c r="B535" s="5" t="s">
        <v>102</v>
      </c>
      <c r="C535" s="6" t="str">
        <f aca="false">HYPERLINK("https://partner.tcgplayer.com/c/6278691/1780961/21018?u=https%3A%2F%2Fwww.tcgplayer.com%2Fproduct%2F564470%3Futm_source%3Dimpact%26utm_medium%3Daffiliate%26utm_campaign%3Dpoke%2Bcottage","Banette ex")</f>
        <v>Banette ex</v>
      </c>
      <c r="D535" s="5" t="s">
        <v>343</v>
      </c>
      <c r="E535" s="5"/>
      <c r="F535" s="5"/>
      <c r="G535" s="5"/>
      <c r="H535" s="7"/>
    </row>
    <row r="536" customFormat="false" ht="30" hidden="false" customHeight="true" outlineLevel="0" collapsed="false">
      <c r="A536" s="4" t="s">
        <v>6</v>
      </c>
      <c r="B536" s="5" t="s">
        <v>103</v>
      </c>
      <c r="C536" s="6" t="str">
        <f aca="false">HYPERLINK("https://partner.tcgplayer.com/c/6278691/1780961/21018?u=https%3A%2F%2Fwww.tcgplayer.com%2Fproduct%2F546467%3Futm_source%3Dimpact%26utm_medium%3Daffiliate%26utm_campaign%3Dpoke%2Bcottage","Drifloon")</f>
        <v>Drifloon</v>
      </c>
      <c r="D536" s="5" t="s">
        <v>326</v>
      </c>
      <c r="E536" s="5"/>
      <c r="F536" s="5"/>
      <c r="G536" s="5"/>
      <c r="H536" s="7"/>
    </row>
    <row r="537" customFormat="false" ht="30" hidden="false" customHeight="true" outlineLevel="0" collapsed="false">
      <c r="A537" s="4" t="s">
        <v>6</v>
      </c>
      <c r="B537" s="5" t="s">
        <v>103</v>
      </c>
      <c r="C537" s="6" t="str">
        <f aca="false">HYPERLINK("https://partner.tcgplayer.com/c/6278691/1780961/21018?u=https%3A%2F%2Fwww.tcgplayer.com%2Fproduct%2F515670%3Futm_source%3Dimpact%26utm_medium%3Daffiliate%26utm_campaign%3Dpoke%2Bcottage","Drifloon")</f>
        <v>Drifloon</v>
      </c>
      <c r="D537" s="5" t="s">
        <v>320</v>
      </c>
      <c r="E537" s="5"/>
      <c r="F537" s="5"/>
      <c r="G537" s="5"/>
      <c r="H537" s="7"/>
    </row>
    <row r="538" customFormat="false" ht="30" hidden="false" customHeight="true" outlineLevel="0" collapsed="false">
      <c r="A538" s="4" t="s">
        <v>6</v>
      </c>
      <c r="B538" s="5" t="s">
        <v>104</v>
      </c>
      <c r="C538" s="6" t="str">
        <f aca="false">HYPERLINK("https://partner.tcgplayer.com/c/6278691/1780961/21018?u=https%3A%2F%2Fwww.tcgplayer.com%2Fproduct%2F515671%3Futm_source%3Dimpact%26utm_medium%3Daffiliate%26utm_campaign%3Dpoke%2Bcottage","Drifblim")</f>
        <v>Drifblim</v>
      </c>
      <c r="D538" s="5" t="s">
        <v>320</v>
      </c>
      <c r="E538" s="5"/>
      <c r="F538" s="5"/>
      <c r="G538" s="5"/>
      <c r="H538" s="7"/>
    </row>
    <row r="539" customFormat="false" ht="30" hidden="false" customHeight="true" outlineLevel="0" collapsed="false">
      <c r="A539" s="4" t="s">
        <v>6</v>
      </c>
      <c r="B539" s="5" t="s">
        <v>110</v>
      </c>
      <c r="C539" s="6" t="str">
        <f aca="false">HYPERLINK("https://partner.tcgplayer.com/c/6278691/1780961/21018?u=https%3A%2F%2Fwww.tcgplayer.com%2Fproduct%2F538730%3Futm_source%3Dimpact%26utm_medium%3Daffiliate%26utm_campaign%3Dpoke%2Bcottage","Klefki")</f>
        <v>Klefki</v>
      </c>
      <c r="D539" s="5" t="s">
        <v>285</v>
      </c>
      <c r="E539" s="5"/>
      <c r="F539" s="5"/>
      <c r="G539" s="5"/>
      <c r="H539" s="7"/>
    </row>
    <row r="540" customFormat="false" ht="30" hidden="false" customHeight="true" outlineLevel="0" collapsed="false">
      <c r="A540" s="4" t="s">
        <v>6</v>
      </c>
      <c r="B540" s="5" t="s">
        <v>110</v>
      </c>
      <c r="C540" s="6" t="str">
        <f aca="false">HYPERLINK("https://partner.tcgplayer.com/c/6278691/1780961/21018?u=https%3A%2F%2Fwww.tcgplayer.com%2Fproduct%2F538730%3Futm_source%3Dimpact%26utm_medium%3Daffiliate%26utm_campaign%3Dpoke%2Bcottage","Klefki")</f>
        <v>Klefki</v>
      </c>
      <c r="D540" s="5" t="s">
        <v>326</v>
      </c>
      <c r="E540" s="5"/>
      <c r="F540" s="5"/>
      <c r="G540" s="5"/>
      <c r="H540" s="7"/>
    </row>
    <row r="541" customFormat="false" ht="30" hidden="false" customHeight="true" outlineLevel="0" collapsed="false">
      <c r="A541" s="4" t="s">
        <v>6</v>
      </c>
      <c r="B541" s="5" t="s">
        <v>118</v>
      </c>
      <c r="C541" s="6" t="str">
        <f aca="false">HYPERLINK("https://partner.tcgplayer.com/c/6278691/1780961/21018?u=https%3A%2F%2Fwww.tcgplayer.com%2Fproduct%2F515677%3Futm_source%3Dimpact%26utm_medium%3Daffiliate%26utm_campaign%3Dpoke%2Bcottage","Greavard")</f>
        <v>Greavard</v>
      </c>
      <c r="D541" s="5" t="s">
        <v>320</v>
      </c>
      <c r="E541" s="5"/>
      <c r="F541" s="5"/>
      <c r="G541" s="5"/>
      <c r="H541" s="7"/>
    </row>
    <row r="542" customFormat="false" ht="30" hidden="false" customHeight="true" outlineLevel="0" collapsed="false">
      <c r="A542" s="4" t="s">
        <v>6</v>
      </c>
      <c r="B542" s="5" t="s">
        <v>119</v>
      </c>
      <c r="C542" s="6" t="str">
        <f aca="false">HYPERLINK("https://partner.tcgplayer.com/c/6278691/1780961/21018?u=https%3A%2F%2Fwww.tcgplayer.com%2Fproduct%2F487507%3Futm_source%3Dimpact%26utm_medium%3Daffiliate%26utm_campaign%3Dpoke%2Bcottage","Greavard")</f>
        <v>Greavard</v>
      </c>
      <c r="D542" s="5" t="s">
        <v>28</v>
      </c>
      <c r="E542" s="5"/>
      <c r="F542" s="5"/>
      <c r="G542" s="5"/>
      <c r="H542" s="7"/>
    </row>
    <row r="543" customFormat="false" ht="30" hidden="false" customHeight="true" outlineLevel="0" collapsed="false">
      <c r="A543" s="4" t="s">
        <v>6</v>
      </c>
      <c r="B543" s="5" t="s">
        <v>120</v>
      </c>
      <c r="C543" s="6" t="str">
        <f aca="false">HYPERLINK("https://partner.tcgplayer.com/c/6278691/1780961/21018?u=https%3A%2F%2Fwww.tcgplayer.com%2Fproduct%2F515678%3Futm_source%3Dimpact%26utm_medium%3Daffiliate%26utm_campaign%3Dpoke%2Bcottage","Houndstone")</f>
        <v>Houndstone</v>
      </c>
      <c r="D543" s="5" t="s">
        <v>320</v>
      </c>
      <c r="E543" s="5"/>
      <c r="F543" s="5"/>
      <c r="G543" s="5"/>
      <c r="H543" s="7"/>
    </row>
    <row r="544" customFormat="false" ht="30" hidden="false" customHeight="true" outlineLevel="0" collapsed="false">
      <c r="A544" s="4" t="s">
        <v>6</v>
      </c>
      <c r="B544" s="5" t="s">
        <v>123</v>
      </c>
      <c r="C544" s="6" t="str">
        <f aca="false">HYPERLINK("https://partner.tcgplayer.com/c/6278691/1780961/21018?u=https%3A%2F%2Fwww.tcgplayer.com%2Fproduct%2F505053%3Futm_source%3Dimpact%26utm_medium%3Daffiliate%26utm_campaign%3Dpoke%2Bcottage","Annihilape")</f>
        <v>Annihilape</v>
      </c>
      <c r="D544" s="5" t="s">
        <v>313</v>
      </c>
      <c r="E544" s="5"/>
      <c r="F544" s="5"/>
      <c r="G544" s="5"/>
      <c r="H544" s="7"/>
    </row>
    <row r="545" customFormat="false" ht="30" hidden="false" customHeight="true" outlineLevel="0" collapsed="false">
      <c r="A545" s="4" t="s">
        <v>6</v>
      </c>
      <c r="B545" s="5" t="s">
        <v>123</v>
      </c>
      <c r="C545" s="6" t="str">
        <f aca="false">HYPERLINK("https://partner.tcgplayer.com/c/6278691/1780961/21018?u=https%3A%2F%2Fwww.tcgplayer.com%2Fproduct%2F514012%3Futm_source%3Dimpact%26utm_medium%3Daffiliate%26utm_campaign%3Dpoke%2Bcottage","Annihilape")</f>
        <v>Annihilape</v>
      </c>
      <c r="D545" s="5" t="s">
        <v>285</v>
      </c>
      <c r="E545" s="5"/>
      <c r="F545" s="5"/>
      <c r="G545" s="5"/>
      <c r="H545" s="7"/>
    </row>
    <row r="546" customFormat="false" ht="30" hidden="false" customHeight="true" outlineLevel="0" collapsed="false">
      <c r="A546" s="4" t="s">
        <v>6</v>
      </c>
      <c r="B546" s="5" t="s">
        <v>128</v>
      </c>
      <c r="C546" s="6" t="str">
        <f aca="false">HYPERLINK("https://partner.tcgplayer.com/c/6278691/1780961/21018?u=https%3A%2F%2Fwww.tcgplayer.com%2Fproduct%2F515426%3Futm_source%3Dimpact%26utm_medium%3Daffiliate%26utm_campaign%3Dpoke%2Bcottage","Lucario")</f>
        <v>Lucario</v>
      </c>
      <c r="D546" s="5" t="s">
        <v>285</v>
      </c>
      <c r="E546" s="5"/>
      <c r="F546" s="5"/>
      <c r="G546" s="5"/>
      <c r="H546" s="7"/>
    </row>
    <row r="547" customFormat="false" ht="30" hidden="false" customHeight="true" outlineLevel="0" collapsed="false">
      <c r="A547" s="4" t="s">
        <v>6</v>
      </c>
      <c r="B547" s="5" t="s">
        <v>128</v>
      </c>
      <c r="C547" s="6" t="str">
        <f aca="false">HYPERLINK("https://partner.tcgplayer.com/c/6278691/1780961/21018?u=https%3A%2F%2Fwww.tcgplayer.com%2Fproduct%2F652714%3Futm_source%3Dimpact%26utm_medium%3Daffiliate%26utm_campaign%3Dpoke%2Bcottage","Lucario")</f>
        <v>Lucario</v>
      </c>
      <c r="D547" s="5" t="s">
        <v>344</v>
      </c>
      <c r="E547" s="5"/>
      <c r="F547" s="5"/>
      <c r="G547" s="5"/>
      <c r="H547" s="7"/>
    </row>
    <row r="548" customFormat="false" ht="30" hidden="false" customHeight="true" outlineLevel="0" collapsed="false">
      <c r="A548" s="4" t="s">
        <v>6</v>
      </c>
      <c r="B548" s="5" t="s">
        <v>132</v>
      </c>
      <c r="C548" s="6" t="str">
        <f aca="false">HYPERLINK("https://partner.tcgplayer.com/c/6278691/1780961/21018?u=https%3A%2F%2Fwww.tcgplayer.com%2Fproduct%2F583734%3Futm_source%3Dimpact%26utm_medium%3Daffiliate%26utm_campaign%3Dpoke%2Bcottage","Hawlucha")</f>
        <v>Hawlucha</v>
      </c>
      <c r="D548" s="5" t="s">
        <v>313</v>
      </c>
      <c r="E548" s="5"/>
      <c r="F548" s="5"/>
      <c r="G548" s="5"/>
      <c r="H548" s="7"/>
    </row>
    <row r="549" customFormat="false" ht="30" hidden="false" customHeight="true" outlineLevel="0" collapsed="false">
      <c r="A549" s="4" t="s">
        <v>6</v>
      </c>
      <c r="B549" s="5" t="s">
        <v>132</v>
      </c>
      <c r="C549" s="6" t="str">
        <f aca="false">HYPERLINK("https://partner.tcgplayer.com/c/6278691/1780961/21018?u=https%3A%2F%2Fwww.tcgplayer.com%2Fproduct%2F515385%3Futm_source%3Dimpact%26utm_medium%3Daffiliate%26utm_campaign%3Dpoke%2Bcottage","Hawlucha")</f>
        <v>Hawlucha</v>
      </c>
      <c r="D549" s="5" t="s">
        <v>285</v>
      </c>
      <c r="E549" s="5"/>
      <c r="F549" s="5"/>
      <c r="G549" s="5"/>
      <c r="H549" s="7"/>
    </row>
    <row r="550" customFormat="false" ht="30" hidden="false" customHeight="true" outlineLevel="0" collapsed="false">
      <c r="A550" s="4" t="s">
        <v>6</v>
      </c>
      <c r="B550" s="5" t="s">
        <v>132</v>
      </c>
      <c r="C550" s="5" t="s">
        <v>345</v>
      </c>
      <c r="D550" s="5" t="s">
        <v>333</v>
      </c>
      <c r="E550" s="5"/>
      <c r="F550" s="5" t="str">
        <f aca="false">HYPERLINK("https://www.ebay.com/sch/i.html?_nkw=Hawlucha+Pokemon+TCG+Gym+Scarlet+%26+Violet+118+pokemon+card&amp;_sacat=0&amp;_from=R40&amp;_trksid=p4624852.m570.l1313&amp;mkcid=1&amp;mkrid=711-53200-19255-0&amp;siteid=0&amp;campid=5339158445&amp;customid=pokecottage&amp;toolid=10001&amp;mkevt=1","FIND ON EBAY")</f>
        <v>FIND ON EBAY</v>
      </c>
      <c r="G550" s="5"/>
      <c r="H550" s="7"/>
    </row>
    <row r="551" customFormat="false" ht="30" hidden="false" customHeight="true" outlineLevel="0" collapsed="false">
      <c r="A551" s="4" t="s">
        <v>6</v>
      </c>
      <c r="B551" s="5" t="s">
        <v>132</v>
      </c>
      <c r="C551" s="6" t="str">
        <f aca="false">HYPERLINK("https://partner.tcgplayer.com/c/6278691/1780961/21018?u=https%3A%2F%2Fwww.tcgplayer.com%2Fproduct%2F637564%3Futm_source%3Dimpact%26utm_medium%3Daffiliate%26utm_campaign%3Dpoke%2Bcottage","Hawlucha")</f>
        <v>Hawlucha</v>
      </c>
      <c r="D551" s="5" t="s">
        <v>346</v>
      </c>
      <c r="E551" s="5"/>
      <c r="F551" s="5"/>
      <c r="G551" s="5"/>
      <c r="H551" s="7"/>
    </row>
    <row r="552" customFormat="false" ht="30" hidden="false" customHeight="true" outlineLevel="0" collapsed="false">
      <c r="A552" s="4" t="s">
        <v>6</v>
      </c>
      <c r="B552" s="5" t="s">
        <v>132</v>
      </c>
      <c r="C552" s="6" t="str">
        <f aca="false">HYPERLINK("https://partner.tcgplayer.com/c/6278691/1780961/21018?u=https%3A%2F%2Fwww.tcgplayer.com%2Fproduct%2F690492%3Futm_source%3Dimpact%26utm_medium%3Daffiliate%26utm_campaign%3Dpoke%2Bcottage","Hawlucha")</f>
        <v>Hawlucha</v>
      </c>
      <c r="D552" s="5" t="s">
        <v>347</v>
      </c>
      <c r="E552" s="5"/>
      <c r="F552" s="5"/>
      <c r="G552" s="5"/>
      <c r="H552" s="7"/>
    </row>
    <row r="553" customFormat="false" ht="30" hidden="false" customHeight="true" outlineLevel="0" collapsed="false">
      <c r="A553" s="4" t="s">
        <v>6</v>
      </c>
      <c r="B553" s="5" t="s">
        <v>136</v>
      </c>
      <c r="C553" s="6" t="str">
        <f aca="false">HYPERLINK("https://partner.tcgplayer.com/c/6278691/1780961/21018?u=https%3A%2F%2Fwww.tcgplayer.com%2Fproduct%2F549292%3Futm_source%3Dimpact%26utm_medium%3Daffiliate%26utm_campaign%3Dpoke%2Bcottage","Klawf")</f>
        <v>Klawf</v>
      </c>
      <c r="D553" s="5" t="s">
        <v>311</v>
      </c>
      <c r="E553" s="5"/>
      <c r="F553" s="5"/>
      <c r="G553" s="5"/>
      <c r="H553" s="7"/>
    </row>
    <row r="554" customFormat="false" ht="30" hidden="false" customHeight="true" outlineLevel="0" collapsed="false">
      <c r="A554" s="4" t="s">
        <v>6</v>
      </c>
      <c r="B554" s="5" t="s">
        <v>137</v>
      </c>
      <c r="C554" s="6" t="str">
        <f aca="false">HYPERLINK("https://partner.tcgplayer.com/c/6278691/1780961/21018?u=https%3A%2F%2Fwww.tcgplayer.com%2Fproduct%2F513781%3Futm_source%3Dimpact%26utm_medium%3Daffiliate%26utm_campaign%3Dpoke%2Bcottage","Great Tusk ex")</f>
        <v>Great Tusk ex</v>
      </c>
      <c r="D554" s="5" t="s">
        <v>285</v>
      </c>
      <c r="E554" s="5"/>
      <c r="F554" s="5"/>
      <c r="G554" s="5"/>
      <c r="H554" s="7"/>
    </row>
    <row r="555" customFormat="false" ht="30" hidden="false" customHeight="true" outlineLevel="0" collapsed="false">
      <c r="A555" s="4" t="s">
        <v>6</v>
      </c>
      <c r="B555" s="5" t="s">
        <v>138</v>
      </c>
      <c r="C555" s="6" t="str">
        <f aca="false">HYPERLINK("https://partner.tcgplayer.com/c/6278691/1780961/21018?u=https%3A%2F%2Fwww.tcgplayer.com%2Fproduct%2F497055%3Futm_source%3Dimpact%26utm_medium%3Daffiliate%26utm_campaign%3Dpoke%2Bcottage","Koraidon")</f>
        <v>Koraidon</v>
      </c>
      <c r="D555" s="5" t="s">
        <v>313</v>
      </c>
      <c r="E555" s="5"/>
      <c r="F555" s="5"/>
      <c r="G555" s="5"/>
      <c r="H555" s="7"/>
    </row>
    <row r="556" customFormat="false" ht="30" hidden="false" customHeight="true" outlineLevel="0" collapsed="false">
      <c r="A556" s="4" t="s">
        <v>6</v>
      </c>
      <c r="B556" s="5" t="s">
        <v>139</v>
      </c>
      <c r="C556" s="6" t="str">
        <f aca="false">HYPERLINK("https://partner.tcgplayer.com/c/6278691/1780961/21018?u=https%3A%2F%2Fwww.tcgplayer.com%2Fproduct%2F513789%3Futm_source%3Dimpact%26utm_medium%3Daffiliate%26utm_campaign%3Dpoke%2Bcottage","Koraidon ex")</f>
        <v>Koraidon ex</v>
      </c>
      <c r="D556" s="5" t="s">
        <v>285</v>
      </c>
      <c r="E556" s="5"/>
      <c r="F556" s="5"/>
      <c r="G556" s="5"/>
      <c r="H556" s="7"/>
    </row>
    <row r="557" customFormat="false" ht="30" hidden="false" customHeight="true" outlineLevel="0" collapsed="false">
      <c r="A557" s="4" t="s">
        <v>6</v>
      </c>
      <c r="B557" s="5" t="s">
        <v>139</v>
      </c>
      <c r="C557" s="6" t="str">
        <f aca="false">HYPERLINK("https://partner.tcgplayer.com/c/6278691/1780961/21018?u=https%3A%2F%2Fwww.tcgplayer.com%2Fproduct%2F475654%3Futm_source%3Dimpact%26utm_medium%3Daffiliate%26utm_campaign%3Dpoke%2Bcottage","Koraidon ex")</f>
        <v>Koraidon ex</v>
      </c>
      <c r="D557" s="5" t="s">
        <v>330</v>
      </c>
      <c r="E557" s="5"/>
      <c r="F557" s="5"/>
      <c r="G557" s="5"/>
      <c r="H557" s="7"/>
    </row>
    <row r="558" customFormat="false" ht="30" hidden="false" customHeight="true" outlineLevel="0" collapsed="false">
      <c r="A558" s="4" t="s">
        <v>6</v>
      </c>
      <c r="B558" s="5" t="s">
        <v>139</v>
      </c>
      <c r="C558" s="6" t="str">
        <f aca="false">HYPERLINK("https://partner.tcgplayer.com/c/6278691/1780961/21018?u=https%3A%2F%2Fwww.tcgplayer.com%2Fproduct%2F650725%3Futm_source%3Dimpact%26utm_medium%3Daffiliate%26utm_campaign%3Dpoke%2Bcottage","Koraidon ex")</f>
        <v>Koraidon ex</v>
      </c>
      <c r="D558" s="5" t="s">
        <v>331</v>
      </c>
      <c r="E558" s="5"/>
      <c r="F558" s="5"/>
      <c r="G558" s="5"/>
      <c r="H558" s="7"/>
    </row>
    <row r="559" customFormat="false" ht="30" hidden="false" customHeight="true" outlineLevel="0" collapsed="false">
      <c r="A559" s="4" t="s">
        <v>6</v>
      </c>
      <c r="B559" s="5" t="s">
        <v>141</v>
      </c>
      <c r="C559" s="6" t="str">
        <f aca="false">HYPERLINK("https://partner.tcgplayer.com/c/6278691/1780961/21018?u=https%3A%2F%2Fwww.tcgplayer.com%2Fproduct%2F515431%3Futm_source%3Dimpact%26utm_medium%3Daffiliate%26utm_campaign%3Dpoke%2Bcottage","Muk")</f>
        <v>Muk</v>
      </c>
      <c r="D559" s="5" t="s">
        <v>285</v>
      </c>
      <c r="E559" s="5"/>
      <c r="F559" s="5"/>
      <c r="G559" s="5"/>
      <c r="H559" s="7"/>
    </row>
    <row r="560" customFormat="false" ht="30" hidden="false" customHeight="true" outlineLevel="0" collapsed="false">
      <c r="A560" s="4" t="s">
        <v>6</v>
      </c>
      <c r="B560" s="5" t="s">
        <v>143</v>
      </c>
      <c r="C560" s="6" t="str">
        <f aca="false">HYPERLINK("https://partner.tcgplayer.com/c/6278691/1780961/21018?u=https%3A%2F%2Fwww.tcgplayer.com%2Fproduct%2F619034%3Futm_source%3Dimpact%26utm_medium%3Daffiliate%26utm_campaign%3Dpoke%2Bcottage","Spiritomb")</f>
        <v>Spiritomb</v>
      </c>
      <c r="D560" s="5" t="s">
        <v>311</v>
      </c>
      <c r="E560" s="5"/>
      <c r="F560" s="5"/>
      <c r="G560" s="5"/>
      <c r="H560" s="7"/>
    </row>
    <row r="561" customFormat="false" ht="30" hidden="false" customHeight="true" outlineLevel="0" collapsed="false">
      <c r="A561" s="4" t="s">
        <v>6</v>
      </c>
      <c r="B561" s="5" t="s">
        <v>145</v>
      </c>
      <c r="C561" s="6" t="str">
        <f aca="false">HYPERLINK("https://partner.tcgplayer.com/c/6278691/1780961/21018?u=https%3A%2F%2Fwww.tcgplayer.com%2Fproduct%2F513818%3Futm_source%3Dimpact%26utm_medium%3Daffiliate%26utm_campaign%3Dpoke%2Bcottage","Toxicroak ex")</f>
        <v>Toxicroak ex</v>
      </c>
      <c r="D561" s="5" t="s">
        <v>285</v>
      </c>
      <c r="E561" s="5"/>
      <c r="F561" s="5"/>
      <c r="G561" s="5"/>
      <c r="H561" s="7"/>
    </row>
    <row r="562" customFormat="false" ht="30" hidden="false" customHeight="true" outlineLevel="0" collapsed="false">
      <c r="A562" s="4" t="s">
        <v>6</v>
      </c>
      <c r="B562" s="5" t="s">
        <v>148</v>
      </c>
      <c r="C562" s="6" t="str">
        <f aca="false">HYPERLINK("https://partner.tcgplayer.com/c/6278691/1780961/21018?u=https%3A%2F%2Fwww.tcgplayer.com%2Fproduct%2F515402%3Futm_source%3Dimpact%26utm_medium%3Daffiliate%26utm_campaign%3Dpoke%2Bcottage","Kingambit")</f>
        <v>Kingambit</v>
      </c>
      <c r="D562" s="5" t="s">
        <v>285</v>
      </c>
      <c r="E562" s="5"/>
      <c r="F562" s="5"/>
      <c r="G562" s="5"/>
      <c r="H562" s="7"/>
    </row>
    <row r="563" customFormat="false" ht="30" hidden="false" customHeight="true" outlineLevel="0" collapsed="false">
      <c r="A563" s="4" t="s">
        <v>6</v>
      </c>
      <c r="B563" s="5" t="s">
        <v>156</v>
      </c>
      <c r="C563" s="6" t="str">
        <f aca="false">HYPERLINK("https://partner.tcgplayer.com/c/6278691/1780961/21018?u=https%3A%2F%2Fwww.tcgplayer.com%2Fproduct%2F494956%3Futm_source%3Dimpact%26utm_medium%3Daffiliate%26utm_campaign%3Dpoke%2Bcottage","Revavroom")</f>
        <v>Revavroom</v>
      </c>
      <c r="D563" s="5" t="s">
        <v>313</v>
      </c>
      <c r="E563" s="5"/>
      <c r="F563" s="5"/>
      <c r="G563" s="5"/>
      <c r="H563" s="7"/>
    </row>
    <row r="564" customFormat="false" ht="30" hidden="false" customHeight="true" outlineLevel="0" collapsed="false">
      <c r="A564" s="4" t="s">
        <v>6</v>
      </c>
      <c r="B564" s="5" t="s">
        <v>156</v>
      </c>
      <c r="C564" s="6" t="str">
        <f aca="false">HYPERLINK("https://partner.tcgplayer.com/c/6278691/1780961/21018?u=https%3A%2F%2Fwww.tcgplayer.com%2Fproduct%2F515449%3Futm_source%3Dimpact%26utm_medium%3Daffiliate%26utm_campaign%3Dpoke%2Bcottage","Revavroom")</f>
        <v>Revavroom</v>
      </c>
      <c r="D564" s="5" t="s">
        <v>285</v>
      </c>
      <c r="E564" s="5"/>
      <c r="F564" s="5"/>
      <c r="G564" s="5"/>
      <c r="H564" s="7"/>
    </row>
    <row r="565" customFormat="false" ht="30" hidden="false" customHeight="true" outlineLevel="0" collapsed="false">
      <c r="A565" s="4" t="s">
        <v>6</v>
      </c>
      <c r="B565" s="5" t="s">
        <v>157</v>
      </c>
      <c r="C565" s="6" t="str">
        <f aca="false">HYPERLINK("https://partner.tcgplayer.com/c/6278691/1780961/21018?u=https%3A%2F%2Fwww.tcgplayer.com%2Fproduct%2F513788%3Futm_source%3Dimpact%26utm_medium%3Daffiliate%26utm_campaign%3Dpoke%2Bcottage","Iron Treads ex")</f>
        <v>Iron Treads ex</v>
      </c>
      <c r="D565" s="5" t="s">
        <v>285</v>
      </c>
      <c r="E565" s="5"/>
      <c r="F565" s="5"/>
      <c r="G565" s="5"/>
      <c r="H565" s="7"/>
    </row>
    <row r="566" customFormat="false" ht="30" hidden="false" customHeight="true" outlineLevel="0" collapsed="false">
      <c r="A566" s="4" t="s">
        <v>6</v>
      </c>
      <c r="B566" s="5" t="s">
        <v>165</v>
      </c>
      <c r="C566" s="6" t="str">
        <f aca="false">HYPERLINK("https://partner.tcgplayer.com/c/6278691/1780961/21018?u=https%3A%2F%2Fwww.tcgplayer.com%2Fproduct%2F515453%3Futm_source%3Dimpact%26utm_medium%3Daffiliate%26utm_campaign%3Dpoke%2Bcottage","Skwovet")</f>
        <v>Skwovet</v>
      </c>
      <c r="D566" s="5" t="s">
        <v>285</v>
      </c>
      <c r="E566" s="5"/>
      <c r="F566" s="5"/>
      <c r="G566" s="5"/>
      <c r="H566" s="7"/>
    </row>
    <row r="567" customFormat="false" ht="30" hidden="false" customHeight="true" outlineLevel="0" collapsed="false">
      <c r="A567" s="4" t="s">
        <v>6</v>
      </c>
      <c r="B567" s="5" t="s">
        <v>167</v>
      </c>
      <c r="C567" s="6" t="str">
        <f aca="false">HYPERLINK("https://partner.tcgplayer.com/c/6278691/1780961/21018?u=https%3A%2F%2Fwww.tcgplayer.com%2Fproduct%2F583730%3Futm_source%3Dimpact%26utm_medium%3Daffiliate%26utm_campaign%3Dpoke%2Bcottage","Indeedee")</f>
        <v>Indeedee</v>
      </c>
      <c r="D567" s="5" t="s">
        <v>313</v>
      </c>
      <c r="E567" s="5"/>
      <c r="F567" s="5"/>
      <c r="G567" s="5"/>
      <c r="H567" s="7"/>
    </row>
    <row r="568" customFormat="false" ht="30" hidden="false" customHeight="true" outlineLevel="0" collapsed="false">
      <c r="A568" s="4" t="s">
        <v>6</v>
      </c>
      <c r="B568" s="5" t="s">
        <v>168</v>
      </c>
      <c r="C568" s="6" t="str">
        <f aca="false">HYPERLINK("https://partner.tcgplayer.com/c/6278691/1780961/21018?u=https%3A%2F%2Fwww.tcgplayer.com%2Fproduct%2F633142%3Futm_source%3Dimpact%26utm_medium%3Daffiliate%26utm_campaign%3Dpoke%2Bcottage","Lechonk")</f>
        <v>Lechonk</v>
      </c>
      <c r="D568" s="5" t="s">
        <v>311</v>
      </c>
      <c r="E568" s="5"/>
      <c r="F568" s="5"/>
      <c r="G568" s="5"/>
      <c r="H568" s="7"/>
    </row>
    <row r="569" customFormat="false" ht="30" hidden="false" customHeight="true" outlineLevel="0" collapsed="false">
      <c r="A569" s="4" t="s">
        <v>6</v>
      </c>
      <c r="B569" s="5" t="s">
        <v>168</v>
      </c>
      <c r="C569" s="6" t="str">
        <f aca="false">HYPERLINK("https://partner.tcgplayer.com/c/6278691/1780961/21018?u=https%3A%2F%2Fwww.tcgplayer.com%2Fproduct%2F499365%3Futm_source%3Dimpact%26utm_medium%3Daffiliate%26utm_campaign%3Dpoke%2Bcottage","Lechonk")</f>
        <v>Lechonk</v>
      </c>
      <c r="D569" s="5" t="s">
        <v>348</v>
      </c>
      <c r="E569" s="5"/>
      <c r="F569" s="5"/>
      <c r="G569" s="5"/>
      <c r="H569" s="7"/>
    </row>
    <row r="570" customFormat="false" ht="30" hidden="false" customHeight="true" outlineLevel="0" collapsed="false">
      <c r="A570" s="4" t="s">
        <v>6</v>
      </c>
      <c r="B570" s="5" t="s">
        <v>168</v>
      </c>
      <c r="C570" s="6" t="str">
        <f aca="false">HYPERLINK("https://partner.tcgplayer.com/c/6278691/1780961/21018?u=https%3A%2F%2Fwww.tcgplayer.com%2Fproduct%2F505057%3Futm_source%3Dimpact%26utm_medium%3Daffiliate%26utm_campaign%3Dpoke%2Bcottage","Lechonk")</f>
        <v>Lechonk</v>
      </c>
      <c r="D570" s="5" t="s">
        <v>344</v>
      </c>
      <c r="E570" s="5"/>
      <c r="F570" s="5"/>
      <c r="G570" s="5"/>
      <c r="H570" s="7"/>
    </row>
    <row r="571" customFormat="false" ht="30" hidden="false" customHeight="true" outlineLevel="0" collapsed="false">
      <c r="A571" s="4" t="s">
        <v>6</v>
      </c>
      <c r="B571" s="5" t="s">
        <v>168</v>
      </c>
      <c r="C571" s="6" t="str">
        <f aca="false">HYPERLINK("https://partner.tcgplayer.com/c/6278691/1780961/21018?u=https%3A%2F%2Fwww.tcgplayer.com%2Fproduct%2F492049%3Futm_source%3Dimpact%26utm_medium%3Daffiliate%26utm_campaign%3Dpoke%2Bcottage","Lechonk")</f>
        <v>Lechonk</v>
      </c>
      <c r="D571" s="5" t="s">
        <v>349</v>
      </c>
      <c r="E571" s="5"/>
      <c r="F571" s="5"/>
      <c r="G571" s="5"/>
      <c r="H571" s="7"/>
    </row>
    <row r="572" customFormat="false" ht="30" hidden="false" customHeight="true" outlineLevel="0" collapsed="false">
      <c r="A572" s="4" t="s">
        <v>6</v>
      </c>
      <c r="B572" s="5" t="s">
        <v>169</v>
      </c>
      <c r="C572" s="6" t="str">
        <f aca="false">HYPERLINK("https://partner.tcgplayer.com/c/6278691/1780961/21018?u=https%3A%2F%2Fwww.tcgplayer.com%2Fproduct%2F485260%3Futm_source%3Dimpact%26utm_medium%3Daffiliate%26utm_campaign%3Dpoke%2Bcottage","Lechonk")</f>
        <v>Lechonk</v>
      </c>
      <c r="D572" s="5" t="s">
        <v>350</v>
      </c>
      <c r="E572" s="5"/>
      <c r="F572" s="5"/>
      <c r="G572" s="5"/>
      <c r="H572" s="7"/>
    </row>
    <row r="573" customFormat="false" ht="30" hidden="false" customHeight="true" outlineLevel="0" collapsed="false">
      <c r="A573" s="4" t="s">
        <v>6</v>
      </c>
      <c r="B573" s="5" t="s">
        <v>170</v>
      </c>
      <c r="C573" s="6" t="str">
        <f aca="false">HYPERLINK("https://partner.tcgplayer.com/c/6278691/1780961/21018?u=https%3A%2F%2Fwww.tcgplayer.com%2Fproduct%2F497411%3Futm_source%3Dimpact%26utm_medium%3Daffiliate%26utm_campaign%3Dpoke%2Bcottage","Lechonk")</f>
        <v>Lechonk</v>
      </c>
      <c r="D573" s="5" t="s">
        <v>344</v>
      </c>
      <c r="E573" s="5"/>
      <c r="F573" s="5"/>
      <c r="G573" s="5"/>
      <c r="H573" s="7"/>
    </row>
    <row r="574" customFormat="false" ht="30" hidden="false" customHeight="true" outlineLevel="0" collapsed="false">
      <c r="A574" s="4" t="s">
        <v>6</v>
      </c>
      <c r="B574" s="5" t="s">
        <v>172</v>
      </c>
      <c r="C574" s="6" t="str">
        <f aca="false">HYPERLINK("https://partner.tcgplayer.com/c/6278691/1780961/21018?u=https%3A%2F%2Fwww.tcgplayer.com%2Fproduct%2F513799%3Futm_source%3Dimpact%26utm_medium%3Daffiliate%26utm_campaign%3Dpoke%2Bcottage","Oinkologne ex")</f>
        <v>Oinkologne ex</v>
      </c>
      <c r="D574" s="5" t="s">
        <v>285</v>
      </c>
      <c r="E574" s="5"/>
      <c r="F574" s="5"/>
      <c r="G574" s="5"/>
      <c r="H574" s="7"/>
    </row>
    <row r="575" customFormat="false" ht="30" hidden="false" customHeight="true" outlineLevel="0" collapsed="false">
      <c r="A575" s="4" t="s">
        <v>6</v>
      </c>
      <c r="B575" s="5" t="s">
        <v>172</v>
      </c>
      <c r="C575" s="6" t="str">
        <f aca="false">HYPERLINK("https://partner.tcgplayer.com/c/6278691/1780961/21018?u=https%3A%2F%2Fwww.tcgplayer.com%2Fproduct%2F580786%3Futm_source%3Dimpact%26utm_medium%3Daffiliate%26utm_campaign%3Dpoke%2Bcottage","Oinkologne ex")</f>
        <v>Oinkologne ex</v>
      </c>
      <c r="D575" s="5" t="s">
        <v>343</v>
      </c>
      <c r="E575" s="5"/>
      <c r="F575" s="5"/>
      <c r="G575" s="5"/>
      <c r="H575" s="7"/>
    </row>
    <row r="576" customFormat="false" ht="30" hidden="false" customHeight="true" outlineLevel="0" collapsed="false">
      <c r="A576" s="4" t="s">
        <v>6</v>
      </c>
      <c r="B576" s="5" t="s">
        <v>178</v>
      </c>
      <c r="C576" s="6" t="str">
        <f aca="false">HYPERLINK("https://partner.tcgplayer.com/c/6278691/1780961/21018?u=https%3A%2F%2Fwww.tcgplayer.com%2Fproduct%2F505059%3Futm_source%3Dimpact%26utm_medium%3Daffiliate%26utm_campaign%3Dpoke%2Bcottage","Cyclizar")</f>
        <v>Cyclizar</v>
      </c>
      <c r="D576" s="5" t="s">
        <v>313</v>
      </c>
      <c r="E576" s="5"/>
      <c r="F576" s="5"/>
      <c r="G576" s="5"/>
      <c r="H576" s="7"/>
    </row>
    <row r="577" customFormat="false" ht="30" hidden="false" customHeight="true" outlineLevel="0" collapsed="false">
      <c r="A577" s="4" t="s">
        <v>6</v>
      </c>
      <c r="B577" s="5" t="s">
        <v>178</v>
      </c>
      <c r="C577" s="6" t="str">
        <f aca="false">HYPERLINK("https://partner.tcgplayer.com/c/6278691/1780961/21018?u=https%3A%2F%2Fwww.tcgplayer.com%2Fproduct%2F556821%3Futm_source%3Dimpact%26utm_medium%3Daffiliate%26utm_campaign%3Dpoke%2Bcottage","Cyclizar")</f>
        <v>Cyclizar</v>
      </c>
      <c r="D577" s="5" t="s">
        <v>351</v>
      </c>
      <c r="E577" s="5"/>
      <c r="F577" s="5"/>
      <c r="G577" s="5"/>
      <c r="H577" s="7"/>
    </row>
    <row r="578" customFormat="false" ht="30" hidden="false" customHeight="true" outlineLevel="0" collapsed="false">
      <c r="A578" s="4" t="s">
        <v>6</v>
      </c>
      <c r="B578" s="5" t="s">
        <v>180</v>
      </c>
      <c r="C578" s="6" t="str">
        <f aca="false">HYPERLINK("https://partner.tcgplayer.com/c/6278691/1780961/21018?u=https%3A%2F%2Fwww.tcgplayer.com%2Fproduct%2F499381%3Futm_source%3Dimpact%26utm_medium%3Daffiliate%26utm_campaign%3Dpoke%2Bcottage","Arven")</f>
        <v>Arven</v>
      </c>
      <c r="D578" s="5" t="s">
        <v>352</v>
      </c>
      <c r="E578" s="5"/>
      <c r="F578" s="5"/>
      <c r="G578" s="5"/>
      <c r="H578" s="7"/>
    </row>
    <row r="579" customFormat="false" ht="30" hidden="false" customHeight="true" outlineLevel="0" collapsed="false">
      <c r="A579" s="4" t="s">
        <v>6</v>
      </c>
      <c r="B579" s="5" t="s">
        <v>180</v>
      </c>
      <c r="C579" s="6" t="str">
        <f aca="false">HYPERLINK("https://partner.tcgplayer.com/c/6278691/1780961/21018?u=https%3A%2F%2Fwww.tcgplayer.com%2Fproduct%2F499385%3Futm_source%3Dimpact%26utm_medium%3Daffiliate%26utm_campaign%3Dpoke%2Bcottage","Arven")</f>
        <v>Arven</v>
      </c>
      <c r="D579" s="5" t="s">
        <v>353</v>
      </c>
      <c r="E579" s="5"/>
      <c r="F579" s="5"/>
      <c r="G579" s="5"/>
      <c r="H579" s="7"/>
    </row>
    <row r="580" customFormat="false" ht="30" hidden="false" customHeight="true" outlineLevel="0" collapsed="false">
      <c r="A580" s="4" t="s">
        <v>6</v>
      </c>
      <c r="B580" s="5" t="s">
        <v>180</v>
      </c>
      <c r="C580" s="6" t="str">
        <f aca="false">HYPERLINK("https://partner.tcgplayer.com/c/6278691/1780961/21018?u=https%3A%2F%2Fwww.tcgplayer.com%2Fproduct%2F515537%3Futm_source%3Dimpact%26utm_medium%3Daffiliate%26utm_campaign%3Dpoke%2Bcottage","Arven")</f>
        <v>Arven</v>
      </c>
      <c r="D580" s="5" t="s">
        <v>285</v>
      </c>
      <c r="E580" s="5"/>
      <c r="F580" s="5"/>
      <c r="G580" s="5"/>
      <c r="H580" s="7"/>
    </row>
    <row r="581" customFormat="false" ht="30" hidden="false" customHeight="true" outlineLevel="0" collapsed="false">
      <c r="A581" s="4" t="s">
        <v>6</v>
      </c>
      <c r="B581" s="5" t="s">
        <v>180</v>
      </c>
      <c r="C581" s="6" t="str">
        <f aca="false">HYPERLINK("https://partner.tcgplayer.com/c/6278691/1780961/21018?u=https%3A%2F%2Fwww.tcgplayer.com%2Fproduct%2F515537%3Futm_source%3Dimpact%26utm_medium%3Daffiliate%26utm_campaign%3Dpoke%2Bcottage","Arven")</f>
        <v>Arven</v>
      </c>
      <c r="D581" s="5" t="s">
        <v>326</v>
      </c>
      <c r="E581" s="5"/>
      <c r="F581" s="5"/>
      <c r="G581" s="5"/>
      <c r="H581" s="7"/>
    </row>
    <row r="582" customFormat="false" ht="30" hidden="false" customHeight="true" outlineLevel="0" collapsed="false">
      <c r="A582" s="4" t="s">
        <v>6</v>
      </c>
      <c r="B582" s="5" t="s">
        <v>180</v>
      </c>
      <c r="C582" s="5" t="s">
        <v>354</v>
      </c>
      <c r="D582" s="5" t="s">
        <v>355</v>
      </c>
      <c r="E582" s="5"/>
      <c r="F582" s="5" t="str">
        <f aca="false">HYPERLINK("https://www.ebay.com/sch/i.html?_nkw=Arven+Hong+Kong+National+Championships+Scarlet+%26+Violet+166+pokemon+card&amp;_sacat=0&amp;_from=R40&amp;_trksid=p4624852.m570.l1313&amp;mkcid=1&amp;mkrid=711-53200-19255-0&amp;siteid=0&amp;campid=5339158445&amp;customid=pokecottage&amp;toolid=10001&amp;mkevt=1","FIND ON EBAY")</f>
        <v>FIND ON EBAY</v>
      </c>
      <c r="G582" s="5"/>
      <c r="H582" s="7"/>
    </row>
    <row r="583" customFormat="false" ht="30" hidden="false" customHeight="true" outlineLevel="0" collapsed="false">
      <c r="A583" s="4" t="s">
        <v>6</v>
      </c>
      <c r="B583" s="5" t="s">
        <v>180</v>
      </c>
      <c r="C583" s="5" t="s">
        <v>354</v>
      </c>
      <c r="D583" s="5" t="s">
        <v>356</v>
      </c>
      <c r="E583" s="5"/>
      <c r="F583" s="5" t="str">
        <f aca="false">HYPERLINK("https://www.ebay.com/sch/i.html?_nkw=Arven+Malaysia+National+Championships+Scarlet+%26+Violet+166+pokemon+card&amp;_sacat=0&amp;_from=R40&amp;_trksid=p4624852.m570.l1313&amp;mkcid=1&amp;mkrid=711-53200-19255-0&amp;siteid=0&amp;campid=5339158445&amp;customid=pokecottage&amp;toolid=10001&amp;mkevt=1","FIND ON EBAY")</f>
        <v>FIND ON EBAY</v>
      </c>
      <c r="G583" s="5"/>
      <c r="H583" s="7"/>
    </row>
    <row r="584" customFormat="false" ht="30" hidden="false" customHeight="true" outlineLevel="0" collapsed="false">
      <c r="A584" s="4" t="s">
        <v>6</v>
      </c>
      <c r="B584" s="5" t="s">
        <v>180</v>
      </c>
      <c r="C584" s="5" t="s">
        <v>354</v>
      </c>
      <c r="D584" s="5" t="s">
        <v>357</v>
      </c>
      <c r="E584" s="5"/>
      <c r="F584" s="5" t="str">
        <f aca="false">HYPERLINK("https://www.ebay.com/sch/i.html?_nkw=Arven+Philippines+National+Championships+Scarlet+%26+Violet+166+pokemon+card&amp;_sacat=0&amp;_from=R40&amp;_trksid=p4624852.m570.l1313&amp;mkcid=1&amp;mkrid=711-53200-19255-0&amp;siteid=0&amp;campid=5339158445&amp;customid=pokecottage&amp;toolid=10001&amp;mkevt=1","FIND ON EBAY")</f>
        <v>FIND ON EBAY</v>
      </c>
      <c r="G584" s="5"/>
      <c r="H584" s="7"/>
    </row>
    <row r="585" customFormat="false" ht="30" hidden="false" customHeight="true" outlineLevel="0" collapsed="false">
      <c r="A585" s="4" t="s">
        <v>6</v>
      </c>
      <c r="B585" s="5" t="s">
        <v>180</v>
      </c>
      <c r="C585" s="5" t="s">
        <v>354</v>
      </c>
      <c r="D585" s="5" t="s">
        <v>333</v>
      </c>
      <c r="E585" s="5"/>
      <c r="F585" s="5" t="str">
        <f aca="false">HYPERLINK("https://www.ebay.com/sch/i.html?_nkw=Arven+Pokemon+TCG+Gym+Scarlet+%26+Violet+166+pokemon+card&amp;_sacat=0&amp;_from=R40&amp;_trksid=p4624852.m570.l1313&amp;mkcid=1&amp;mkrid=711-53200-19255-0&amp;siteid=0&amp;campid=5339158445&amp;customid=pokecottage&amp;toolid=10001&amp;mkevt=1","FIND ON EBAY")</f>
        <v>FIND ON EBAY</v>
      </c>
      <c r="G585" s="5"/>
      <c r="H585" s="7"/>
    </row>
    <row r="586" customFormat="false" ht="30" hidden="false" customHeight="true" outlineLevel="0" collapsed="false">
      <c r="A586" s="4" t="s">
        <v>6</v>
      </c>
      <c r="B586" s="5" t="s">
        <v>180</v>
      </c>
      <c r="C586" s="5" t="s">
        <v>354</v>
      </c>
      <c r="D586" s="5" t="s">
        <v>358</v>
      </c>
      <c r="E586" s="5"/>
      <c r="F586" s="5" t="str">
        <f aca="false">HYPERLINK("https://www.ebay.com/sch/i.html?_nkw=Arven+Singapore+National+Championships+Scarlet+%26+Violet+166+pokemon+card&amp;_sacat=0&amp;_from=R40&amp;_trksid=p4624852.m570.l1313&amp;mkcid=1&amp;mkrid=711-53200-19255-0&amp;siteid=0&amp;campid=5339158445&amp;customid=pokecottage&amp;toolid=10001&amp;mkevt=1","FIND ON EBAY")</f>
        <v>FIND ON EBAY</v>
      </c>
      <c r="G586" s="5"/>
      <c r="H586" s="7"/>
    </row>
    <row r="587" customFormat="false" ht="30" hidden="false" customHeight="true" outlineLevel="0" collapsed="false">
      <c r="A587" s="4" t="s">
        <v>6</v>
      </c>
      <c r="B587" s="5" t="s">
        <v>180</v>
      </c>
      <c r="C587" s="6" t="str">
        <f aca="false">HYPERLINK("https://partner.tcgplayer.com/c/6278691/1780961/21018?u=https%3A%2F%2Fwww.tcgplayer.com%2Fproduct%2F689026%3Futm_source%3Dimpact%26utm_medium%3Daffiliate%26utm_campaign%3Dpoke%2Bcottage","Arven")</f>
        <v>Arven</v>
      </c>
      <c r="D587" s="5" t="s">
        <v>338</v>
      </c>
      <c r="E587" s="5"/>
      <c r="F587" s="5"/>
      <c r="G587" s="5"/>
      <c r="H587" s="7"/>
    </row>
    <row r="588" customFormat="false" ht="30" hidden="false" customHeight="true" outlineLevel="0" collapsed="false">
      <c r="A588" s="4" t="s">
        <v>6</v>
      </c>
      <c r="B588" s="5" t="s">
        <v>180</v>
      </c>
      <c r="C588" s="6" t="str">
        <f aca="false">HYPERLINK("https://partner.tcgplayer.com/c/6278691/1780961/21018?u=https%3A%2F%2Fwww.tcgplayer.com%2Fproduct%2F690265%3Futm_source%3Dimpact%26utm_medium%3Daffiliate%26utm_campaign%3Dpoke%2Bcottage","Arven")</f>
        <v>Arven</v>
      </c>
      <c r="D588" s="5" t="s">
        <v>336</v>
      </c>
      <c r="E588" s="5"/>
      <c r="F588" s="5"/>
      <c r="G588" s="5"/>
      <c r="H588" s="7"/>
    </row>
    <row r="589" customFormat="false" ht="30" hidden="false" customHeight="true" outlineLevel="0" collapsed="false">
      <c r="A589" s="4" t="s">
        <v>6</v>
      </c>
      <c r="B589" s="5" t="s">
        <v>180</v>
      </c>
      <c r="C589" s="6" t="str">
        <f aca="false">HYPERLINK("https://partner.tcgplayer.com/c/6278691/1780961/21018?u=https%3A%2F%2Fwww.tcgplayer.com%2Fproduct%2F690497%3Futm_source%3Dimpact%26utm_medium%3Daffiliate%26utm_campaign%3Dpoke%2Bcottage","Arven")</f>
        <v>Arven</v>
      </c>
      <c r="D589" s="5" t="s">
        <v>347</v>
      </c>
      <c r="E589" s="5"/>
      <c r="F589" s="5"/>
      <c r="G589" s="5"/>
      <c r="H589" s="7"/>
    </row>
    <row r="590" customFormat="false" ht="30" hidden="false" customHeight="true" outlineLevel="0" collapsed="false">
      <c r="A590" s="4" t="s">
        <v>6</v>
      </c>
      <c r="B590" s="5" t="s">
        <v>181</v>
      </c>
      <c r="C590" s="6" t="str">
        <f aca="false">HYPERLINK("https://partner.tcgplayer.com/c/6278691/1780961/21018?u=https%3A%2F%2Fwww.tcgplayer.com%2Fproduct%2F515614%3Futm_source%3Dimpact%26utm_medium%3Daffiliate%26utm_campaign%3Dpoke%2Bcottage","Beach Court")</f>
        <v>Beach Court</v>
      </c>
      <c r="D590" s="5" t="s">
        <v>285</v>
      </c>
      <c r="E590" s="5"/>
      <c r="F590" s="5"/>
      <c r="G590" s="5"/>
      <c r="H590" s="7"/>
    </row>
    <row r="591" customFormat="false" ht="30" hidden="false" customHeight="true" outlineLevel="0" collapsed="false">
      <c r="A591" s="4" t="s">
        <v>6</v>
      </c>
      <c r="B591" s="5" t="s">
        <v>181</v>
      </c>
      <c r="C591" s="6" t="str">
        <f aca="false">HYPERLINK("https://partner.tcgplayer.com/c/6278691/1780961/21018?u=https%3A%2F%2Fwww.tcgplayer.com%2Fproduct%2F515614%3Futm_source%3Dimpact%26utm_medium%3Daffiliate%26utm_campaign%3Dpoke%2Bcottage","Beach Court")</f>
        <v>Beach Court</v>
      </c>
      <c r="D591" s="5" t="s">
        <v>326</v>
      </c>
      <c r="E591" s="5"/>
      <c r="F591" s="5"/>
      <c r="G591" s="5"/>
      <c r="H591" s="7"/>
    </row>
    <row r="592" customFormat="false" ht="30" hidden="false" customHeight="true" outlineLevel="0" collapsed="false">
      <c r="A592" s="4" t="s">
        <v>6</v>
      </c>
      <c r="B592" s="5" t="s">
        <v>181</v>
      </c>
      <c r="C592" s="5" t="s">
        <v>359</v>
      </c>
      <c r="D592" s="5" t="s">
        <v>333</v>
      </c>
      <c r="E592" s="5"/>
      <c r="F592" s="5" t="str">
        <f aca="false">HYPERLINK("https://www.ebay.com/sch/i.html?_nkw=Beach+Court+Pokemon+TCG+Gym+Scarlet+%26+Violet+167+pokemon+card&amp;_sacat=0&amp;_from=R40&amp;_trksid=p4624852.m570.l1313&amp;mkcid=1&amp;mkrid=711-53200-19255-0&amp;siteid=0&amp;campid=5339158445&amp;customid=pokecottage&amp;toolid=10001&amp;mkevt=1","FIND ON EBAY")</f>
        <v>FIND ON EBAY</v>
      </c>
      <c r="G592" s="5"/>
      <c r="H592" s="7"/>
    </row>
    <row r="593" customFormat="false" ht="30" hidden="false" customHeight="true" outlineLevel="0" collapsed="false">
      <c r="A593" s="4" t="s">
        <v>6</v>
      </c>
      <c r="B593" s="5" t="s">
        <v>182</v>
      </c>
      <c r="C593" s="6" t="str">
        <f aca="false">HYPERLINK("https://partner.tcgplayer.com/c/6278691/1780961/21018?u=https%3A%2F%2Fwww.tcgplayer.com%2Fproduct%2F637578%3Futm_source%3Dimpact%26utm_medium%3Daffiliate%26utm_campaign%3Dpoke%2Bcottage","Crushing Hammer")</f>
        <v>Crushing Hammer</v>
      </c>
      <c r="D593" s="5" t="s">
        <v>360</v>
      </c>
      <c r="E593" s="5"/>
      <c r="F593" s="5"/>
      <c r="G593" s="5"/>
      <c r="H593" s="7"/>
    </row>
    <row r="594" customFormat="false" ht="30" hidden="false" customHeight="true" outlineLevel="0" collapsed="false">
      <c r="A594" s="4" t="s">
        <v>6</v>
      </c>
      <c r="B594" s="5" t="s">
        <v>183</v>
      </c>
      <c r="C594" s="6" t="str">
        <f aca="false">HYPERLINK("https://partner.tcgplayer.com/c/6278691/1780961/21018?u=https%3A%2F%2Fwww.tcgplayer.com%2Fproduct%2F515467%3Futm_source%3Dimpact%26utm_medium%3Daffiliate%26utm_campaign%3Dpoke%2Bcottage","Defiance Band")</f>
        <v>Defiance Band</v>
      </c>
      <c r="D594" s="5" t="s">
        <v>285</v>
      </c>
      <c r="E594" s="5"/>
      <c r="F594" s="5"/>
      <c r="G594" s="5"/>
      <c r="H594" s="7"/>
    </row>
    <row r="595" customFormat="false" ht="30" hidden="false" customHeight="true" outlineLevel="0" collapsed="false">
      <c r="A595" s="4" t="s">
        <v>6</v>
      </c>
      <c r="B595" s="5" t="s">
        <v>183</v>
      </c>
      <c r="C595" s="6" t="str">
        <f aca="false">HYPERLINK("https://partner.tcgplayer.com/c/6278691/1780961/21018?u=https%3A%2F%2Fwww.tcgplayer.com%2Fproduct%2F637563%3Futm_source%3Dimpact%26utm_medium%3Daffiliate%26utm_campaign%3Dpoke%2Bcottage","Defiance Band")</f>
        <v>Defiance Band</v>
      </c>
      <c r="D595" s="5" t="s">
        <v>361</v>
      </c>
      <c r="E595" s="5"/>
      <c r="F595" s="5"/>
      <c r="G595" s="5"/>
      <c r="H595" s="7"/>
    </row>
    <row r="596" customFormat="false" ht="30" hidden="false" customHeight="true" outlineLevel="0" collapsed="false">
      <c r="A596" s="4" t="s">
        <v>6</v>
      </c>
      <c r="B596" s="5" t="s">
        <v>184</v>
      </c>
      <c r="C596" s="6" t="str">
        <f aca="false">HYPERLINK("https://partner.tcgplayer.com/c/6278691/1780961/21018?u=https%3A%2F%2Fwww.tcgplayer.com%2Fproduct%2F515469%3Futm_source%3Dimpact%26utm_medium%3Daffiliate%26utm_campaign%3Dpoke%2Bcottage","Electric Generator")</f>
        <v>Electric Generator</v>
      </c>
      <c r="D596" s="5" t="s">
        <v>285</v>
      </c>
      <c r="E596" s="5"/>
      <c r="F596" s="5"/>
      <c r="G596" s="5"/>
      <c r="H596" s="7"/>
    </row>
    <row r="597" customFormat="false" ht="30" hidden="false" customHeight="true" outlineLevel="0" collapsed="false">
      <c r="A597" s="4" t="s">
        <v>6</v>
      </c>
      <c r="B597" s="5" t="s">
        <v>184</v>
      </c>
      <c r="C597" s="6" t="str">
        <f aca="false">HYPERLINK("https://partner.tcgplayer.com/c/6278691/1780961/21018?u=https%3A%2F%2Fwww.tcgplayer.com%2Fproduct%2F515469%3Futm_source%3Dimpact%26utm_medium%3Daffiliate%26utm_campaign%3Dpoke%2Bcottage","Electric Generator")</f>
        <v>Electric Generator</v>
      </c>
      <c r="D597" s="5" t="s">
        <v>326</v>
      </c>
      <c r="E597" s="5"/>
      <c r="F597" s="5"/>
      <c r="G597" s="5"/>
      <c r="H597" s="7"/>
    </row>
    <row r="598" customFormat="false" ht="30" hidden="false" customHeight="true" outlineLevel="0" collapsed="false">
      <c r="A598" s="4" t="s">
        <v>6</v>
      </c>
      <c r="B598" s="5" t="s">
        <v>184</v>
      </c>
      <c r="C598" s="6" t="str">
        <f aca="false">HYPERLINK("https://partner.tcgplayer.com/c/6278691/1780961/21018?u=https%3A%2F%2Fwww.tcgplayer.com%2Fproduct%2F556884%3Futm_source%3Dimpact%26utm_medium%3Daffiliate%26utm_campaign%3Dpoke%2Bcottage","Electric Generator")</f>
        <v>Electric Generator</v>
      </c>
      <c r="D598" s="5" t="s">
        <v>327</v>
      </c>
      <c r="E598" s="5"/>
      <c r="F598" s="5"/>
      <c r="G598" s="5"/>
      <c r="H598" s="7"/>
    </row>
    <row r="599" customFormat="false" ht="30" hidden="false" customHeight="true" outlineLevel="0" collapsed="false">
      <c r="A599" s="4" t="s">
        <v>6</v>
      </c>
      <c r="B599" s="5" t="s">
        <v>184</v>
      </c>
      <c r="C599" s="5" t="s">
        <v>362</v>
      </c>
      <c r="D599" s="5" t="s">
        <v>333</v>
      </c>
      <c r="E599" s="5"/>
      <c r="F599" s="5" t="str">
        <f aca="false">HYPERLINK("https://www.ebay.com/sch/i.html?_nkw=Electric+Generator+Pokemon+TCG+Gym+Scarlet+%26+Violet+170+pokemon+card&amp;_sacat=0&amp;_from=R40&amp;_trksid=p4624852.m570.l1313&amp;mkcid=1&amp;mkrid=711-53200-19255-0&amp;siteid=0&amp;campid=5339158445&amp;customid=pokecottage&amp;toolid=10001&amp;mkevt=1","FIND ON EBAY")</f>
        <v>FIND ON EBAY</v>
      </c>
      <c r="G599" s="5"/>
      <c r="H599" s="7"/>
    </row>
    <row r="600" customFormat="false" ht="30" hidden="false" customHeight="true" outlineLevel="0" collapsed="false">
      <c r="A600" s="4" t="s">
        <v>6</v>
      </c>
      <c r="B600" s="5" t="s">
        <v>184</v>
      </c>
      <c r="C600" s="6" t="str">
        <f aca="false">HYPERLINK("https://partner.tcgplayer.com/c/6278691/1780961/21018?u=https%3A%2F%2Fwww.tcgplayer.com%2Fproduct%2F637572%3Futm_source%3Dimpact%26utm_medium%3Daffiliate%26utm_campaign%3Dpoke%2Bcottage","Electric Generator")</f>
        <v>Electric Generator</v>
      </c>
      <c r="D600" s="5" t="s">
        <v>334</v>
      </c>
      <c r="E600" s="5"/>
      <c r="F600" s="5"/>
      <c r="G600" s="5"/>
      <c r="H600" s="7"/>
    </row>
    <row r="601" customFormat="false" ht="30" hidden="false" customHeight="true" outlineLevel="0" collapsed="false">
      <c r="A601" s="4" t="s">
        <v>6</v>
      </c>
      <c r="B601" s="5" t="s">
        <v>187</v>
      </c>
      <c r="C601" s="6" t="str">
        <f aca="false">HYPERLINK("https://partner.tcgplayer.com/c/6278691/1780961/21018?u=https%3A%2F%2Fwww.tcgplayer.com%2Fproduct%2F637568%3Futm_source%3Dimpact%26utm_medium%3Daffiliate%26utm_campaign%3Dpoke%2Bcottage","Energy Switch")</f>
        <v>Energy Switch</v>
      </c>
      <c r="D601" s="5" t="s">
        <v>346</v>
      </c>
      <c r="E601" s="5"/>
      <c r="F601" s="5"/>
      <c r="G601" s="5"/>
      <c r="H601" s="7"/>
    </row>
    <row r="602" customFormat="false" ht="30" hidden="false" customHeight="true" outlineLevel="0" collapsed="false">
      <c r="A602" s="4" t="s">
        <v>6</v>
      </c>
      <c r="B602" s="5" t="s">
        <v>187</v>
      </c>
      <c r="C602" s="6" t="str">
        <f aca="false">HYPERLINK("https://partner.tcgplayer.com/c/6278691/1780961/21018?u=https%3A%2F%2Fwww.tcgplayer.com%2Fproduct%2F690478%3Futm_source%3Dimpact%26utm_medium%3Daffiliate%26utm_campaign%3Dpoke%2Bcottage","Energy Switch")</f>
        <v>Energy Switch</v>
      </c>
      <c r="D602" s="5" t="s">
        <v>363</v>
      </c>
      <c r="E602" s="5"/>
      <c r="F602" s="5"/>
      <c r="G602" s="5"/>
      <c r="H602" s="7"/>
    </row>
    <row r="603" customFormat="false" ht="30" hidden="false" customHeight="true" outlineLevel="0" collapsed="false">
      <c r="A603" s="4" t="s">
        <v>6</v>
      </c>
      <c r="B603" s="5" t="s">
        <v>189</v>
      </c>
      <c r="C603" s="6" t="str">
        <f aca="false">HYPERLINK("https://partner.tcgplayer.com/c/6278691/1780961/21018?u=https%3A%2F%2Fwww.tcgplayer.com%2Fproduct%2F515577%3Futm_source%3Dimpact%26utm_medium%3Daffiliate%26utm_campaign%3Dpoke%2Bcottage","Jacq")</f>
        <v>Jacq</v>
      </c>
      <c r="D603" s="5" t="s">
        <v>285</v>
      </c>
      <c r="E603" s="5"/>
      <c r="F603" s="5"/>
      <c r="G603" s="5"/>
      <c r="H603" s="7"/>
    </row>
    <row r="604" customFormat="false" ht="30" hidden="false" customHeight="true" outlineLevel="0" collapsed="false">
      <c r="A604" s="4" t="s">
        <v>6</v>
      </c>
      <c r="B604" s="5" t="s">
        <v>189</v>
      </c>
      <c r="C604" s="6" t="str">
        <f aca="false">HYPERLINK("https://partner.tcgplayer.com/c/6278691/1780961/21018?u=https%3A%2F%2Fwww.tcgplayer.com%2Fproduct%2F515577%3Futm_source%3Dimpact%26utm_medium%3Daffiliate%26utm_campaign%3Dpoke%2Bcottage","Jacq")</f>
        <v>Jacq</v>
      </c>
      <c r="D604" s="5" t="s">
        <v>326</v>
      </c>
      <c r="E604" s="5"/>
      <c r="F604" s="5"/>
      <c r="G604" s="5"/>
      <c r="H604" s="7"/>
    </row>
    <row r="605" customFormat="false" ht="30" hidden="false" customHeight="true" outlineLevel="0" collapsed="false">
      <c r="A605" s="4" t="s">
        <v>6</v>
      </c>
      <c r="B605" s="5" t="s">
        <v>189</v>
      </c>
      <c r="C605" s="6" t="str">
        <f aca="false">HYPERLINK("https://partner.tcgplayer.com/c/6278691/1780961/21018?u=https%3A%2F%2Fwww.tcgplayer.com%2Fproduct%2F557054%3Futm_source%3Dimpact%26utm_medium%3Daffiliate%26utm_campaign%3Dpoke%2Bcottage","Jacq")</f>
        <v>Jacq</v>
      </c>
      <c r="D605" s="5" t="s">
        <v>324</v>
      </c>
      <c r="E605" s="5"/>
      <c r="F605" s="5"/>
      <c r="G605" s="5"/>
      <c r="H605" s="7"/>
    </row>
    <row r="606" customFormat="false" ht="30" hidden="false" customHeight="true" outlineLevel="0" collapsed="false">
      <c r="A606" s="4" t="s">
        <v>6</v>
      </c>
      <c r="B606" s="5" t="s">
        <v>189</v>
      </c>
      <c r="C606" s="6" t="str">
        <f aca="false">HYPERLINK("https://partner.tcgplayer.com/c/6278691/1780961/21018?u=https%3A%2F%2Fwww.tcgplayer.com%2Fproduct%2F556832%3Futm_source%3Dimpact%26utm_medium%3Daffiliate%26utm_campaign%3Dpoke%2Bcottage","Jacq")</f>
        <v>Jacq</v>
      </c>
      <c r="D606" s="5" t="s">
        <v>351</v>
      </c>
      <c r="E606" s="5"/>
      <c r="F606" s="5"/>
      <c r="G606" s="5"/>
      <c r="H606" s="7"/>
    </row>
    <row r="607" customFormat="false" ht="30" hidden="false" customHeight="true" outlineLevel="0" collapsed="false">
      <c r="A607" s="4" t="s">
        <v>6</v>
      </c>
      <c r="B607" s="5" t="s">
        <v>189</v>
      </c>
      <c r="C607" s="6" t="str">
        <f aca="false">HYPERLINK("https://partner.tcgplayer.com/c/6278691/1780961/21018?u=https%3A%2F%2Fwww.tcgplayer.com%2Fproduct%2F556919%3Futm_source%3Dimpact%26utm_medium%3Daffiliate%26utm_campaign%3Dpoke%2Bcottage","Jacq")</f>
        <v>Jacq</v>
      </c>
      <c r="D607" s="5" t="s">
        <v>327</v>
      </c>
      <c r="E607" s="5"/>
      <c r="F607" s="5"/>
      <c r="G607" s="5"/>
      <c r="H607" s="7"/>
    </row>
    <row r="608" customFormat="false" ht="30" hidden="false" customHeight="true" outlineLevel="0" collapsed="false">
      <c r="A608" s="4" t="s">
        <v>6</v>
      </c>
      <c r="B608" s="5" t="s">
        <v>190</v>
      </c>
      <c r="C608" s="6" t="str">
        <f aca="false">HYPERLINK("https://partner.tcgplayer.com/c/6278691/1780961/21018?u=https%3A%2F%2Fwww.tcgplayer.com%2Fproduct%2F658743%3Futm_source%3Dimpact%26utm_medium%3Daffiliate%26utm_campaign%3Dpoke%2Bcottage","Judge")</f>
        <v>Judge</v>
      </c>
      <c r="D608" s="5" t="s">
        <v>364</v>
      </c>
      <c r="E608" s="5"/>
      <c r="F608" s="5"/>
      <c r="G608" s="5"/>
      <c r="H608" s="7"/>
    </row>
    <row r="609" customFormat="false" ht="30" hidden="false" customHeight="true" outlineLevel="0" collapsed="false">
      <c r="A609" s="4" t="s">
        <v>6</v>
      </c>
      <c r="B609" s="5" t="s">
        <v>190</v>
      </c>
      <c r="C609" s="6" t="str">
        <f aca="false">HYPERLINK("https://partner.tcgplayer.com/c/6278691/1780961/21018?u=https%3A%2F%2Fwww.tcgplayer.com%2Fproduct%2F538761%3Futm_source%3Dimpact%26utm_medium%3Daffiliate%26utm_campaign%3Dpoke%2Bcottage","Judge")</f>
        <v>Judge</v>
      </c>
      <c r="D609" s="5" t="s">
        <v>326</v>
      </c>
      <c r="E609" s="5"/>
      <c r="F609" s="5"/>
      <c r="G609" s="5"/>
      <c r="H609" s="7"/>
    </row>
    <row r="610" customFormat="false" ht="30" hidden="false" customHeight="true" outlineLevel="0" collapsed="false">
      <c r="A610" s="4" t="s">
        <v>6</v>
      </c>
      <c r="B610" s="5" t="s">
        <v>190</v>
      </c>
      <c r="C610" s="6" t="str">
        <f aca="false">HYPERLINK("https://partner.tcgplayer.com/c/6278691/1780961/21018?u=https%3A%2F%2Fwww.tcgplayer.com%2Fproduct%2F541819%3Futm_source%3Dimpact%26utm_medium%3Daffiliate%26utm_campaign%3Dpoke%2Bcottage","Judge")</f>
        <v>Judge</v>
      </c>
      <c r="D610" s="5" t="s">
        <v>365</v>
      </c>
      <c r="E610" s="5"/>
      <c r="F610" s="5"/>
      <c r="G610" s="5"/>
      <c r="H610" s="7"/>
    </row>
    <row r="611" customFormat="false" ht="30" hidden="false" customHeight="true" outlineLevel="0" collapsed="false">
      <c r="A611" s="4" t="s">
        <v>6</v>
      </c>
      <c r="B611" s="5" t="s">
        <v>190</v>
      </c>
      <c r="C611" s="6" t="str">
        <f aca="false">HYPERLINK("https://partner.tcgplayer.com/c/6278691/1780961/21018?u=https%3A%2F%2Fwww.tcgplayer.com%2Fproduct%2F637575%3Futm_source%3Dimpact%26utm_medium%3Daffiliate%26utm_campaign%3Dpoke%2Bcottage","Judge")</f>
        <v>Judge</v>
      </c>
      <c r="D611" s="5" t="s">
        <v>360</v>
      </c>
      <c r="E611" s="5"/>
      <c r="F611" s="5"/>
      <c r="G611" s="5"/>
      <c r="H611" s="7"/>
    </row>
    <row r="612" customFormat="false" ht="30" hidden="false" customHeight="true" outlineLevel="0" collapsed="false">
      <c r="A612" s="4" t="s">
        <v>6</v>
      </c>
      <c r="B612" s="5" t="s">
        <v>193</v>
      </c>
      <c r="C612" s="6" t="str">
        <f aca="false">HYPERLINK("https://partner.tcgplayer.com/c/6278691/1780961/21018?u=https%3A%2F%2Fwww.tcgplayer.com%2Fproduct%2F515580%3Futm_source%3Dimpact%26utm_medium%3Daffiliate%26utm_campaign%3Dpoke%2Bcottage","Miriam")</f>
        <v>Miriam</v>
      </c>
      <c r="D612" s="5" t="s">
        <v>285</v>
      </c>
      <c r="E612" s="5"/>
      <c r="F612" s="5"/>
      <c r="G612" s="5"/>
      <c r="H612" s="7"/>
    </row>
    <row r="613" customFormat="false" ht="30" hidden="false" customHeight="true" outlineLevel="0" collapsed="false">
      <c r="A613" s="4" t="s">
        <v>6</v>
      </c>
      <c r="B613" s="5" t="s">
        <v>193</v>
      </c>
      <c r="C613" s="5" t="s">
        <v>366</v>
      </c>
      <c r="D613" s="5" t="s">
        <v>333</v>
      </c>
      <c r="E613" s="5"/>
      <c r="F613" s="5" t="str">
        <f aca="false">HYPERLINK("https://www.ebay.com/sch/i.html?_nkw=Miriam+Pokemon+TCG+Gym+Scarlet+%26+Violet+179+pokemon+card&amp;_sacat=0&amp;_from=R40&amp;_trksid=p4624852.m570.l1313&amp;mkcid=1&amp;mkrid=711-53200-19255-0&amp;siteid=0&amp;campid=5339158445&amp;customid=pokecottage&amp;toolid=10001&amp;mkevt=1","FIND ON EBAY")</f>
        <v>FIND ON EBAY</v>
      </c>
      <c r="G613" s="5"/>
      <c r="H613" s="7"/>
    </row>
    <row r="614" customFormat="false" ht="30" hidden="false" customHeight="true" outlineLevel="0" collapsed="false">
      <c r="A614" s="4" t="s">
        <v>6</v>
      </c>
      <c r="B614" s="5" t="s">
        <v>194</v>
      </c>
      <c r="C614" s="6" t="str">
        <f aca="false">HYPERLINK("https://partner.tcgplayer.com/c/6278691/1780961/21018?u=https%3A%2F%2Fwww.tcgplayer.com%2Fproduct%2F557058%3Futm_source%3Dimpact%26utm_medium%3Daffiliate%26utm_campaign%3Dpoke%2Bcottage","Nemona #28")</f>
        <v>Nemona #28</v>
      </c>
      <c r="D614" s="5" t="s">
        <v>367</v>
      </c>
      <c r="E614" s="5"/>
      <c r="F614" s="5"/>
      <c r="G614" s="5"/>
      <c r="H614" s="7"/>
    </row>
    <row r="615" customFormat="false" ht="30" hidden="false" customHeight="true" outlineLevel="0" collapsed="false">
      <c r="A615" s="4" t="s">
        <v>6</v>
      </c>
      <c r="B615" s="5" t="s">
        <v>194</v>
      </c>
      <c r="C615" s="6" t="str">
        <f aca="false">HYPERLINK("https://partner.tcgplayer.com/c/6278691/1780961/21018?u=https%3A%2F%2Fwww.tcgplayer.com%2Fproduct%2F557059%3Futm_source%3Dimpact%26utm_medium%3Daffiliate%26utm_campaign%3Dpoke%2Bcottage","Nemona #41")</f>
        <v>Nemona #41</v>
      </c>
      <c r="D615" s="5" t="s">
        <v>368</v>
      </c>
      <c r="E615" s="5"/>
      <c r="F615" s="5"/>
      <c r="G615" s="5"/>
      <c r="H615" s="7"/>
    </row>
    <row r="616" customFormat="false" ht="30" hidden="false" customHeight="true" outlineLevel="0" collapsed="false">
      <c r="A616" s="4" t="s">
        <v>6</v>
      </c>
      <c r="B616" s="5" t="s">
        <v>194</v>
      </c>
      <c r="C616" s="6" t="str">
        <f aca="false">HYPERLINK("https://partner.tcgplayer.com/c/6278691/1780961/21018?u=https%3A%2F%2Fwww.tcgplayer.com%2Fproduct%2F557060%3Futm_source%3Dimpact%26utm_medium%3Daffiliate%26utm_campaign%3Dpoke%2Bcottage","Nemona #52")</f>
        <v>Nemona #52</v>
      </c>
      <c r="D616" s="5" t="s">
        <v>369</v>
      </c>
      <c r="E616" s="5"/>
      <c r="F616" s="5"/>
      <c r="G616" s="5"/>
      <c r="H616" s="7"/>
    </row>
    <row r="617" customFormat="false" ht="30" hidden="false" customHeight="true" outlineLevel="0" collapsed="false">
      <c r="A617" s="4" t="s">
        <v>6</v>
      </c>
      <c r="B617" s="5" t="s">
        <v>194</v>
      </c>
      <c r="C617" s="6" t="str">
        <f aca="false">HYPERLINK("https://partner.tcgplayer.com/c/6278691/1780961/21018?u=https%3A%2F%2Fwww.tcgplayer.com%2Fproduct%2F557061%3Futm_source%3Dimpact%26utm_medium%3Daffiliate%26utm_campaign%3Dpoke%2Bcottage","Nemona #57")</f>
        <v>Nemona #57</v>
      </c>
      <c r="D617" s="5" t="s">
        <v>370</v>
      </c>
      <c r="E617" s="5"/>
      <c r="F617" s="5"/>
      <c r="G617" s="5"/>
      <c r="H617" s="7"/>
    </row>
    <row r="618" customFormat="false" ht="30" hidden="false" customHeight="true" outlineLevel="0" collapsed="false">
      <c r="A618" s="4" t="s">
        <v>6</v>
      </c>
      <c r="B618" s="5" t="s">
        <v>194</v>
      </c>
      <c r="C618" s="6" t="str">
        <f aca="false">HYPERLINK("https://partner.tcgplayer.com/c/6278691/1780961/21018?u=https%3A%2F%2Fwww.tcgplayer.com%2Fproduct%2F556845%3Futm_source%3Dimpact%26utm_medium%3Daffiliate%26utm_campaign%3Dpoke%2Bcottage","Nemona")</f>
        <v>Nemona</v>
      </c>
      <c r="D618" s="5" t="s">
        <v>351</v>
      </c>
      <c r="E618" s="5"/>
      <c r="F618" s="5"/>
      <c r="G618" s="5"/>
      <c r="H618" s="7"/>
    </row>
    <row r="619" customFormat="false" ht="30" hidden="false" customHeight="true" outlineLevel="0" collapsed="false">
      <c r="A619" s="4" t="s">
        <v>6</v>
      </c>
      <c r="B619" s="5" t="s">
        <v>194</v>
      </c>
      <c r="C619" s="6" t="str">
        <f aca="false">HYPERLINK("https://partner.tcgplayer.com/c/6278691/1780961/21018?u=https%3A%2F%2Fwww.tcgplayer.com%2Fproduct%2F556930%3Futm_source%3Dimpact%26utm_medium%3Daffiliate%26utm_campaign%3Dpoke%2Bcottage","Nemona #13")</f>
        <v>Nemona #13</v>
      </c>
      <c r="D619" s="5" t="s">
        <v>371</v>
      </c>
      <c r="E619" s="5"/>
      <c r="F619" s="5"/>
      <c r="G619" s="5"/>
      <c r="H619" s="7"/>
    </row>
    <row r="620" customFormat="false" ht="30" hidden="false" customHeight="true" outlineLevel="0" collapsed="false">
      <c r="A620" s="4" t="s">
        <v>6</v>
      </c>
      <c r="B620" s="5" t="s">
        <v>194</v>
      </c>
      <c r="C620" s="6" t="str">
        <f aca="false">HYPERLINK("https://partner.tcgplayer.com/c/6278691/1780961/21018?u=https%3A%2F%2Fwww.tcgplayer.com%2Fproduct%2F556932%3Futm_source%3Dimpact%26utm_medium%3Daffiliate%26utm_campaign%3Dpoke%2Bcottage","Nemona #33")</f>
        <v>Nemona #33</v>
      </c>
      <c r="D620" s="5" t="s">
        <v>372</v>
      </c>
      <c r="E620" s="5"/>
      <c r="F620" s="5"/>
      <c r="G620" s="5"/>
      <c r="H620" s="7"/>
    </row>
    <row r="621" customFormat="false" ht="30" hidden="false" customHeight="true" outlineLevel="0" collapsed="false">
      <c r="A621" s="4" t="s">
        <v>6</v>
      </c>
      <c r="B621" s="5" t="s">
        <v>194</v>
      </c>
      <c r="C621" s="6" t="str">
        <f aca="false">HYPERLINK("https://partner.tcgplayer.com/c/6278691/1780961/21018?u=https%3A%2F%2Fwww.tcgplayer.com%2Fproduct%2F556933%3Futm_source%3Dimpact%26utm_medium%3Daffiliate%26utm_campaign%3Dpoke%2Bcottage","Nemona #42")</f>
        <v>Nemona #42</v>
      </c>
      <c r="D621" s="5" t="s">
        <v>373</v>
      </c>
      <c r="E621" s="5"/>
      <c r="F621" s="5"/>
      <c r="G621" s="5"/>
      <c r="H621" s="7"/>
    </row>
    <row r="622" customFormat="false" ht="30" hidden="false" customHeight="true" outlineLevel="0" collapsed="false">
      <c r="A622" s="4" t="s">
        <v>6</v>
      </c>
      <c r="B622" s="5" t="s">
        <v>194</v>
      </c>
      <c r="C622" s="6" t="str">
        <f aca="false">HYPERLINK("https://partner.tcgplayer.com/c/6278691/1780961/21018?u=https%3A%2F%2Fwww.tcgplayer.com%2Fproduct%2F556934%3Futm_source%3Dimpact%26utm_medium%3Daffiliate%26utm_campaign%3Dpoke%2Bcottage","Nemona #54")</f>
        <v>Nemona #54</v>
      </c>
      <c r="D622" s="5" t="s">
        <v>374</v>
      </c>
      <c r="E622" s="5"/>
      <c r="F622" s="5"/>
      <c r="G622" s="5"/>
      <c r="H622" s="7"/>
    </row>
    <row r="623" customFormat="false" ht="30" hidden="false" customHeight="true" outlineLevel="0" collapsed="false">
      <c r="A623" s="4" t="s">
        <v>6</v>
      </c>
      <c r="B623" s="5" t="s">
        <v>195</v>
      </c>
      <c r="C623" s="5" t="s">
        <v>375</v>
      </c>
      <c r="D623" s="5" t="s">
        <v>376</v>
      </c>
      <c r="E623" s="5"/>
      <c r="F623" s="5" t="str">
        <f aca="false">HYPERLINK("https://www.ebay.com/sch/i.html?_nkw=Nest+Ball+Europe+Championships+Scarlet+%26+Violet+181+pokemon+card&amp;_sacat=0&amp;_from=R40&amp;_trksid=p4624852.m570.l1313&amp;mkcid=1&amp;mkrid=711-53200-19255-0&amp;siteid=0&amp;campid=5339158445&amp;customid=pokecottage&amp;toolid=10001&amp;mkevt=1","FIND ON EBAY")</f>
        <v>FIND ON EBAY</v>
      </c>
      <c r="G623" s="5"/>
      <c r="H623" s="7"/>
    </row>
    <row r="624" customFormat="false" ht="30" hidden="false" customHeight="true" outlineLevel="0" collapsed="false">
      <c r="A624" s="4" t="s">
        <v>6</v>
      </c>
      <c r="B624" s="5" t="s">
        <v>195</v>
      </c>
      <c r="C624" s="6" t="str">
        <f aca="false">HYPERLINK("https://partner.tcgplayer.com/c/6278691/1780961/21018?u=https%3A%2F%2Fwww.tcgplayer.com%2Fproduct%2F557105%3Futm_source%3Dimpact%26utm_medium%3Daffiliate%26utm_campaign%3Dpoke%2Bcottage","Nest Ball")</f>
        <v>Nest Ball</v>
      </c>
      <c r="D624" s="5" t="s">
        <v>377</v>
      </c>
      <c r="E624" s="5"/>
      <c r="F624" s="5"/>
      <c r="G624" s="5"/>
      <c r="H624" s="7"/>
    </row>
    <row r="625" customFormat="false" ht="30" hidden="false" customHeight="true" outlineLevel="0" collapsed="false">
      <c r="A625" s="4" t="s">
        <v>6</v>
      </c>
      <c r="B625" s="5" t="s">
        <v>195</v>
      </c>
      <c r="C625" s="5" t="s">
        <v>375</v>
      </c>
      <c r="D625" s="5" t="s">
        <v>378</v>
      </c>
      <c r="E625" s="5"/>
      <c r="F625" s="5" t="str">
        <f aca="false">HYPERLINK("https://www.ebay.com/sch/i.html?_nkw=Nest+Ball+Europe+Championships+Top+8+Scarlet+%26+Violet+181+pokemon+card&amp;_sacat=0&amp;_from=R40&amp;_trksid=p4624852.m570.l1313&amp;mkcid=1&amp;mkrid=711-53200-19255-0&amp;siteid=0&amp;campid=5339158445&amp;customid=pokecottage&amp;toolid=10001&amp;mkevt=1","FIND ON EBAY")</f>
        <v>FIND ON EBAY</v>
      </c>
      <c r="G625" s="5"/>
      <c r="H625" s="7"/>
    </row>
    <row r="626" customFormat="false" ht="30" hidden="false" customHeight="true" outlineLevel="0" collapsed="false">
      <c r="A626" s="4" t="s">
        <v>6</v>
      </c>
      <c r="B626" s="5" t="s">
        <v>195</v>
      </c>
      <c r="C626" s="5" t="s">
        <v>375</v>
      </c>
      <c r="D626" s="5" t="s">
        <v>379</v>
      </c>
      <c r="E626" s="5"/>
      <c r="F626" s="5" t="str">
        <f aca="false">HYPERLINK("https://www.ebay.com/sch/i.html?_nkw=Nest+Ball+Europe+Championships+Champion+Scarlet+%26+Violet+181+pokemon+card&amp;_sacat=0&amp;_from=R40&amp;_trksid=p4624852.m570.l1313&amp;mkcid=1&amp;mkrid=711-53200-19255-0&amp;siteid=0&amp;campid=5339158445&amp;customid=pokecottage&amp;toolid=10001&amp;mkevt=1","FIND ON EBAY")</f>
        <v>FIND ON EBAY</v>
      </c>
      <c r="G626" s="5"/>
      <c r="H626" s="7"/>
    </row>
    <row r="627" customFormat="false" ht="30" hidden="false" customHeight="true" outlineLevel="0" collapsed="false">
      <c r="A627" s="4" t="s">
        <v>6</v>
      </c>
      <c r="B627" s="5" t="s">
        <v>195</v>
      </c>
      <c r="C627" s="5" t="s">
        <v>375</v>
      </c>
      <c r="D627" s="5" t="s">
        <v>380</v>
      </c>
      <c r="E627" s="5"/>
      <c r="F627" s="5" t="str">
        <f aca="false">HYPERLINK("https://www.ebay.com/sch/i.html?_nkw=Nest+Ball+North+America+Championships+Scarlet+%26+Violet+181+pokemon+card&amp;_sacat=0&amp;_from=R40&amp;_trksid=p4624852.m570.l1313&amp;mkcid=1&amp;mkrid=711-53200-19255-0&amp;siteid=0&amp;campid=5339158445&amp;customid=pokecottage&amp;toolid=10001&amp;mkevt=1","FIND ON EBAY")</f>
        <v>FIND ON EBAY</v>
      </c>
      <c r="G627" s="5"/>
      <c r="H627" s="7"/>
    </row>
    <row r="628" customFormat="false" ht="30" hidden="false" customHeight="true" outlineLevel="0" collapsed="false">
      <c r="A628" s="4" t="s">
        <v>6</v>
      </c>
      <c r="B628" s="5" t="s">
        <v>195</v>
      </c>
      <c r="C628" s="6" t="str">
        <f aca="false">HYPERLINK("https://partner.tcgplayer.com/c/6278691/1780961/21018?u=https%3A%2F%2Fwww.tcgplayer.com%2Fproduct%2F557107%3Futm_source%3Dimpact%26utm_medium%3Daffiliate%26utm_campaign%3Dpoke%2Bcottage","Nest Ball")</f>
        <v>Nest Ball</v>
      </c>
      <c r="D628" s="5" t="s">
        <v>381</v>
      </c>
      <c r="E628" s="5"/>
      <c r="F628" s="5"/>
      <c r="G628" s="5"/>
      <c r="H628" s="7"/>
    </row>
    <row r="629" customFormat="false" ht="30" hidden="false" customHeight="true" outlineLevel="0" collapsed="false">
      <c r="A629" s="4" t="s">
        <v>6</v>
      </c>
      <c r="B629" s="5" t="s">
        <v>195</v>
      </c>
      <c r="C629" s="5" t="s">
        <v>375</v>
      </c>
      <c r="D629" s="5" t="s">
        <v>382</v>
      </c>
      <c r="E629" s="5"/>
      <c r="F629" s="5" t="str">
        <f aca="false">HYPERLINK("https://www.ebay.com/sch/i.html?_nkw=Nest+Ball+North+America+Championships+Top+8+Scarlet+%26+Violet+181+pokemon+card&amp;_sacat=0&amp;_from=R40&amp;_trksid=p4624852.m570.l1313&amp;mkcid=1&amp;mkrid=711-53200-19255-0&amp;siteid=0&amp;campid=5339158445&amp;customid=pokecottage&amp;toolid=10001&amp;mkevt=1","FIND ON EBAY")</f>
        <v>FIND ON EBAY</v>
      </c>
      <c r="G629" s="5"/>
      <c r="H629" s="7"/>
    </row>
    <row r="630" customFormat="false" ht="30" hidden="false" customHeight="true" outlineLevel="0" collapsed="false">
      <c r="A630" s="4" t="s">
        <v>6</v>
      </c>
      <c r="B630" s="5" t="s">
        <v>195</v>
      </c>
      <c r="C630" s="5" t="s">
        <v>375</v>
      </c>
      <c r="D630" s="5" t="s">
        <v>383</v>
      </c>
      <c r="E630" s="5"/>
      <c r="F630" s="5" t="str">
        <f aca="false">HYPERLINK("https://www.ebay.com/sch/i.html?_nkw=Nest+Ball+North+America+Championships+Champion+Scarlet+%26+Violet+181+pokemon+card&amp;_sacat=0&amp;_from=R40&amp;_trksid=p4624852.m570.l1313&amp;mkcid=1&amp;mkrid=711-53200-19255-0&amp;siteid=0&amp;campid=5339158445&amp;customid=pokecottage&amp;toolid=10001&amp;mkevt=1","FIND ON EBAY")</f>
        <v>FIND ON EBAY</v>
      </c>
      <c r="G630" s="5"/>
      <c r="H630" s="7"/>
    </row>
    <row r="631" customFormat="false" ht="30" hidden="false" customHeight="true" outlineLevel="0" collapsed="false">
      <c r="A631" s="4" t="s">
        <v>6</v>
      </c>
      <c r="B631" s="5" t="s">
        <v>195</v>
      </c>
      <c r="C631" s="6" t="str">
        <f aca="false">HYPERLINK("https://partner.tcgplayer.com/c/6278691/1780961/21018?u=https%3A%2F%2Fwww.tcgplayer.com%2Fproduct%2F515500%3Futm_source%3Dimpact%26utm_medium%3Daffiliate%26utm_campaign%3Dpoke%2Bcottage","Nest Ball")</f>
        <v>Nest Ball</v>
      </c>
      <c r="D631" s="5" t="s">
        <v>285</v>
      </c>
      <c r="E631" s="5"/>
      <c r="F631" s="5"/>
      <c r="G631" s="5"/>
      <c r="H631" s="7"/>
    </row>
    <row r="632" customFormat="false" ht="30" hidden="false" customHeight="true" outlineLevel="0" collapsed="false">
      <c r="A632" s="4" t="s">
        <v>6</v>
      </c>
      <c r="B632" s="5" t="s">
        <v>195</v>
      </c>
      <c r="C632" s="6" t="str">
        <f aca="false">HYPERLINK("https://partner.tcgplayer.com/c/6278691/1780961/21018?u=https%3A%2F%2Fwww.tcgplayer.com%2Fproduct%2F515500%3Futm_source%3Dimpact%26utm_medium%3Daffiliate%26utm_campaign%3Dpoke%2Bcottage","Nest Ball")</f>
        <v>Nest Ball</v>
      </c>
      <c r="D632" s="5" t="s">
        <v>326</v>
      </c>
      <c r="E632" s="5"/>
      <c r="F632" s="5"/>
      <c r="G632" s="5"/>
      <c r="H632" s="7"/>
    </row>
    <row r="633" customFormat="false" ht="30" hidden="false" customHeight="true" outlineLevel="0" collapsed="false">
      <c r="A633" s="4" t="s">
        <v>6</v>
      </c>
      <c r="B633" s="5" t="s">
        <v>195</v>
      </c>
      <c r="C633" s="6" t="str">
        <f aca="false">HYPERLINK("https://partner.tcgplayer.com/c/6278691/1780961/21018?u=https%3A%2F%2Fwww.tcgplayer.com%2Fproduct%2F557062%3Futm_source%3Dimpact%26utm_medium%3Daffiliate%26utm_campaign%3Dpoke%2Bcottage","Nest Ball")</f>
        <v>Nest Ball</v>
      </c>
      <c r="D633" s="5" t="s">
        <v>324</v>
      </c>
      <c r="E633" s="5"/>
      <c r="F633" s="5"/>
      <c r="G633" s="5"/>
      <c r="H633" s="7"/>
    </row>
    <row r="634" customFormat="false" ht="30" hidden="false" customHeight="true" outlineLevel="0" collapsed="false">
      <c r="A634" s="4" t="s">
        <v>6</v>
      </c>
      <c r="B634" s="5" t="s">
        <v>195</v>
      </c>
      <c r="C634" s="6" t="str">
        <f aca="false">HYPERLINK("https://partner.tcgplayer.com/c/6278691/1780961/21018?u=https%3A%2F%2Fwww.tcgplayer.com%2Fproduct%2F556849%3Futm_source%3Dimpact%26utm_medium%3Daffiliate%26utm_campaign%3Dpoke%2Bcottage","Nest Ball")</f>
        <v>Nest Ball</v>
      </c>
      <c r="D634" s="5" t="s">
        <v>351</v>
      </c>
      <c r="E634" s="5"/>
      <c r="F634" s="5"/>
      <c r="G634" s="5"/>
      <c r="H634" s="7"/>
    </row>
    <row r="635" customFormat="false" ht="30" hidden="false" customHeight="true" outlineLevel="0" collapsed="false">
      <c r="A635" s="4" t="s">
        <v>6</v>
      </c>
      <c r="B635" s="5" t="s">
        <v>195</v>
      </c>
      <c r="C635" s="6" t="str">
        <f aca="false">HYPERLINK("https://partner.tcgplayer.com/c/6278691/1780961/21018?u=https%3A%2F%2Fwww.tcgplayer.com%2Fproduct%2F556938%3Futm_source%3Dimpact%26utm_medium%3Daffiliate%26utm_campaign%3Dpoke%2Bcottage","Nest Ball")</f>
        <v>Nest Ball</v>
      </c>
      <c r="D635" s="5" t="s">
        <v>327</v>
      </c>
      <c r="E635" s="5"/>
      <c r="F635" s="5"/>
      <c r="G635" s="5"/>
      <c r="H635" s="7"/>
    </row>
    <row r="636" customFormat="false" ht="30" hidden="false" customHeight="true" outlineLevel="0" collapsed="false">
      <c r="A636" s="4" t="s">
        <v>6</v>
      </c>
      <c r="B636" s="5" t="s">
        <v>195</v>
      </c>
      <c r="C636" s="5" t="s">
        <v>375</v>
      </c>
      <c r="D636" s="5" t="s">
        <v>333</v>
      </c>
      <c r="E636" s="5"/>
      <c r="F636" s="5" t="str">
        <f aca="false">HYPERLINK("https://www.ebay.com/sch/i.html?_nkw=Nest+Ball+Pokemon+TCG+Gym+Scarlet+%26+Violet+181+pokemon+card&amp;_sacat=0&amp;_from=R40&amp;_trksid=p4624852.m570.l1313&amp;mkcid=1&amp;mkrid=711-53200-19255-0&amp;siteid=0&amp;campid=5339158445&amp;customid=pokecottage&amp;toolid=10001&amp;mkevt=1","FIND ON EBAY")</f>
        <v>FIND ON EBAY</v>
      </c>
      <c r="G636" s="5"/>
      <c r="H636" s="7"/>
    </row>
    <row r="637" customFormat="false" ht="30" hidden="false" customHeight="true" outlineLevel="0" collapsed="false">
      <c r="A637" s="4" t="s">
        <v>6</v>
      </c>
      <c r="B637" s="5" t="s">
        <v>195</v>
      </c>
      <c r="C637" s="6" t="str">
        <f aca="false">HYPERLINK("https://partner.tcgplayer.com/c/6278691/1780961/21018?u=https%3A%2F%2Fwww.tcgplayer.com%2Fproduct%2F541797%3Futm_source%3Dimpact%26utm_medium%3Daffiliate%26utm_campaign%3Dpoke%2Bcottage","Nest Ball")</f>
        <v>Nest Ball</v>
      </c>
      <c r="D637" s="5" t="s">
        <v>384</v>
      </c>
      <c r="E637" s="5"/>
      <c r="F637" s="5"/>
      <c r="G637" s="5"/>
      <c r="H637" s="7"/>
    </row>
    <row r="638" customFormat="false" ht="30" hidden="false" customHeight="true" outlineLevel="0" collapsed="false">
      <c r="A638" s="4" t="s">
        <v>6</v>
      </c>
      <c r="B638" s="5" t="s">
        <v>195</v>
      </c>
      <c r="C638" s="6" t="str">
        <f aca="false">HYPERLINK("https://partner.tcgplayer.com/c/6278691/1780961/21018?u=https%3A%2F%2Fwww.tcgplayer.com%2Fproduct%2F542088%3Futm_source%3Dimpact%26utm_medium%3Daffiliate%26utm_campaign%3Dpoke%2Bcottage","Nest Ball")</f>
        <v>Nest Ball</v>
      </c>
      <c r="D638" s="5" t="s">
        <v>385</v>
      </c>
      <c r="E638" s="5"/>
      <c r="F638" s="5"/>
      <c r="G638" s="5"/>
      <c r="H638" s="7"/>
    </row>
    <row r="639" customFormat="false" ht="30" hidden="false" customHeight="true" outlineLevel="0" collapsed="false">
      <c r="A639" s="4" t="s">
        <v>6</v>
      </c>
      <c r="B639" s="5" t="s">
        <v>195</v>
      </c>
      <c r="C639" s="6" t="str">
        <f aca="false">HYPERLINK("https://partner.tcgplayer.com/c/6278691/1780961/21018?u=https%3A%2F%2Fwww.tcgplayer.com%2Fproduct%2F542038%3Futm_source%3Dimpact%26utm_medium%3Daffiliate%26utm_campaign%3Dpoke%2Bcottage","Nest Ball")</f>
        <v>Nest Ball</v>
      </c>
      <c r="D639" s="5" t="s">
        <v>365</v>
      </c>
      <c r="E639" s="5"/>
      <c r="F639" s="5"/>
      <c r="G639" s="5"/>
      <c r="H639" s="7"/>
    </row>
    <row r="640" customFormat="false" ht="30" hidden="false" customHeight="true" outlineLevel="0" collapsed="false">
      <c r="A640" s="4" t="s">
        <v>6</v>
      </c>
      <c r="B640" s="5" t="s">
        <v>195</v>
      </c>
      <c r="C640" s="6" t="str">
        <f aca="false">HYPERLINK("https://partner.tcgplayer.com/c/6278691/1780961/21018?u=https%3A%2F%2Fwww.tcgplayer.com%2Fproduct%2F637560%3Futm_source%3Dimpact%26utm_medium%3Daffiliate%26utm_campaign%3Dpoke%2Bcottage","Nest Ball")</f>
        <v>Nest Ball</v>
      </c>
      <c r="D640" s="5" t="s">
        <v>361</v>
      </c>
      <c r="E640" s="5"/>
      <c r="F640" s="5"/>
      <c r="G640" s="5"/>
      <c r="H640" s="7"/>
    </row>
    <row r="641" customFormat="false" ht="30" hidden="false" customHeight="true" outlineLevel="0" collapsed="false">
      <c r="A641" s="4" t="s">
        <v>6</v>
      </c>
      <c r="B641" s="5" t="s">
        <v>195</v>
      </c>
      <c r="C641" s="6" t="str">
        <f aca="false">HYPERLINK("https://partner.tcgplayer.com/c/6278691/1780961/21018?u=https%3A%2F%2Fwww.tcgplayer.com%2Fproduct%2F637567%3Futm_source%3Dimpact%26utm_medium%3Daffiliate%26utm_campaign%3Dpoke%2Bcottage","Nest Ball")</f>
        <v>Nest Ball</v>
      </c>
      <c r="D641" s="5" t="s">
        <v>346</v>
      </c>
      <c r="E641" s="5"/>
      <c r="F641" s="5"/>
      <c r="G641" s="5"/>
      <c r="H641" s="7"/>
    </row>
    <row r="642" customFormat="false" ht="30" hidden="false" customHeight="true" outlineLevel="0" collapsed="false">
      <c r="A642" s="4" t="s">
        <v>6</v>
      </c>
      <c r="B642" s="5" t="s">
        <v>195</v>
      </c>
      <c r="C642" s="6" t="str">
        <f aca="false">HYPERLINK("https://partner.tcgplayer.com/c/6278691/1780961/21018?u=https%3A%2F%2Fwww.tcgplayer.com%2Fproduct%2F637573%3Futm_source%3Dimpact%26utm_medium%3Daffiliate%26utm_campaign%3Dpoke%2Bcottage","Nest Ball")</f>
        <v>Nest Ball</v>
      </c>
      <c r="D642" s="5" t="s">
        <v>334</v>
      </c>
      <c r="E642" s="5"/>
      <c r="F642" s="5"/>
      <c r="G642" s="5"/>
      <c r="H642" s="7"/>
    </row>
    <row r="643" customFormat="false" ht="30" hidden="false" customHeight="true" outlineLevel="0" collapsed="false">
      <c r="A643" s="4" t="s">
        <v>6</v>
      </c>
      <c r="B643" s="5" t="s">
        <v>195</v>
      </c>
      <c r="C643" s="6" t="str">
        <f aca="false">HYPERLINK("https://partner.tcgplayer.com/c/6278691/1780961/21018?u=https%3A%2F%2Fwww.tcgplayer.com%2Fproduct%2F689034%3Futm_source%3Dimpact%26utm_medium%3Daffiliate%26utm_campaign%3Dpoke%2Bcottage","Nest Ball")</f>
        <v>Nest Ball</v>
      </c>
      <c r="D643" s="5" t="s">
        <v>338</v>
      </c>
      <c r="E643" s="5"/>
      <c r="F643" s="5"/>
      <c r="G643" s="5"/>
      <c r="H643" s="7"/>
    </row>
    <row r="644" customFormat="false" ht="30" hidden="false" customHeight="true" outlineLevel="0" collapsed="false">
      <c r="A644" s="4" t="s">
        <v>6</v>
      </c>
      <c r="B644" s="5" t="s">
        <v>195</v>
      </c>
      <c r="C644" s="6" t="str">
        <f aca="false">HYPERLINK("https://partner.tcgplayer.com/c/6278691/1780961/21018?u=https%3A%2F%2Fwww.tcgplayer.com%2Fproduct%2F690273%3Futm_source%3Dimpact%26utm_medium%3Daffiliate%26utm_campaign%3Dpoke%2Bcottage","Nest Ball")</f>
        <v>Nest Ball</v>
      </c>
      <c r="D644" s="5" t="s">
        <v>336</v>
      </c>
      <c r="E644" s="5"/>
      <c r="F644" s="5"/>
      <c r="G644" s="5"/>
      <c r="H644" s="7"/>
    </row>
    <row r="645" customFormat="false" ht="30" hidden="false" customHeight="true" outlineLevel="0" collapsed="false">
      <c r="A645" s="4" t="s">
        <v>6</v>
      </c>
      <c r="B645" s="5" t="s">
        <v>195</v>
      </c>
      <c r="C645" s="6" t="str">
        <f aca="false">HYPERLINK("https://partner.tcgplayer.com/c/6278691/1780961/21018?u=https%3A%2F%2Fwww.tcgplayer.com%2Fproduct%2F690474%3Futm_source%3Dimpact%26utm_medium%3Daffiliate%26utm_campaign%3Dpoke%2Bcottage","Nest Ball")</f>
        <v>Nest Ball</v>
      </c>
      <c r="D645" s="5" t="s">
        <v>363</v>
      </c>
      <c r="E645" s="5"/>
      <c r="F645" s="5"/>
      <c r="G645" s="5"/>
      <c r="H645" s="7"/>
    </row>
    <row r="646" customFormat="false" ht="30" hidden="false" customHeight="true" outlineLevel="0" collapsed="false">
      <c r="A646" s="4" t="s">
        <v>6</v>
      </c>
      <c r="B646" s="5" t="s">
        <v>196</v>
      </c>
      <c r="C646" s="6" t="str">
        <f aca="false">HYPERLINK("https://partner.tcgplayer.com/c/6278691/1780961/21018?u=https%3A%2F%2Fwww.tcgplayer.com%2Fproduct%2F538763%3Futm_source%3Dimpact%26utm_medium%3Daffiliate%26utm_campaign%3Dpoke%2Bcottage","Pal Pad")</f>
        <v>Pal Pad</v>
      </c>
      <c r="D646" s="5" t="s">
        <v>326</v>
      </c>
      <c r="E646" s="5"/>
      <c r="F646" s="5"/>
      <c r="G646" s="5"/>
      <c r="H646" s="7"/>
    </row>
    <row r="647" customFormat="false" ht="30" hidden="false" customHeight="true" outlineLevel="0" collapsed="false">
      <c r="A647" s="4" t="s">
        <v>6</v>
      </c>
      <c r="B647" s="5" t="s">
        <v>196</v>
      </c>
      <c r="C647" s="6" t="str">
        <f aca="false">HYPERLINK("https://partner.tcgplayer.com/c/6278691/1780961/21018?u=https%3A%2F%2Fwww.tcgplayer.com%2Fproduct%2F542094%3Futm_source%3Dimpact%26utm_medium%3Daffiliate%26utm_campaign%3Dpoke%2Bcottage","Pal Pad")</f>
        <v>Pal Pad</v>
      </c>
      <c r="D647" s="5" t="s">
        <v>385</v>
      </c>
      <c r="E647" s="5"/>
      <c r="F647" s="5"/>
      <c r="G647" s="5"/>
      <c r="H647" s="7"/>
    </row>
    <row r="648" customFormat="false" ht="30" hidden="false" customHeight="true" outlineLevel="0" collapsed="false">
      <c r="A648" s="4" t="s">
        <v>6</v>
      </c>
      <c r="B648" s="5" t="s">
        <v>196</v>
      </c>
      <c r="C648" s="6" t="str">
        <f aca="false">HYPERLINK("https://partner.tcgplayer.com/c/6278691/1780961/21018?u=https%3A%2F%2Fwww.tcgplayer.com%2Fproduct%2F542042%3Futm_source%3Dimpact%26utm_medium%3Daffiliate%26utm_campaign%3Dpoke%2Bcottage","Pal Pad")</f>
        <v>Pal Pad</v>
      </c>
      <c r="D648" s="5" t="s">
        <v>365</v>
      </c>
      <c r="E648" s="5"/>
      <c r="F648" s="5"/>
      <c r="G648" s="5"/>
      <c r="H648" s="7"/>
    </row>
    <row r="649" customFormat="false" ht="30" hidden="false" customHeight="true" outlineLevel="0" collapsed="false">
      <c r="A649" s="4" t="s">
        <v>6</v>
      </c>
      <c r="B649" s="5" t="s">
        <v>196</v>
      </c>
      <c r="C649" s="6" t="str">
        <f aca="false">HYPERLINK("https://partner.tcgplayer.com/c/6278691/1780961/21018?u=https%3A%2F%2Fwww.tcgplayer.com%2Fproduct%2F542069%3Futm_source%3Dimpact%26utm_medium%3Daffiliate%26utm_campaign%3Dpoke%2Bcottage","Pal Pad")</f>
        <v>Pal Pad</v>
      </c>
      <c r="D649" s="5" t="s">
        <v>340</v>
      </c>
      <c r="E649" s="5"/>
      <c r="F649" s="5"/>
      <c r="G649" s="5"/>
      <c r="H649" s="7"/>
    </row>
    <row r="650" customFormat="false" ht="30" hidden="false" customHeight="true" outlineLevel="0" collapsed="false">
      <c r="A650" s="4" t="s">
        <v>6</v>
      </c>
      <c r="B650" s="5" t="s">
        <v>196</v>
      </c>
      <c r="C650" s="6" t="str">
        <f aca="false">HYPERLINK("https://partner.tcgplayer.com/c/6278691/1780961/21018?u=https%3A%2F%2Fwww.tcgplayer.com%2Fproduct%2F647064%3Futm_source%3Dimpact%26utm_medium%3Daffiliate%26utm_campaign%3Dpoke%2Bcottage","Pal Pad")</f>
        <v>Pal Pad</v>
      </c>
      <c r="D650" s="5" t="s">
        <v>361</v>
      </c>
      <c r="E650" s="5"/>
      <c r="F650" s="5"/>
      <c r="G650" s="5"/>
      <c r="H650" s="7"/>
    </row>
    <row r="651" customFormat="false" ht="30" hidden="false" customHeight="true" outlineLevel="0" collapsed="false">
      <c r="A651" s="4" t="s">
        <v>6</v>
      </c>
      <c r="B651" s="5" t="s">
        <v>197</v>
      </c>
      <c r="C651" s="6" t="str">
        <f aca="false">HYPERLINK("https://partner.tcgplayer.com/c/6278691/1780961/21018?u=https%3A%2F%2Fwww.tcgplayer.com%2Fproduct%2F515581%3Futm_source%3Dimpact%26utm_medium%3Daffiliate%26utm_campaign%3Dpoke%2Bcottage","Penny")</f>
        <v>Penny</v>
      </c>
      <c r="D651" s="5" t="s">
        <v>285</v>
      </c>
      <c r="E651" s="5"/>
      <c r="F651" s="5"/>
      <c r="G651" s="5"/>
      <c r="H651" s="7"/>
    </row>
    <row r="652" customFormat="false" ht="30" hidden="false" customHeight="true" outlineLevel="0" collapsed="false">
      <c r="A652" s="4" t="s">
        <v>6</v>
      </c>
      <c r="B652" s="5" t="s">
        <v>197</v>
      </c>
      <c r="C652" s="6" t="str">
        <f aca="false">HYPERLINK("https://partner.tcgplayer.com/c/6278691/1780961/21018?u=https%3A%2F%2Fwww.tcgplayer.com%2Fproduct%2F637576%3Futm_source%3Dimpact%26utm_medium%3Daffiliate%26utm_campaign%3Dpoke%2Bcottage","Penny")</f>
        <v>Penny</v>
      </c>
      <c r="D652" s="5" t="s">
        <v>360</v>
      </c>
      <c r="E652" s="5"/>
      <c r="F652" s="5"/>
      <c r="G652" s="5"/>
      <c r="H652" s="7"/>
    </row>
    <row r="653" customFormat="false" ht="30" hidden="false" customHeight="true" outlineLevel="0" collapsed="false">
      <c r="A653" s="4" t="s">
        <v>6</v>
      </c>
      <c r="B653" s="5" t="s">
        <v>200</v>
      </c>
      <c r="C653" s="6" t="str">
        <f aca="false">HYPERLINK("https://partner.tcgplayer.com/c/6278691/1780961/21018?u=https%3A%2F%2Fwww.tcgplayer.com%2Fproduct%2F515501%3Futm_source%3Dimpact%26utm_medium%3Daffiliate%26utm_campaign%3Dpoke%2Bcottage","Pokégear 3.0")</f>
        <v>Pokégear 3.0</v>
      </c>
      <c r="D653" s="5" t="s">
        <v>285</v>
      </c>
      <c r="E653" s="5"/>
      <c r="F653" s="5"/>
      <c r="G653" s="5"/>
      <c r="H653" s="7"/>
    </row>
    <row r="654" customFormat="false" ht="30" hidden="false" customHeight="true" outlineLevel="0" collapsed="false">
      <c r="A654" s="4" t="s">
        <v>6</v>
      </c>
      <c r="B654" s="5" t="s">
        <v>200</v>
      </c>
      <c r="C654" s="6" t="str">
        <f aca="false">HYPERLINK("https://partner.tcgplayer.com/c/6278691/1780961/21018?u=https%3A%2F%2Fwww.tcgplayer.com%2Fproduct%2F637561%3Futm_source%3Dimpact%26utm_medium%3Daffiliate%26utm_campaign%3Dpoke%2Bcottage","Pokégear 3.0")</f>
        <v>Pokégear 3.0</v>
      </c>
      <c r="D654" s="5" t="s">
        <v>361</v>
      </c>
      <c r="E654" s="5"/>
      <c r="F654" s="5"/>
      <c r="G654" s="5"/>
      <c r="H654" s="7"/>
    </row>
    <row r="655" customFormat="false" ht="30" hidden="false" customHeight="true" outlineLevel="0" collapsed="false">
      <c r="A655" s="4" t="s">
        <v>6</v>
      </c>
      <c r="B655" s="5" t="s">
        <v>200</v>
      </c>
      <c r="C655" s="6" t="str">
        <f aca="false">HYPERLINK("https://partner.tcgplayer.com/c/6278691/1780961/21018?u=https%3A%2F%2Fwww.tcgplayer.com%2Fproduct%2F637577%3Futm_source%3Dimpact%26utm_medium%3Daffiliate%26utm_campaign%3Dpoke%2Bcottage","Pokégear 3.0")</f>
        <v>Pokégear 3.0</v>
      </c>
      <c r="D655" s="5" t="s">
        <v>360</v>
      </c>
      <c r="E655" s="5"/>
      <c r="F655" s="5"/>
      <c r="G655" s="5"/>
      <c r="H655" s="7"/>
    </row>
    <row r="656" customFormat="false" ht="30" hidden="false" customHeight="true" outlineLevel="0" collapsed="false">
      <c r="A656" s="4" t="s">
        <v>6</v>
      </c>
      <c r="B656" s="5" t="s">
        <v>200</v>
      </c>
      <c r="C656" s="6" t="str">
        <f aca="false">HYPERLINK("https://partner.tcgplayer.com/c/6278691/1780961/21018?u=https%3A%2F%2Fwww.tcgplayer.com%2Fproduct%2F690277%3Futm_source%3Dimpact%26utm_medium%3Daffiliate%26utm_campaign%3Dpoke%2Bcottage","Pokégear 3.0")</f>
        <v>Pokégear 3.0</v>
      </c>
      <c r="D656" s="5" t="s">
        <v>336</v>
      </c>
      <c r="E656" s="5"/>
      <c r="F656" s="5"/>
      <c r="G656" s="5"/>
      <c r="H656" s="7"/>
    </row>
    <row r="657" customFormat="false" ht="30" hidden="false" customHeight="true" outlineLevel="0" collapsed="false">
      <c r="A657" s="4" t="s">
        <v>6</v>
      </c>
      <c r="B657" s="5" t="s">
        <v>201</v>
      </c>
      <c r="C657" s="6" t="str">
        <f aca="false">HYPERLINK("https://partner.tcgplayer.com/c/6278691/1780961/21018?u=https%3A%2F%2Fwww.tcgplayer.com%2Fproduct%2F637579%3Futm_source%3Dimpact%26utm_medium%3Daffiliate%26utm_campaign%3Dpoke%2Bcottage","Pokémon Catcher")</f>
        <v>Pokémon Catcher</v>
      </c>
      <c r="D657" s="5" t="s">
        <v>360</v>
      </c>
      <c r="E657" s="5"/>
      <c r="F657" s="5"/>
      <c r="G657" s="5"/>
      <c r="H657" s="7"/>
    </row>
    <row r="658" customFormat="false" ht="30" hidden="false" customHeight="true" outlineLevel="0" collapsed="false">
      <c r="A658" s="4" t="s">
        <v>6</v>
      </c>
      <c r="B658" s="5" t="s">
        <v>202</v>
      </c>
      <c r="C658" s="6" t="str">
        <f aca="false">HYPERLINK("https://partner.tcgplayer.com/c/6278691/1780961/21018?u=https%3A%2F%2Fwww.tcgplayer.com%2Fproduct%2F557065%3Futm_source%3Dimpact%26utm_medium%3Daffiliate%26utm_campaign%3Dpoke%2Bcottage","Potion #25")</f>
        <v>Potion #25</v>
      </c>
      <c r="D658" s="5" t="s">
        <v>386</v>
      </c>
      <c r="E658" s="5"/>
      <c r="F658" s="5"/>
      <c r="G658" s="5"/>
      <c r="H658" s="7"/>
    </row>
    <row r="659" customFormat="false" ht="30" hidden="false" customHeight="true" outlineLevel="0" collapsed="false">
      <c r="A659" s="4" t="s">
        <v>6</v>
      </c>
      <c r="B659" s="5" t="s">
        <v>202</v>
      </c>
      <c r="C659" s="6" t="str">
        <f aca="false">HYPERLINK("https://partner.tcgplayer.com/c/6278691/1780961/21018?u=https%3A%2F%2Fwww.tcgplayer.com%2Fproduct%2F557066%3Futm_source%3Dimpact%26utm_medium%3Daffiliate%26utm_campaign%3Dpoke%2Bcottage","Potion #37")</f>
        <v>Potion #37</v>
      </c>
      <c r="D659" s="5" t="s">
        <v>387</v>
      </c>
      <c r="E659" s="5"/>
      <c r="F659" s="5"/>
      <c r="G659" s="5"/>
      <c r="H659" s="7"/>
    </row>
    <row r="660" customFormat="false" ht="30" hidden="false" customHeight="true" outlineLevel="0" collapsed="false">
      <c r="A660" s="4" t="s">
        <v>6</v>
      </c>
      <c r="B660" s="5" t="s">
        <v>202</v>
      </c>
      <c r="C660" s="6" t="str">
        <f aca="false">HYPERLINK("https://partner.tcgplayer.com/c/6278691/1780961/21018?u=https%3A%2F%2Fwww.tcgplayer.com%2Fproduct%2F556871%3Futm_source%3Dimpact%26utm_medium%3Daffiliate%26utm_campaign%3Dpoke%2Bcottage","Potion")</f>
        <v>Potion</v>
      </c>
      <c r="D660" s="5" t="s">
        <v>351</v>
      </c>
      <c r="E660" s="5"/>
      <c r="F660" s="5"/>
      <c r="G660" s="5"/>
      <c r="H660" s="7"/>
    </row>
    <row r="661" customFormat="false" ht="30" hidden="false" customHeight="true" outlineLevel="0" collapsed="false">
      <c r="A661" s="4" t="s">
        <v>6</v>
      </c>
      <c r="B661" s="5" t="s">
        <v>202</v>
      </c>
      <c r="C661" s="6" t="str">
        <f aca="false">HYPERLINK("https://partner.tcgplayer.com/c/6278691/1780961/21018?u=https%3A%2F%2Fwww.tcgplayer.com%2Fproduct%2F556920%3Futm_source%3Dimpact%26utm_medium%3Daffiliate%26utm_campaign%3Dpoke%2Bcottage","Potion #15")</f>
        <v>Potion #15</v>
      </c>
      <c r="D661" s="5" t="s">
        <v>388</v>
      </c>
      <c r="E661" s="5"/>
      <c r="F661" s="5"/>
      <c r="G661" s="5"/>
      <c r="H661" s="7"/>
    </row>
    <row r="662" customFormat="false" ht="30" hidden="false" customHeight="true" outlineLevel="0" collapsed="false">
      <c r="A662" s="4" t="s">
        <v>6</v>
      </c>
      <c r="B662" s="5" t="s">
        <v>202</v>
      </c>
      <c r="C662" s="6" t="str">
        <f aca="false">HYPERLINK("https://partner.tcgplayer.com/c/6278691/1780961/21018?u=https%3A%2F%2Fwww.tcgplayer.com%2Fproduct%2F556921%3Futm_source%3Dimpact%26utm_medium%3Daffiliate%26utm_campaign%3Dpoke%2Bcottage","Potion #18")</f>
        <v>Potion #18</v>
      </c>
      <c r="D662" s="5" t="s">
        <v>389</v>
      </c>
      <c r="E662" s="5"/>
      <c r="F662" s="5"/>
      <c r="G662" s="5"/>
      <c r="H662" s="7"/>
    </row>
    <row r="663" customFormat="false" ht="30" hidden="false" customHeight="true" outlineLevel="0" collapsed="false">
      <c r="A663" s="4" t="s">
        <v>6</v>
      </c>
      <c r="B663" s="5" t="s">
        <v>203</v>
      </c>
      <c r="C663" s="6" t="str">
        <f aca="false">HYPERLINK("https://partner.tcgplayer.com/c/6278691/1780961/21018?u=https%3A%2F%2Fwww.tcgplayer.com%2Fproduct%2F494096%3Futm_source%3Dimpact%26utm_medium%3Daffiliate%26utm_campaign%3Dpoke%2Bcottage","Professor's Research (Professor Sada)")</f>
        <v>Professor's Research (Professor Sada)</v>
      </c>
      <c r="D663" s="5" t="s">
        <v>313</v>
      </c>
      <c r="E663" s="5"/>
      <c r="F663" s="5"/>
      <c r="G663" s="5"/>
      <c r="H663" s="7"/>
    </row>
    <row r="664" customFormat="false" ht="30" hidden="false" customHeight="true" outlineLevel="0" collapsed="false">
      <c r="A664" s="4" t="s">
        <v>6</v>
      </c>
      <c r="B664" s="5" t="s">
        <v>203</v>
      </c>
      <c r="C664" s="6" t="str">
        <f aca="false">HYPERLINK("https://partner.tcgplayer.com/c/6278691/1780961/21018?u=https%3A%2F%2Fwww.tcgplayer.com%2Fproduct%2F515582%3Futm_source%3Dimpact%26utm_medium%3Daffiliate%26utm_campaign%3Dpoke%2Bcottage","Professor's Research (Professor Sada)")</f>
        <v>Professor's Research (Professor Sada)</v>
      </c>
      <c r="D664" s="5" t="s">
        <v>285</v>
      </c>
      <c r="E664" s="5"/>
      <c r="F664" s="5"/>
      <c r="G664" s="5"/>
      <c r="H664" s="7"/>
    </row>
    <row r="665" customFormat="false" ht="30" hidden="false" customHeight="true" outlineLevel="0" collapsed="false">
      <c r="A665" s="4" t="s">
        <v>6</v>
      </c>
      <c r="B665" s="5" t="s">
        <v>203</v>
      </c>
      <c r="C665" s="6" t="str">
        <f aca="false">HYPERLINK("https://partner.tcgplayer.com/c/6278691/1780961/21018?u=https%3A%2F%2Fwww.tcgplayer.com%2Fproduct%2F556953%3Futm_source%3Dimpact%26utm_medium%3Daffiliate%26utm_campaign%3Dpoke%2Bcottage","Professor's Research (Professor Sada)")</f>
        <v>Professor's Research (Professor Sada)</v>
      </c>
      <c r="D665" s="5" t="s">
        <v>364</v>
      </c>
      <c r="E665" s="5"/>
      <c r="F665" s="5"/>
      <c r="G665" s="5"/>
      <c r="H665" s="7"/>
    </row>
    <row r="666" customFormat="false" ht="30" hidden="false" customHeight="true" outlineLevel="0" collapsed="false">
      <c r="A666" s="4" t="s">
        <v>6</v>
      </c>
      <c r="B666" s="5" t="s">
        <v>203</v>
      </c>
      <c r="C666" s="6" t="str">
        <f aca="false">HYPERLINK("https://partner.tcgplayer.com/c/6278691/1780961/21018?u=https%3A%2F%2Fwww.tcgplayer.com%2Fproduct%2F515582%3Futm_source%3Dimpact%26utm_medium%3Daffiliate%26utm_campaign%3Dpoke%2Bcottage","Professor's Research (Professor Sada)")</f>
        <v>Professor's Research (Professor Sada)</v>
      </c>
      <c r="D666" s="5" t="s">
        <v>326</v>
      </c>
      <c r="E666" s="5"/>
      <c r="F666" s="5"/>
      <c r="G666" s="5"/>
      <c r="H666" s="7"/>
    </row>
    <row r="667" customFormat="false" ht="30" hidden="false" customHeight="true" outlineLevel="0" collapsed="false">
      <c r="A667" s="4" t="s">
        <v>6</v>
      </c>
      <c r="B667" s="5" t="s">
        <v>203</v>
      </c>
      <c r="C667" s="6" t="str">
        <f aca="false">HYPERLINK("https://partner.tcgplayer.com/c/6278691/1780961/21018?u=https%3A%2F%2Fwww.tcgplayer.com%2Fproduct%2F542058%3Futm_source%3Dimpact%26utm_medium%3Daffiliate%26utm_campaign%3Dpoke%2Bcottage","Professor's Research (Professor Sada)")</f>
        <v>Professor's Research (Professor Sada)</v>
      </c>
      <c r="D667" s="5" t="s">
        <v>340</v>
      </c>
      <c r="E667" s="5"/>
      <c r="F667" s="5"/>
      <c r="G667" s="5"/>
      <c r="H667" s="7"/>
    </row>
    <row r="668" customFormat="false" ht="30" hidden="false" customHeight="true" outlineLevel="0" collapsed="false">
      <c r="A668" s="4" t="s">
        <v>6</v>
      </c>
      <c r="B668" s="5" t="s">
        <v>204</v>
      </c>
      <c r="C668" s="6" t="str">
        <f aca="false">HYPERLINK("https://partner.tcgplayer.com/c/6278691/1780961/21018?u=https%3A%2F%2Fwww.tcgplayer.com%2Fproduct%2F494957%3Futm_source%3Dimpact%26utm_medium%3Daffiliate%26utm_campaign%3Dpoke%2Bcottage","Professor's Research (Professor Turo)")</f>
        <v>Professor's Research (Professor Turo)</v>
      </c>
      <c r="D668" s="5" t="s">
        <v>313</v>
      </c>
      <c r="E668" s="5"/>
      <c r="F668" s="5"/>
      <c r="G668" s="5"/>
      <c r="H668" s="7"/>
    </row>
    <row r="669" customFormat="false" ht="30" hidden="false" customHeight="true" outlineLevel="0" collapsed="false">
      <c r="A669" s="4" t="s">
        <v>6</v>
      </c>
      <c r="B669" s="5" t="s">
        <v>204</v>
      </c>
      <c r="C669" s="6" t="str">
        <f aca="false">HYPERLINK("https://partner.tcgplayer.com/c/6278691/1780961/21018?u=https%3A%2F%2Fwww.tcgplayer.com%2Fproduct%2F515583%3Futm_source%3Dimpact%26utm_medium%3Daffiliate%26utm_campaign%3Dpoke%2Bcottage","Professor's Research (Professor Turo)")</f>
        <v>Professor's Research (Professor Turo)</v>
      </c>
      <c r="D669" s="5" t="s">
        <v>285</v>
      </c>
      <c r="E669" s="5"/>
      <c r="F669" s="5"/>
      <c r="G669" s="5"/>
      <c r="H669" s="7"/>
    </row>
    <row r="670" customFormat="false" ht="30" hidden="false" customHeight="true" outlineLevel="0" collapsed="false">
      <c r="A670" s="4" t="s">
        <v>6</v>
      </c>
      <c r="B670" s="5" t="s">
        <v>204</v>
      </c>
      <c r="C670" s="6" t="str">
        <f aca="false">HYPERLINK("https://partner.tcgplayer.com/c/6278691/1780961/21018?u=https%3A%2F%2Fwww.tcgplayer.com%2Fproduct%2F556957%3Futm_source%3Dimpact%26utm_medium%3Daffiliate%26utm_campaign%3Dpoke%2Bcottage","Professor's Research (Professor Turo)")</f>
        <v>Professor's Research (Professor Turo)</v>
      </c>
      <c r="D670" s="5" t="s">
        <v>364</v>
      </c>
      <c r="E670" s="5"/>
      <c r="F670" s="5"/>
      <c r="G670" s="5"/>
      <c r="H670" s="7"/>
    </row>
    <row r="671" customFormat="false" ht="30" hidden="false" customHeight="true" outlineLevel="0" collapsed="false">
      <c r="A671" s="4" t="s">
        <v>6</v>
      </c>
      <c r="B671" s="5" t="s">
        <v>204</v>
      </c>
      <c r="C671" s="6" t="str">
        <f aca="false">HYPERLINK("https://partner.tcgplayer.com/c/6278691/1780961/21018?u=https%3A%2F%2Fwww.tcgplayer.com%2Fproduct%2F515583%3Futm_source%3Dimpact%26utm_medium%3Daffiliate%26utm_campaign%3Dpoke%2Bcottage","Professor's Research (Professor Turo)")</f>
        <v>Professor's Research (Professor Turo)</v>
      </c>
      <c r="D671" s="5" t="s">
        <v>326</v>
      </c>
      <c r="E671" s="5"/>
      <c r="F671" s="5"/>
      <c r="G671" s="5"/>
      <c r="H671" s="7"/>
    </row>
    <row r="672" customFormat="false" ht="30" hidden="false" customHeight="true" outlineLevel="0" collapsed="false">
      <c r="A672" s="4" t="s">
        <v>6</v>
      </c>
      <c r="B672" s="5" t="s">
        <v>204</v>
      </c>
      <c r="C672" s="6" t="str">
        <f aca="false">HYPERLINK("https://partner.tcgplayer.com/c/6278691/1780961/21018?u=https%3A%2F%2Fwww.tcgplayer.com%2Fproduct%2F541787%3Futm_source%3Dimpact%26utm_medium%3Daffiliate%26utm_campaign%3Dpoke%2Bcottage","Professor's Research (Professor Turo)")</f>
        <v>Professor's Research (Professor Turo)</v>
      </c>
      <c r="D672" s="5" t="s">
        <v>384</v>
      </c>
      <c r="E672" s="5"/>
      <c r="F672" s="5"/>
      <c r="G672" s="5"/>
      <c r="H672" s="7"/>
    </row>
    <row r="673" customFormat="false" ht="30" hidden="false" customHeight="true" outlineLevel="0" collapsed="false">
      <c r="A673" s="4" t="s">
        <v>6</v>
      </c>
      <c r="B673" s="5" t="s">
        <v>204</v>
      </c>
      <c r="C673" s="6" t="str">
        <f aca="false">HYPERLINK("https://partner.tcgplayer.com/c/6278691/1780961/21018?u=https%3A%2F%2Fwww.tcgplayer.com%2Fproduct%2F641172%3Futm_source%3Dimpact%26utm_medium%3Daffiliate%26utm_campaign%3Dpoke%2Bcottage","Professor's Research (Professor Turo)")</f>
        <v>Professor's Research (Professor Turo)</v>
      </c>
      <c r="D673" s="5" t="s">
        <v>360</v>
      </c>
      <c r="E673" s="5"/>
      <c r="F673" s="5"/>
      <c r="G673" s="5"/>
      <c r="H673" s="7"/>
    </row>
    <row r="674" customFormat="false" ht="30" hidden="false" customHeight="true" outlineLevel="0" collapsed="false">
      <c r="A674" s="4" t="s">
        <v>6</v>
      </c>
      <c r="B674" s="5" t="s">
        <v>204</v>
      </c>
      <c r="C674" s="6" t="str">
        <f aca="false">HYPERLINK("https://partner.tcgplayer.com/c/6278691/1780961/21018?u=https%3A%2F%2Fwww.tcgplayer.com%2Fproduct%2F637565%3Futm_source%3Dimpact%26utm_medium%3Daffiliate%26utm_campaign%3Dpoke%2Bcottage","Professor's Research (Professor Turo)")</f>
        <v>Professor's Research (Professor Turo)</v>
      </c>
      <c r="D674" s="5" t="s">
        <v>346</v>
      </c>
      <c r="E674" s="5"/>
      <c r="F674" s="5"/>
      <c r="G674" s="5"/>
      <c r="H674" s="7"/>
    </row>
    <row r="675" customFormat="false" ht="30" hidden="false" customHeight="true" outlineLevel="0" collapsed="false">
      <c r="A675" s="4" t="s">
        <v>6</v>
      </c>
      <c r="B675" s="5" t="s">
        <v>204</v>
      </c>
      <c r="C675" s="6" t="str">
        <f aca="false">HYPERLINK("https://partner.tcgplayer.com/c/6278691/1780961/21018?u=https%3A%2F%2Fwww.tcgplayer.com%2Fproduct%2F637571%3Futm_source%3Dimpact%26utm_medium%3Daffiliate%26utm_campaign%3Dpoke%2Bcottage","Professor's Research (Professor Turo)")</f>
        <v>Professor's Research (Professor Turo)</v>
      </c>
      <c r="D675" s="5" t="s">
        <v>334</v>
      </c>
      <c r="E675" s="5"/>
      <c r="F675" s="5"/>
      <c r="G675" s="5"/>
      <c r="H675" s="7"/>
    </row>
    <row r="676" customFormat="false" ht="30" hidden="false" customHeight="true" outlineLevel="0" collapsed="false">
      <c r="A676" s="4" t="s">
        <v>6</v>
      </c>
      <c r="B676" s="5" t="s">
        <v>205</v>
      </c>
      <c r="C676" s="6" t="str">
        <f aca="false">HYPERLINK("https://partner.tcgplayer.com/c/6278691/1780961/21018?u=https%3A%2F%2Fwww.tcgplayer.com%2Fproduct%2F515504%3Futm_source%3Dimpact%26utm_medium%3Daffiliate%26utm_campaign%3Dpoke%2Bcottage","Rare Candy")</f>
        <v>Rare Candy</v>
      </c>
      <c r="D676" s="5" t="s">
        <v>285</v>
      </c>
      <c r="E676" s="5"/>
      <c r="F676" s="5"/>
      <c r="G676" s="5"/>
      <c r="H676" s="7"/>
    </row>
    <row r="677" customFormat="false" ht="30" hidden="false" customHeight="true" outlineLevel="0" collapsed="false">
      <c r="A677" s="4" t="s">
        <v>6</v>
      </c>
      <c r="B677" s="5" t="s">
        <v>205</v>
      </c>
      <c r="C677" s="6" t="str">
        <f aca="false">HYPERLINK("https://partner.tcgplayer.com/c/6278691/1780961/21018?u=https%3A%2F%2Fwww.tcgplayer.com%2Fproduct%2F515504%3Futm_source%3Dimpact%26utm_medium%3Daffiliate%26utm_campaign%3Dpoke%2Bcottage","Rare Candy")</f>
        <v>Rare Candy</v>
      </c>
      <c r="D677" s="5" t="s">
        <v>326</v>
      </c>
      <c r="E677" s="5"/>
      <c r="F677" s="5"/>
      <c r="G677" s="5"/>
      <c r="H677" s="7"/>
    </row>
    <row r="678" customFormat="false" ht="30" hidden="false" customHeight="true" outlineLevel="0" collapsed="false">
      <c r="A678" s="4" t="s">
        <v>6</v>
      </c>
      <c r="B678" s="5" t="s">
        <v>205</v>
      </c>
      <c r="C678" s="6" t="str">
        <f aca="false">HYPERLINK("https://partner.tcgplayer.com/c/6278691/1780961/21018?u=https%3A%2F%2Fwww.tcgplayer.com%2Fproduct%2F542063%3Futm_source%3Dimpact%26utm_medium%3Daffiliate%26utm_campaign%3Dpoke%2Bcottage","Rare Candy")</f>
        <v>Rare Candy</v>
      </c>
      <c r="D678" s="5" t="s">
        <v>340</v>
      </c>
      <c r="E678" s="5"/>
      <c r="F678" s="5"/>
      <c r="G678" s="5"/>
      <c r="H678" s="7"/>
    </row>
    <row r="679" customFormat="false" ht="30" hidden="false" customHeight="true" outlineLevel="0" collapsed="false">
      <c r="A679" s="4" t="s">
        <v>6</v>
      </c>
      <c r="B679" s="5" t="s">
        <v>205</v>
      </c>
      <c r="C679" s="6" t="str">
        <f aca="false">HYPERLINK("https://partner.tcgplayer.com/c/6278691/1780961/21018?u=https%3A%2F%2Fwww.tcgplayer.com%2Fproduct%2F689036%3Futm_source%3Dimpact%26utm_medium%3Daffiliate%26utm_campaign%3Dpoke%2Bcottage","Rare Candy")</f>
        <v>Rare Candy</v>
      </c>
      <c r="D679" s="5" t="s">
        <v>338</v>
      </c>
      <c r="E679" s="5"/>
      <c r="F679" s="5"/>
      <c r="G679" s="5"/>
      <c r="H679" s="7"/>
    </row>
    <row r="680" customFormat="false" ht="30" hidden="false" customHeight="true" outlineLevel="0" collapsed="false">
      <c r="A680" s="4" t="s">
        <v>6</v>
      </c>
      <c r="B680" s="5" t="s">
        <v>205</v>
      </c>
      <c r="C680" s="6" t="str">
        <f aca="false">HYPERLINK("https://partner.tcgplayer.com/c/6278691/1780961/21018?u=https%3A%2F%2Fwww.tcgplayer.com%2Fproduct%2F690509%3Futm_source%3Dimpact%26utm_medium%3Daffiliate%26utm_campaign%3Dpoke%2Bcottage","Rare Candy")</f>
        <v>Rare Candy</v>
      </c>
      <c r="D680" s="5" t="s">
        <v>347</v>
      </c>
      <c r="E680" s="5"/>
      <c r="F680" s="5"/>
      <c r="G680" s="5"/>
      <c r="H680" s="7"/>
    </row>
    <row r="681" customFormat="false" ht="30" hidden="false" customHeight="true" outlineLevel="0" collapsed="false">
      <c r="A681" s="4" t="s">
        <v>6</v>
      </c>
      <c r="B681" s="5" t="s">
        <v>208</v>
      </c>
      <c r="C681" s="6" t="str">
        <f aca="false">HYPERLINK("https://partner.tcgplayer.com/c/6278691/1780961/21018?u=https%3A%2F%2Fwww.tcgplayer.com%2Fproduct%2F515508%3Futm_source%3Dimpact%26utm_medium%3Daffiliate%26utm_campaign%3Dpoke%2Bcottage","Switch")</f>
        <v>Switch</v>
      </c>
      <c r="D681" s="5" t="s">
        <v>285</v>
      </c>
      <c r="E681" s="5"/>
      <c r="F681" s="5"/>
      <c r="G681" s="5"/>
      <c r="H681" s="7"/>
    </row>
    <row r="682" customFormat="false" ht="30" hidden="false" customHeight="true" outlineLevel="0" collapsed="false">
      <c r="A682" s="4" t="s">
        <v>6</v>
      </c>
      <c r="B682" s="5" t="s">
        <v>208</v>
      </c>
      <c r="C682" s="6" t="str">
        <f aca="false">HYPERLINK("https://partner.tcgplayer.com/c/6278691/1780961/21018?u=https%3A%2F%2Fwww.tcgplayer.com%2Fproduct%2F515508%3Futm_source%3Dimpact%26utm_medium%3Daffiliate%26utm_campaign%3Dpoke%2Bcottage","Switch")</f>
        <v>Switch</v>
      </c>
      <c r="D682" s="5" t="s">
        <v>326</v>
      </c>
      <c r="E682" s="5"/>
      <c r="F682" s="5"/>
      <c r="G682" s="5"/>
      <c r="H682" s="7"/>
    </row>
    <row r="683" customFormat="false" ht="30" hidden="false" customHeight="true" outlineLevel="0" collapsed="false">
      <c r="A683" s="4" t="s">
        <v>6</v>
      </c>
      <c r="B683" s="5" t="s">
        <v>208</v>
      </c>
      <c r="C683" s="6" t="str">
        <f aca="false">HYPERLINK("https://partner.tcgplayer.com/c/6278691/1780961/21018?u=https%3A%2F%2Fwww.tcgplayer.com%2Fproduct%2F557068%3Futm_source%3Dimpact%26utm_medium%3Daffiliate%26utm_campaign%3Dpoke%2Bcottage","Switch #40")</f>
        <v>Switch #40</v>
      </c>
      <c r="D683" s="5" t="s">
        <v>390</v>
      </c>
      <c r="E683" s="5"/>
      <c r="F683" s="5"/>
      <c r="G683" s="5"/>
      <c r="H683" s="7"/>
    </row>
    <row r="684" customFormat="false" ht="30" hidden="false" customHeight="true" outlineLevel="0" collapsed="false">
      <c r="A684" s="4" t="s">
        <v>6</v>
      </c>
      <c r="B684" s="5" t="s">
        <v>208</v>
      </c>
      <c r="C684" s="6" t="str">
        <f aca="false">HYPERLINK("https://partner.tcgplayer.com/c/6278691/1780961/21018?u=https%3A%2F%2Fwww.tcgplayer.com%2Fproduct%2F557069%3Futm_source%3Dimpact%26utm_medium%3Daffiliate%26utm_campaign%3Dpoke%2Bcottage","Switch #58")</f>
        <v>Switch #58</v>
      </c>
      <c r="D684" s="5" t="s">
        <v>391</v>
      </c>
      <c r="E684" s="5"/>
      <c r="F684" s="5"/>
      <c r="G684" s="5"/>
      <c r="H684" s="7"/>
    </row>
    <row r="685" customFormat="false" ht="30" hidden="false" customHeight="true" outlineLevel="0" collapsed="false">
      <c r="A685" s="4" t="s">
        <v>6</v>
      </c>
      <c r="B685" s="5" t="s">
        <v>208</v>
      </c>
      <c r="C685" s="6" t="str">
        <f aca="false">HYPERLINK("https://partner.tcgplayer.com/c/6278691/1780961/21018?u=https%3A%2F%2Fwww.tcgplayer.com%2Fproduct%2F556893%3Futm_source%3Dimpact%26utm_medium%3Daffiliate%26utm_campaign%3Dpoke%2Bcottage","Switch")</f>
        <v>Switch</v>
      </c>
      <c r="D685" s="5" t="s">
        <v>351</v>
      </c>
      <c r="E685" s="5"/>
      <c r="F685" s="5"/>
      <c r="G685" s="5"/>
      <c r="H685" s="7"/>
    </row>
    <row r="686" customFormat="false" ht="30" hidden="false" customHeight="true" outlineLevel="0" collapsed="false">
      <c r="A686" s="4" t="s">
        <v>6</v>
      </c>
      <c r="B686" s="5" t="s">
        <v>208</v>
      </c>
      <c r="C686" s="6" t="str">
        <f aca="false">HYPERLINK("https://partner.tcgplayer.com/c/6278691/1780961/21018?u=https%3A%2F%2Fwww.tcgplayer.com%2Fproduct%2F556928%3Futm_source%3Dimpact%26utm_medium%3Daffiliate%26utm_campaign%3Dpoke%2Bcottage","Switch #36")</f>
        <v>Switch #36</v>
      </c>
      <c r="D686" s="5" t="s">
        <v>392</v>
      </c>
      <c r="E686" s="5"/>
      <c r="F686" s="5"/>
      <c r="G686" s="5"/>
      <c r="H686" s="7"/>
    </row>
    <row r="687" customFormat="false" ht="30" hidden="false" customHeight="true" outlineLevel="0" collapsed="false">
      <c r="A687" s="4" t="s">
        <v>6</v>
      </c>
      <c r="B687" s="5" t="s">
        <v>208</v>
      </c>
      <c r="C687" s="6" t="str">
        <f aca="false">HYPERLINK("https://partner.tcgplayer.com/c/6278691/1780961/21018?u=https%3A%2F%2Fwww.tcgplayer.com%2Fproduct%2F556931%3Futm_source%3Dimpact%26utm_medium%3Daffiliate%26utm_campaign%3Dpoke%2Bcottage","Switch #52")</f>
        <v>Switch #52</v>
      </c>
      <c r="D687" s="5" t="s">
        <v>393</v>
      </c>
      <c r="E687" s="5"/>
      <c r="F687" s="5"/>
      <c r="G687" s="5"/>
      <c r="H687" s="7"/>
    </row>
    <row r="688" customFormat="false" ht="30" hidden="false" customHeight="true" outlineLevel="0" collapsed="false">
      <c r="A688" s="4" t="s">
        <v>6</v>
      </c>
      <c r="B688" s="5" t="s">
        <v>208</v>
      </c>
      <c r="C688" s="6" t="str">
        <f aca="false">HYPERLINK("https://partner.tcgplayer.com/c/6278691/1780961/21018?u=https%3A%2F%2Fwww.tcgplayer.com%2Fproduct%2F637569%3Futm_source%3Dimpact%26utm_medium%3Daffiliate%26utm_campaign%3Dpoke%2Bcottage","Switch")</f>
        <v>Switch</v>
      </c>
      <c r="D688" s="5" t="s">
        <v>346</v>
      </c>
      <c r="E688" s="5"/>
      <c r="F688" s="5"/>
      <c r="G688" s="5"/>
      <c r="H688" s="7"/>
    </row>
    <row r="689" customFormat="false" ht="30" hidden="false" customHeight="true" outlineLevel="0" collapsed="false">
      <c r="A689" s="4" t="s">
        <v>6</v>
      </c>
      <c r="B689" s="5" t="s">
        <v>209</v>
      </c>
      <c r="C689" s="6" t="str">
        <f aca="false">HYPERLINK("https://partner.tcgplayer.com/c/6278691/1780961/21018?u=https%3A%2F%2Fwww.tcgplayer.com%2Fproduct%2F515589%3Futm_source%3Dimpact%26utm_medium%3Daffiliate%26utm_campaign%3Dpoke%2Bcottage","Team Star Grunt")</f>
        <v>Team Star Grunt</v>
      </c>
      <c r="D689" s="5" t="s">
        <v>285</v>
      </c>
      <c r="E689" s="5"/>
      <c r="F689" s="5"/>
      <c r="G689" s="5"/>
      <c r="H689" s="7"/>
    </row>
    <row r="690" customFormat="false" ht="30" hidden="false" customHeight="true" outlineLevel="0" collapsed="false">
      <c r="A690" s="4" t="s">
        <v>6</v>
      </c>
      <c r="B690" s="5" t="s">
        <v>210</v>
      </c>
      <c r="C690" s="6" t="str">
        <f aca="false">HYPERLINK("https://partner.tcgplayer.com/c/6278691/1780961/21018?u=https%3A%2F%2Fwww.tcgplayer.com%2Fproduct%2F515513%3Futm_source%3Dimpact%26utm_medium%3Daffiliate%26utm_campaign%3Dpoke%2Bcottage","Ultra Ball")</f>
        <v>Ultra Ball</v>
      </c>
      <c r="D690" s="5" t="s">
        <v>285</v>
      </c>
      <c r="E690" s="5"/>
      <c r="F690" s="5"/>
      <c r="G690" s="5"/>
      <c r="H690" s="7"/>
    </row>
    <row r="691" customFormat="false" ht="30" hidden="false" customHeight="true" outlineLevel="0" collapsed="false">
      <c r="A691" s="4" t="s">
        <v>6</v>
      </c>
      <c r="B691" s="5" t="s">
        <v>210</v>
      </c>
      <c r="C691" s="6" t="str">
        <f aca="false">HYPERLINK("https://partner.tcgplayer.com/c/6278691/1780961/21018?u=https%3A%2F%2Fwww.tcgplayer.com%2Fproduct%2F515513%3Futm_source%3Dimpact%26utm_medium%3Daffiliate%26utm_campaign%3Dpoke%2Bcottage","Ultra Ball")</f>
        <v>Ultra Ball</v>
      </c>
      <c r="D691" s="5" t="s">
        <v>326</v>
      </c>
      <c r="E691" s="5"/>
      <c r="F691" s="5"/>
      <c r="G691" s="5"/>
      <c r="H691" s="7"/>
    </row>
    <row r="692" customFormat="false" ht="30" hidden="false" customHeight="true" outlineLevel="0" collapsed="false">
      <c r="A692" s="4" t="s">
        <v>6</v>
      </c>
      <c r="B692" s="5" t="s">
        <v>210</v>
      </c>
      <c r="C692" s="6" t="str">
        <f aca="false">HYPERLINK("https://partner.tcgplayer.com/c/6278691/1780961/21018?u=https%3A%2F%2Fwww.tcgplayer.com%2Fproduct%2F541795%3Futm_source%3Dimpact%26utm_medium%3Daffiliate%26utm_campaign%3Dpoke%2Bcottage","Ultra Ball")</f>
        <v>Ultra Ball</v>
      </c>
      <c r="D692" s="5" t="s">
        <v>384</v>
      </c>
      <c r="E692" s="5"/>
      <c r="F692" s="5"/>
      <c r="G692" s="5"/>
      <c r="H692" s="7"/>
    </row>
    <row r="693" customFormat="false" ht="30" hidden="false" customHeight="true" outlineLevel="0" collapsed="false">
      <c r="A693" s="4" t="s">
        <v>6</v>
      </c>
      <c r="B693" s="5" t="s">
        <v>210</v>
      </c>
      <c r="C693" s="6" t="str">
        <f aca="false">HYPERLINK("https://partner.tcgplayer.com/c/6278691/1780961/21018?u=https%3A%2F%2Fwww.tcgplayer.com%2Fproduct%2F541826%3Futm_source%3Dimpact%26utm_medium%3Daffiliate%26utm_campaign%3Dpoke%2Bcottage","Ultra Ball")</f>
        <v>Ultra Ball</v>
      </c>
      <c r="D693" s="5" t="s">
        <v>365</v>
      </c>
      <c r="E693" s="5"/>
      <c r="F693" s="5"/>
      <c r="G693" s="5"/>
      <c r="H693" s="7"/>
    </row>
    <row r="694" customFormat="false" ht="30" hidden="false" customHeight="true" outlineLevel="0" collapsed="false">
      <c r="A694" s="4" t="s">
        <v>6</v>
      </c>
      <c r="B694" s="5" t="s">
        <v>210</v>
      </c>
      <c r="C694" s="6" t="str">
        <f aca="false">HYPERLINK("https://partner.tcgplayer.com/c/6278691/1780961/21018?u=https%3A%2F%2Fwww.tcgplayer.com%2Fproduct%2F542064%3Futm_source%3Dimpact%26utm_medium%3Daffiliate%26utm_campaign%3Dpoke%2Bcottage","Ultra Ball")</f>
        <v>Ultra Ball</v>
      </c>
      <c r="D694" s="5" t="s">
        <v>340</v>
      </c>
      <c r="E694" s="5"/>
      <c r="F694" s="5"/>
      <c r="G694" s="5"/>
      <c r="H694" s="7"/>
    </row>
    <row r="695" customFormat="false" ht="30" hidden="false" customHeight="true" outlineLevel="0" collapsed="false">
      <c r="A695" s="4" t="s">
        <v>6</v>
      </c>
      <c r="B695" s="5" t="s">
        <v>210</v>
      </c>
      <c r="C695" s="6" t="str">
        <f aca="false">HYPERLINK("https://partner.tcgplayer.com/c/6278691/1780961/21018?u=https%3A%2F%2Fwww.tcgplayer.com%2Fproduct%2F637562%3Futm_source%3Dimpact%26utm_medium%3Daffiliate%26utm_campaign%3Dpoke%2Bcottage","Ultra Ball")</f>
        <v>Ultra Ball</v>
      </c>
      <c r="D695" s="5" t="s">
        <v>361</v>
      </c>
      <c r="E695" s="5"/>
      <c r="F695" s="5"/>
      <c r="G695" s="5"/>
      <c r="H695" s="7"/>
    </row>
    <row r="696" customFormat="false" ht="30" hidden="false" customHeight="true" outlineLevel="0" collapsed="false">
      <c r="A696" s="4" t="s">
        <v>6</v>
      </c>
      <c r="B696" s="5" t="s">
        <v>210</v>
      </c>
      <c r="C696" s="6" t="str">
        <f aca="false">HYPERLINK("https://partner.tcgplayer.com/c/6278691/1780961/21018?u=https%3A%2F%2Fwww.tcgplayer.com%2Fproduct%2F637566%3Futm_source%3Dimpact%26utm_medium%3Daffiliate%26utm_campaign%3Dpoke%2Bcottage","Ultra Ball")</f>
        <v>Ultra Ball</v>
      </c>
      <c r="D696" s="5" t="s">
        <v>346</v>
      </c>
      <c r="E696" s="5"/>
      <c r="F696" s="5"/>
      <c r="G696" s="5"/>
      <c r="H696" s="7"/>
    </row>
    <row r="697" customFormat="false" ht="30" hidden="false" customHeight="true" outlineLevel="0" collapsed="false">
      <c r="A697" s="4" t="s">
        <v>6</v>
      </c>
      <c r="B697" s="5" t="s">
        <v>210</v>
      </c>
      <c r="C697" s="6" t="str">
        <f aca="false">HYPERLINK("https://partner.tcgplayer.com/c/6278691/1780961/21018?u=https%3A%2F%2Fwww.tcgplayer.com%2Fproduct%2F637574%3Futm_source%3Dimpact%26utm_medium%3Daffiliate%26utm_campaign%3Dpoke%2Bcottage","Ultra Ball")</f>
        <v>Ultra Ball</v>
      </c>
      <c r="D697" s="5" t="s">
        <v>334</v>
      </c>
      <c r="E697" s="5"/>
      <c r="F697" s="5"/>
      <c r="G697" s="5"/>
      <c r="H697" s="7"/>
    </row>
    <row r="698" customFormat="false" ht="30" hidden="false" customHeight="true" outlineLevel="0" collapsed="false">
      <c r="A698" s="4" t="s">
        <v>6</v>
      </c>
      <c r="B698" s="5" t="s">
        <v>210</v>
      </c>
      <c r="C698" s="6" t="str">
        <f aca="false">HYPERLINK("https://partner.tcgplayer.com/c/6278691/1780961/21018?u=https%3A%2F%2Fwww.tcgplayer.com%2Fproduct%2F689028%3Futm_source%3Dimpact%26utm_medium%3Daffiliate%26utm_campaign%3Dpoke%2Bcottage","Ultra Ball")</f>
        <v>Ultra Ball</v>
      </c>
      <c r="D698" s="5" t="s">
        <v>338</v>
      </c>
      <c r="E698" s="5"/>
      <c r="F698" s="5"/>
      <c r="G698" s="5"/>
      <c r="H698" s="7"/>
    </row>
    <row r="699" customFormat="false" ht="30" hidden="false" customHeight="true" outlineLevel="0" collapsed="false">
      <c r="A699" s="4" t="s">
        <v>6</v>
      </c>
      <c r="B699" s="5" t="s">
        <v>210</v>
      </c>
      <c r="C699" s="6" t="str">
        <f aca="false">HYPERLINK("https://partner.tcgplayer.com/c/6278691/1780961/21018?u=https%3A%2F%2Fwww.tcgplayer.com%2Fproduct%2F690475%3Futm_source%3Dimpact%26utm_medium%3Daffiliate%26utm_campaign%3Dpoke%2Bcottage","Ultra Ball")</f>
        <v>Ultra Ball</v>
      </c>
      <c r="D699" s="5" t="s">
        <v>363</v>
      </c>
      <c r="E699" s="5"/>
      <c r="F699" s="5"/>
      <c r="G699" s="5"/>
      <c r="H699" s="7"/>
    </row>
    <row r="700" customFormat="false" ht="30" hidden="false" customHeight="true" outlineLevel="0" collapsed="false">
      <c r="A700" s="4" t="s">
        <v>6</v>
      </c>
      <c r="B700" s="5" t="s">
        <v>210</v>
      </c>
      <c r="C700" s="6" t="str">
        <f aca="false">HYPERLINK("https://partner.tcgplayer.com/c/6278691/1780961/21018?u=https%3A%2F%2Fwww.tcgplayer.com%2Fproduct%2F690505%3Futm_source%3Dimpact%26utm_medium%3Daffiliate%26utm_campaign%3Dpoke%2Bcottage","Ultra Ball")</f>
        <v>Ultra Ball</v>
      </c>
      <c r="D700" s="5" t="s">
        <v>347</v>
      </c>
      <c r="E700" s="5"/>
      <c r="F700" s="5"/>
      <c r="G700" s="5"/>
      <c r="H700" s="7"/>
    </row>
    <row r="701" customFormat="false" ht="30" hidden="false" customHeight="true" outlineLevel="0" collapsed="false">
      <c r="A701" s="4" t="s">
        <v>6</v>
      </c>
      <c r="B701" s="5" t="s">
        <v>212</v>
      </c>
      <c r="C701" s="6" t="str">
        <f aca="false">HYPERLINK("https://partner.tcgplayer.com/c/6278691/1780961/21018?u=https%3A%2F%2Fwww.tcgplayer.com%2Fproduct%2F557073%3Futm_source%3Dimpact%26utm_medium%3Daffiliate%26utm_campaign%3Dpoke%2Bcottage","Youngster #18")</f>
        <v>Youngster #18</v>
      </c>
      <c r="D701" s="5" t="s">
        <v>394</v>
      </c>
      <c r="E701" s="5"/>
      <c r="F701" s="5"/>
      <c r="G701" s="5"/>
      <c r="H701" s="7"/>
    </row>
    <row r="702" customFormat="false" ht="30" hidden="false" customHeight="true" outlineLevel="0" collapsed="false">
      <c r="A702" s="4" t="s">
        <v>6</v>
      </c>
      <c r="B702" s="5" t="s">
        <v>212</v>
      </c>
      <c r="C702" s="6" t="str">
        <f aca="false">HYPERLINK("https://partner.tcgplayer.com/c/6278691/1780961/21018?u=https%3A%2F%2Fwww.tcgplayer.com%2Fproduct%2F557074%3Futm_source%3Dimpact%26utm_medium%3Daffiliate%26utm_campaign%3Dpoke%2Bcottage","Youngster #50")</f>
        <v>Youngster #50</v>
      </c>
      <c r="D702" s="5" t="s">
        <v>395</v>
      </c>
      <c r="E702" s="5"/>
      <c r="F702" s="5"/>
      <c r="G702" s="5"/>
      <c r="H702" s="7"/>
    </row>
    <row r="703" customFormat="false" ht="30" hidden="false" customHeight="true" outlineLevel="0" collapsed="false">
      <c r="A703" s="4" t="s">
        <v>6</v>
      </c>
      <c r="B703" s="5" t="s">
        <v>212</v>
      </c>
      <c r="C703" s="6" t="str">
        <f aca="false">HYPERLINK("https://partner.tcgplayer.com/c/6278691/1780961/21018?u=https%3A%2F%2Fwww.tcgplayer.com%2Fproduct%2F557075%3Futm_source%3Dimpact%26utm_medium%3Daffiliate%26utm_campaign%3Dpoke%2Bcottage","Youngster #59")</f>
        <v>Youngster #59</v>
      </c>
      <c r="D703" s="5" t="s">
        <v>396</v>
      </c>
      <c r="E703" s="5"/>
      <c r="F703" s="5"/>
      <c r="G703" s="5"/>
      <c r="H703" s="7"/>
    </row>
    <row r="704" customFormat="false" ht="30" hidden="false" customHeight="true" outlineLevel="0" collapsed="false">
      <c r="A704" s="4" t="s">
        <v>6</v>
      </c>
      <c r="B704" s="5" t="s">
        <v>212</v>
      </c>
      <c r="C704" s="6" t="str">
        <f aca="false">HYPERLINK("https://partner.tcgplayer.com/c/6278691/1780961/21018?u=https%3A%2F%2Fwww.tcgplayer.com%2Fproduct%2F556909%3Futm_source%3Dimpact%26utm_medium%3Daffiliate%26utm_campaign%3Dpoke%2Bcottage","Youngster")</f>
        <v>Youngster</v>
      </c>
      <c r="D704" s="5" t="s">
        <v>351</v>
      </c>
      <c r="E704" s="5"/>
      <c r="F704" s="5"/>
      <c r="G704" s="5"/>
      <c r="H704" s="7"/>
    </row>
    <row r="705" customFormat="false" ht="30" hidden="false" customHeight="true" outlineLevel="0" collapsed="false">
      <c r="A705" s="4" t="s">
        <v>6</v>
      </c>
      <c r="B705" s="5" t="s">
        <v>212</v>
      </c>
      <c r="C705" s="6" t="str">
        <f aca="false">HYPERLINK("https://partner.tcgplayer.com/c/6278691/1780961/21018?u=https%3A%2F%2Fwww.tcgplayer.com%2Fproduct%2F556944%3Futm_source%3Dimpact%26utm_medium%3Daffiliate%26utm_campaign%3Dpoke%2Bcottage","Youngster #21")</f>
        <v>Youngster #21</v>
      </c>
      <c r="D705" s="5" t="s">
        <v>397</v>
      </c>
      <c r="E705" s="5"/>
      <c r="F705" s="5"/>
      <c r="G705" s="5"/>
      <c r="H705" s="7"/>
    </row>
    <row r="706" customFormat="false" ht="30" hidden="false" customHeight="true" outlineLevel="0" collapsed="false">
      <c r="A706" s="4" t="s">
        <v>6</v>
      </c>
      <c r="B706" s="5" t="s">
        <v>212</v>
      </c>
      <c r="C706" s="6" t="str">
        <f aca="false">HYPERLINK("https://partner.tcgplayer.com/c/6278691/1780961/21018?u=https%3A%2F%2Fwww.tcgplayer.com%2Fproduct%2F556946%3Futm_source%3Dimpact%26utm_medium%3Daffiliate%26utm_campaign%3Dpoke%2Bcottage","Youngster #50")</f>
        <v>Youngster #50</v>
      </c>
      <c r="D706" s="5" t="s">
        <v>398</v>
      </c>
      <c r="E706" s="5"/>
      <c r="F706" s="5"/>
      <c r="G706" s="5"/>
      <c r="H706" s="7"/>
    </row>
    <row r="707" customFormat="false" ht="30" hidden="false" customHeight="true" outlineLevel="0" collapsed="false">
      <c r="A707" s="4" t="s">
        <v>6</v>
      </c>
      <c r="B707" s="5" t="s">
        <v>212</v>
      </c>
      <c r="C707" s="6" t="str">
        <f aca="false">HYPERLINK("https://partner.tcgplayer.com/c/6278691/1780961/21018?u=https%3A%2F%2Fwww.tcgplayer.com%2Fproduct%2F556947%3Futm_source%3Dimpact%26utm_medium%3Daffiliate%26utm_campaign%3Dpoke%2Bcottage","Youngster #59")</f>
        <v>Youngster #59</v>
      </c>
      <c r="D707" s="5" t="s">
        <v>399</v>
      </c>
      <c r="E707" s="5"/>
      <c r="F707" s="5"/>
      <c r="G707" s="5"/>
      <c r="H707" s="7"/>
    </row>
    <row r="708" customFormat="false" ht="30" hidden="false" customHeight="true" outlineLevel="0" collapsed="false">
      <c r="A708" s="4" t="s">
        <v>6</v>
      </c>
      <c r="B708" s="5" t="s">
        <v>253</v>
      </c>
      <c r="C708" s="5" t="s">
        <v>400</v>
      </c>
      <c r="D708" s="5" t="s">
        <v>364</v>
      </c>
      <c r="E708" s="5"/>
      <c r="F708" s="5" t="str">
        <f aca="false">HYPERLINK("https://www.ebay.com/sch/i.html?_nkw=Katy+Professor+Program+Scarlet+%26+Violet+237+pokemon+card&amp;_sacat=0&amp;_from=R40&amp;_trksid=p4624852.m570.l1313&amp;mkcid=1&amp;mkrid=711-53200-19255-0&amp;siteid=0&amp;campid=5339158445&amp;customid=pokecottage&amp;toolid=10001&amp;mkevt=1","FIND ON EBAY")</f>
        <v>FIND ON EBAY</v>
      </c>
      <c r="G708" s="5"/>
      <c r="H708" s="7"/>
    </row>
    <row r="710" customFormat="false" ht="24" hidden="false" customHeight="true" outlineLevel="0" collapsed="false">
      <c r="A710" s="8" t="s">
        <v>401</v>
      </c>
      <c r="B710" s="8"/>
      <c r="C710" s="8"/>
      <c r="D710" s="8"/>
      <c r="E710" s="8"/>
      <c r="F710" s="8"/>
      <c r="G710" s="8"/>
      <c r="H710" s="8"/>
    </row>
    <row r="711" customFormat="false" ht="24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</row>
  </sheetData>
  <mergeCells count="2">
    <mergeCell ref="A446:H446"/>
    <mergeCell ref="A710:H711"/>
  </mergeCells>
  <dataValidations count="1">
    <dataValidation allowBlank="false" errorStyle="stop" operator="between" showDropDown="false" showErrorMessage="false" showInputMessage="false" sqref="A2:A708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402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HYPERLINK("https://pokecottage.com/scarlet-violet-master-set-guide","Download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403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404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405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403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404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