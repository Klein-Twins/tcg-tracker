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rouded Fable Master Set" sheetId="1" state="visible" r:id="rId3"/>
    <sheet name="FREE Binder Placeholders" sheetId="2" state="visible" r:id="rId4"/>
    <sheet name="More Master Set List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<sst xmlns="http://schemas.openxmlformats.org/spreadsheetml/2006/main" count="837" uniqueCount="169">
  <si>
    <t xml:space="preserve">Owned</t>
  </si>
  <si>
    <t xml:space="preserve">Card #</t>
  </si>
  <si>
    <t xml:space="preserve">Card Name</t>
  </si>
  <si>
    <t xml:space="preserve">Rarity</t>
  </si>
  <si>
    <t xml:space="preserve">Foil</t>
  </si>
  <si>
    <t xml:space="preserve">Master Set</t>
  </si>
  <si>
    <t xml:space="preserve">☐</t>
  </si>
  <si>
    <t xml:space="preserve">001/064</t>
  </si>
  <si>
    <t xml:space="preserve">Common</t>
  </si>
  <si>
    <t xml:space="preserve">Standard</t>
  </si>
  <si>
    <t xml:space="preserve">Grand Master Set</t>
  </si>
  <si>
    <t xml:space="preserve">Reverse Holo</t>
  </si>
  <si>
    <t xml:space="preserve">002/064</t>
  </si>
  <si>
    <t xml:space="preserve">Uncommon</t>
  </si>
  <si>
    <t xml:space="preserve">003/064</t>
  </si>
  <si>
    <t xml:space="preserve">004/064</t>
  </si>
  <si>
    <t xml:space="preserve">005/064</t>
  </si>
  <si>
    <t xml:space="preserve">006/064</t>
  </si>
  <si>
    <t xml:space="preserve">Rare</t>
  </si>
  <si>
    <t xml:space="preserve">Holo</t>
  </si>
  <si>
    <t xml:space="preserve">007/064</t>
  </si>
  <si>
    <t xml:space="preserve">008/064</t>
  </si>
  <si>
    <t xml:space="preserve">009/064</t>
  </si>
  <si>
    <t xml:space="preserve">010/064</t>
  </si>
  <si>
    <t xml:space="preserve">011/064</t>
  </si>
  <si>
    <t xml:space="preserve">012/064</t>
  </si>
  <si>
    <t xml:space="preserve">Double Rare</t>
  </si>
  <si>
    <t xml:space="preserve">013/064</t>
  </si>
  <si>
    <t xml:space="preserve">014/064</t>
  </si>
  <si>
    <t xml:space="preserve">015/064</t>
  </si>
  <si>
    <t xml:space="preserve">016/064</t>
  </si>
  <si>
    <t xml:space="preserve">017/064</t>
  </si>
  <si>
    <t xml:space="preserve">018/064</t>
  </si>
  <si>
    <t xml:space="preserve">019/064</t>
  </si>
  <si>
    <t xml:space="preserve">020/064</t>
  </si>
  <si>
    <t xml:space="preserve">021/064</t>
  </si>
  <si>
    <t xml:space="preserve">022/064</t>
  </si>
  <si>
    <t xml:space="preserve">023/064</t>
  </si>
  <si>
    <t xml:space="preserve">024/064</t>
  </si>
  <si>
    <t xml:space="preserve">025/064</t>
  </si>
  <si>
    <t xml:space="preserve">026/064</t>
  </si>
  <si>
    <t xml:space="preserve">027/064</t>
  </si>
  <si>
    <t xml:space="preserve">028/064</t>
  </si>
  <si>
    <t xml:space="preserve">029/064</t>
  </si>
  <si>
    <t xml:space="preserve">030/064</t>
  </si>
  <si>
    <t xml:space="preserve">031/064</t>
  </si>
  <si>
    <t xml:space="preserve">032/064</t>
  </si>
  <si>
    <t xml:space="preserve">033/064</t>
  </si>
  <si>
    <t xml:space="preserve">034/064</t>
  </si>
  <si>
    <t xml:space="preserve">035/064</t>
  </si>
  <si>
    <t xml:space="preserve">036/064</t>
  </si>
  <si>
    <t xml:space="preserve">037/064</t>
  </si>
  <si>
    <t xml:space="preserve">038/064</t>
  </si>
  <si>
    <t xml:space="preserve">039/064</t>
  </si>
  <si>
    <t xml:space="preserve">040/064</t>
  </si>
  <si>
    <t xml:space="preserve">041/064</t>
  </si>
  <si>
    <t xml:space="preserve">042/064</t>
  </si>
  <si>
    <t xml:space="preserve">043/064</t>
  </si>
  <si>
    <t xml:space="preserve">044/064</t>
  </si>
  <si>
    <t xml:space="preserve">045/064</t>
  </si>
  <si>
    <t xml:space="preserve">046/064</t>
  </si>
  <si>
    <t xml:space="preserve">047/064</t>
  </si>
  <si>
    <t xml:space="preserve">048/064</t>
  </si>
  <si>
    <t xml:space="preserve">049/064</t>
  </si>
  <si>
    <t xml:space="preserve">050/064</t>
  </si>
  <si>
    <t xml:space="preserve">051/064</t>
  </si>
  <si>
    <t xml:space="preserve">052/064</t>
  </si>
  <si>
    <t xml:space="preserve">053/064</t>
  </si>
  <si>
    <t xml:space="preserve">054/064</t>
  </si>
  <si>
    <t xml:space="preserve">055/064</t>
  </si>
  <si>
    <t xml:space="preserve">056/064</t>
  </si>
  <si>
    <t xml:space="preserve">057/064</t>
  </si>
  <si>
    <t xml:space="preserve">058/064</t>
  </si>
  <si>
    <t xml:space="preserve">ACE SPEC Rare</t>
  </si>
  <si>
    <t xml:space="preserve">059/064</t>
  </si>
  <si>
    <t xml:space="preserve">060/064</t>
  </si>
  <si>
    <t xml:space="preserve">061/064</t>
  </si>
  <si>
    <t xml:space="preserve">062/064</t>
  </si>
  <si>
    <t xml:space="preserve">063/064</t>
  </si>
  <si>
    <t xml:space="preserve">064/064</t>
  </si>
  <si>
    <t xml:space="preserve">065/064</t>
  </si>
  <si>
    <t xml:space="preserve">Illustration Rare</t>
  </si>
  <si>
    <t xml:space="preserve">066/064</t>
  </si>
  <si>
    <t xml:space="preserve">067/064</t>
  </si>
  <si>
    <t xml:space="preserve">068/064</t>
  </si>
  <si>
    <t xml:space="preserve">069/064</t>
  </si>
  <si>
    <t xml:space="preserve">070/064</t>
  </si>
  <si>
    <t xml:space="preserve">071/064</t>
  </si>
  <si>
    <t xml:space="preserve">072/064</t>
  </si>
  <si>
    <t xml:space="preserve">073/064</t>
  </si>
  <si>
    <t xml:space="preserve">074/064</t>
  </si>
  <si>
    <t xml:space="preserve">075/064</t>
  </si>
  <si>
    <t xml:space="preserve">076/064</t>
  </si>
  <si>
    <t xml:space="preserve">077/064</t>
  </si>
  <si>
    <t xml:space="preserve">078/064</t>
  </si>
  <si>
    <t xml:space="preserve">079/064</t>
  </si>
  <si>
    <t xml:space="preserve">080/064</t>
  </si>
  <si>
    <t xml:space="preserve">Ultra Rare</t>
  </si>
  <si>
    <t xml:space="preserve">081/064</t>
  </si>
  <si>
    <t xml:space="preserve">082/064</t>
  </si>
  <si>
    <t xml:space="preserve">083/064</t>
  </si>
  <si>
    <t xml:space="preserve">084/064</t>
  </si>
  <si>
    <t xml:space="preserve">085/064</t>
  </si>
  <si>
    <t xml:space="preserve">086/064</t>
  </si>
  <si>
    <t xml:space="preserve">087/064</t>
  </si>
  <si>
    <t xml:space="preserve">088/064</t>
  </si>
  <si>
    <t xml:space="preserve">089/064</t>
  </si>
  <si>
    <t xml:space="preserve">090/064</t>
  </si>
  <si>
    <t xml:space="preserve">Special Illustration Rare</t>
  </si>
  <si>
    <t xml:space="preserve">091/064</t>
  </si>
  <si>
    <t xml:space="preserve">092/064</t>
  </si>
  <si>
    <t xml:space="preserve">093/064</t>
  </si>
  <si>
    <t xml:space="preserve">094/064</t>
  </si>
  <si>
    <t xml:space="preserve">095/064</t>
  </si>
  <si>
    <t xml:space="preserve">Hyper Rare</t>
  </si>
  <si>
    <t xml:space="preserve">096/064</t>
  </si>
  <si>
    <t xml:space="preserve">097/064</t>
  </si>
  <si>
    <t xml:space="preserve">098/064</t>
  </si>
  <si>
    <t xml:space="preserve">099/064</t>
  </si>
  <si>
    <t xml:space="preserve">Promos &amp; Variants - Optional</t>
  </si>
  <si>
    <t xml:space="preserve">SVP 129</t>
  </si>
  <si>
    <t xml:space="preserve">Elite Trainer Box Promo</t>
  </si>
  <si>
    <t xml:space="preserve">Pokemon Center ETB Promo</t>
  </si>
  <si>
    <t xml:space="preserve">SVP 130</t>
  </si>
  <si>
    <t xml:space="preserve">Kingambit Illustration Collection</t>
  </si>
  <si>
    <t xml:space="preserve">SVP 131</t>
  </si>
  <si>
    <t xml:space="preserve">Kingdra ex Special Illustration Collection</t>
  </si>
  <si>
    <t xml:space="preserve">SVP 132</t>
  </si>
  <si>
    <t xml:space="preserve">Greninja ex Special Illustration Collection</t>
  </si>
  <si>
    <t xml:space="preserve">Galvantula</t>
  </si>
  <si>
    <t xml:space="preserve">Play! Pokémon (Cosmos Holo)</t>
  </si>
  <si>
    <t xml:space="preserve">Cosmos Holo</t>
  </si>
  <si>
    <t xml:space="preserve">Expansion Stamp</t>
  </si>
  <si>
    <t xml:space="preserve">Duskull</t>
  </si>
  <si>
    <t xml:space="preserve">World Championships Deck 2025: Pult Bomb by Jose Cruz Galindo-Resendiz</t>
  </si>
  <si>
    <t xml:space="preserve">Play! Pokémon</t>
  </si>
  <si>
    <t xml:space="preserve">Dusclops</t>
  </si>
  <si>
    <t xml:space="preserve">Pokémon TCG Gym</t>
  </si>
  <si>
    <t xml:space="preserve">Dusknoir</t>
  </si>
  <si>
    <t xml:space="preserve">Fezandipiti ex</t>
  </si>
  <si>
    <t xml:space="preserve">Play! Pokémon (Alternate Placement)</t>
  </si>
  <si>
    <t xml:space="preserve">World Championships Deck 2024: Ancient Toolbox by Sakuya Ota</t>
  </si>
  <si>
    <t xml:space="preserve">World Championships Deck 2024: Regidrago VSTAR by Evan Pavelski</t>
  </si>
  <si>
    <t xml:space="preserve">World Championships Deck 2024: The 'Don by Jesse Parker</t>
  </si>
  <si>
    <t xml:space="preserve">World Championships Deck 2025: Flutter Devo Gardevoir by Riley McKay</t>
  </si>
  <si>
    <t xml:space="preserve">World Championships Deck 2025: Joltdengo by Liao Fu Guan</t>
  </si>
  <si>
    <t xml:space="preserve">World Championships Deck 2025: JP Raging Bolt by Yuya Okita</t>
  </si>
  <si>
    <t xml:space="preserve">Genesect</t>
  </si>
  <si>
    <t xml:space="preserve">Colress's Tenacity</t>
  </si>
  <si>
    <t xml:space="preserve">Ultra League Ball</t>
  </si>
  <si>
    <t xml:space="preserve">Play! Pokémon (Mirror Holo)</t>
  </si>
  <si>
    <t xml:space="preserve">World Championships Deck 2024: Crushing Thorn by Fernando Cifuentes</t>
  </si>
  <si>
    <t xml:space="preserve">Night Stretcher</t>
  </si>
  <si>
    <t xml:space="preserve">Great Ball League</t>
  </si>
  <si>
    <t xml:space="preserve">Powerglass</t>
  </si>
  <si>
    <t xml:space="preserve">SVE 001</t>
  </si>
  <si>
    <t xml:space="preserve">Holo Energy</t>
  </si>
  <si>
    <t xml:space="preserve">SVE 002</t>
  </si>
  <si>
    <t xml:space="preserve">SVE 003</t>
  </si>
  <si>
    <t xml:space="preserve">SVE 004</t>
  </si>
  <si>
    <t xml:space="preserve">SVE 005</t>
  </si>
  <si>
    <t xml:space="preserve">SVE 006</t>
  </si>
  <si>
    <t xml:space="preserve">SVE 007</t>
  </si>
  <si>
    <t xml:space="preserve">SVE 008</t>
  </si>
  <si>
    <t xml:space="preserve">This checklist contains affiliate links for which I may be compensated.</t>
  </si>
  <si>
    <t xml:space="preserve">Want free Shrouded Fable Binder Placeholders? 👇</t>
  </si>
  <si>
    <t xml:space="preserve">Happy Collecting!</t>
  </si>
  <si>
    <t xml:space="preserve">               Your friends at PokéCottage</t>
  </si>
  <si>
    <t xml:space="preserve">Want more Master Set Checklists (including Promos &amp; Variants)? 👇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</si>
</sst>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323232"/>
      <name val="Montserrat Bold"/>
      <family val="0"/>
      <charset val="1"/>
    </font>
    <font>
      <sz val="16"/>
      <color rgb="FF000000"/>
      <name val="Montserrat Regular"/>
      <family val="0"/>
      <charset val="1"/>
    </font>
    <font>
      <sz val="10"/>
      <color rgb="FF000000"/>
      <name val="Montserrat Regular"/>
      <family val="0"/>
      <charset val="1"/>
    </font>
    <font>
      <sz val="10"/>
      <color rgb="FF0000EE"/>
      <name val="Montserrat Regular"/>
      <family val="0"/>
      <charset val="1"/>
    </font>
    <font>
      <i val="true"/>
      <sz val="8"/>
      <color rgb="FF666666"/>
      <name val="Montserrat Regular"/>
      <family val="0"/>
      <charset val="1"/>
    </font>
    <font>
      <b val="true"/>
      <sz val="10"/>
      <color rgb="FF000000"/>
      <name val="Helvetica Neue"/>
      <family val="0"/>
      <charset val="1"/>
    </font>
    <font>
      <b val="true"/>
      <sz val="10"/>
      <color rgb="FFFFFFFF"/>
      <name val="Helvetica Neue"/>
      <family val="0"/>
      <charset val="1"/>
    </font>
    <font>
      <b val="true"/>
      <i val="true"/>
      <sz val="10"/>
      <color rgb="FF000000"/>
      <name val="Helvetica Neue"/>
      <family val="0"/>
      <charset val="1"/>
    </font>
    <font>
      <sz val="10"/>
      <color rgb="FF000000"/>
      <name val="Helvetica Neue"/>
      <family val="0"/>
      <charset val="1"/>
    </font>
    <font>
      <i val="true"/>
      <sz val="10"/>
      <color rgb="FF000000"/>
      <name val="Helvetica Neue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DEDE6"/>
        <bgColor rgb="FFF7F6F5"/>
      </patternFill>
    </fill>
    <fill>
      <patternFill patternType="solid">
        <fgColor rgb="FFF7F6F5"/>
        <bgColor rgb="FFFFFFFF"/>
      </patternFill>
    </fill>
    <fill>
      <patternFill patternType="solid">
        <fgColor rgb="FFFFFFFF"/>
        <bgColor rgb="FFF7F6F5"/>
      </patternFill>
    </fill>
    <fill>
      <patternFill patternType="solid">
        <fgColor rgb="FF263F18"/>
        <bgColor rgb="FF323232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/>
      <top style="thin">
        <color rgb="FFDDDDDD"/>
      </top>
      <bottom style="thin">
        <color rgb="FFDDDDDD"/>
      </bottom>
      <diagonal/>
    </border>
    <border diagonalUp="false" diagonalDown="false">
      <left/>
      <right/>
      <top style="thin">
        <color rgb="FFDDDDDD"/>
      </top>
      <bottom style="thin">
        <color rgb="FFDDDDDD"/>
      </bottom>
      <diagonal/>
    </border>
    <border diagonalUp="false" diagonalDown="false">
      <left/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AAAAAA"/>
      </left>
      <right/>
      <top style="thin">
        <color rgb="FFAAAAAA"/>
      </top>
      <bottom/>
      <diagonal/>
    </border>
    <border diagonalUp="false" diagonalDown="false">
      <left/>
      <right/>
      <top style="thin">
        <color rgb="FFAAAAAA"/>
      </top>
      <bottom/>
      <diagonal/>
    </border>
    <border diagonalUp="false" diagonalDown="false">
      <left/>
      <right style="thin">
        <color rgb="FFAAAAAA"/>
      </right>
      <top style="thin">
        <color rgb="FFAAAAAA"/>
      </top>
      <bottom/>
      <diagonal/>
    </border>
    <border diagonalUp="false" diagonalDown="false">
      <left style="thin">
        <color rgb="FFAAAAAA"/>
      </left>
      <right/>
      <top/>
      <bottom/>
      <diagonal/>
    </border>
    <border diagonalUp="false" diagonalDown="false">
      <left/>
      <right style="thin">
        <color rgb="FFAAAAAA"/>
      </right>
      <top/>
      <bottom/>
      <diagonal/>
    </border>
    <border diagonalUp="false" diagonalDown="false">
      <left style="thin">
        <color rgb="FFFFEC98"/>
      </left>
      <right style="thin">
        <color rgb="FFFFEC98"/>
      </right>
      <top style="thin">
        <color rgb="FFFFEC98"/>
      </top>
      <bottom style="thin">
        <color rgb="FFFFEC98"/>
      </bottom>
      <diagonal/>
    </border>
    <border diagonalUp="false" diagonalDown="false">
      <left style="thin">
        <color rgb="FFAAAAAA"/>
      </left>
      <right/>
      <top/>
      <bottom style="thin">
        <color rgb="FFAAAAAA"/>
      </bottom>
      <diagonal/>
    </border>
    <border diagonalUp="false" diagonalDown="false">
      <left/>
      <right/>
      <top/>
      <bottom style="thin">
        <color rgb="FFAAAAAA"/>
      </bottom>
      <diagonal/>
    </border>
    <border diagonalUp="false" diagonalDown="false">
      <left/>
      <right style="thin">
        <color rgb="FFAAAAAA"/>
      </right>
      <top/>
      <bottom style="thin">
        <color rgb="FFAAAAAA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9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1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1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1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6F5"/>
      <rgbColor rgb="FFEDEDE6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C9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003366"/>
      <rgbColor rgb="FF339966"/>
      <rgbColor rgb="FF003300"/>
      <rgbColor rgb="FF263F18"/>
      <rgbColor rgb="FF993300"/>
      <rgbColor rgb="FF993366"/>
      <rgbColor rgb="FF333399"/>
      <rgbColor rgb="FF3232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.33"/>
    <col collapsed="false" customWidth="true" hidden="false" outlineLevel="0" max="2" min="2" style="0" width="11.11"/>
    <col collapsed="false" customWidth="true" hidden="false" outlineLevel="0" max="3" min="3" style="0" width="25"/>
    <col collapsed="false" customWidth="true" hidden="false" outlineLevel="0" max="4" min="4" style="0" width="24.44"/>
    <col collapsed="false" customWidth="true" hidden="false" outlineLevel="0" max="5" min="5" style="0" width="16.67"/>
    <col collapsed="false" customWidth="true" hidden="false" outlineLevel="0" max="6" min="6" style="0" width="13.56"/>
    <col collapsed="false" customWidth="true" hidden="false" outlineLevel="0" max="7" min="7" style="0" width="16.67"/>
    <col collapsed="false" customWidth="true" hidden="false" outlineLevel="0" max="8" min="8" style="0" width="14.67"/>
  </cols>
  <sheetData>
    <row r="1" customFormat="false" ht="30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  <c r="H1" s="3" t="n">
        <f aca="false">IFERROR((COUNTIF(A2:A155,"☑"))/((COUNTIF(A2:A155,"☑"))+(COUNTIF(A2:A155,"☐"))),0)</f>
        <v>0</v>
      </c>
    </row>
    <row r="2" customFormat="false" ht="30" hidden="false" customHeight="true" outlineLevel="0" collapsed="false">
      <c r="A2" s="4" t="s">
        <v>6</v>
      </c>
      <c r="B2" s="5" t="s">
        <v>7</v>
      </c>
      <c r="C2" s="6" t="str">
        <f aca="false">HYPERLINK("https://partner.tcgplayer.com/c/6278691/1780961/21018?u=https%3A%2F%2Fwww.tcgplayer.com%2Fproduct%2F560311%3Futm_source%3Dimpact%26utm_medium%3Daffiliate%26utm_campaign%3Dpoke%2Bcottage","Joltik")</f>
        <v>Joltik</v>
      </c>
      <c r="D2" s="5" t="s">
        <v>8</v>
      </c>
      <c r="E2" s="5" t="s">
        <v>9</v>
      </c>
      <c r="F2" s="5"/>
      <c r="G2" s="2" t="s">
        <v>10</v>
      </c>
      <c r="H2" s="3" t="n">
        <f aca="false">IFERROR(COUNTIF(A2:A219,"☑")/(COUNTIF(A2:A219,"☑")+COUNTIF(A2:A219,"☐")),0)</f>
        <v>0</v>
      </c>
    </row>
    <row r="3" customFormat="false" ht="30" hidden="false" customHeight="true" outlineLevel="0" collapsed="false">
      <c r="A3" s="4" t="s">
        <v>6</v>
      </c>
      <c r="B3" s="5" t="s">
        <v>7</v>
      </c>
      <c r="C3" s="6" t="str">
        <f aca="false">HYPERLINK("https://partner.tcgplayer.com/c/6278691/1780961/21018?u=https%3A%2F%2Fwww.tcgplayer.com%2Fproduct%2F560311%3Futm_source%3Dimpact%26utm_medium%3Daffiliate%26utm_campaign%3Dpoke%2Bcottage","Joltik")</f>
        <v>Joltik</v>
      </c>
      <c r="D3" s="5" t="s">
        <v>8</v>
      </c>
      <c r="E3" s="5" t="s">
        <v>11</v>
      </c>
      <c r="F3" s="5"/>
      <c r="G3" s="5"/>
      <c r="H3" s="7"/>
    </row>
    <row r="4" customFormat="false" ht="30" hidden="false" customHeight="true" outlineLevel="0" collapsed="false">
      <c r="A4" s="4" t="s">
        <v>6</v>
      </c>
      <c r="B4" s="5" t="s">
        <v>12</v>
      </c>
      <c r="C4" s="6" t="str">
        <f aca="false">HYPERLINK("https://partner.tcgplayer.com/c/6278691/1780961/21018?u=https%3A%2F%2Fwww.tcgplayer.com%2Fproduct%2F560312%3Futm_source%3Dimpact%26utm_medium%3Daffiliate%26utm_campaign%3Dpoke%2Bcottage","Galvantula")</f>
        <v>Galvantula</v>
      </c>
      <c r="D4" s="5" t="s">
        <v>13</v>
      </c>
      <c r="E4" s="5" t="s">
        <v>9</v>
      </c>
      <c r="F4" s="5"/>
      <c r="G4" s="5"/>
      <c r="H4" s="7"/>
    </row>
    <row r="5" customFormat="false" ht="30" hidden="false" customHeight="true" outlineLevel="0" collapsed="false">
      <c r="A5" s="4" t="s">
        <v>6</v>
      </c>
      <c r="B5" s="5" t="s">
        <v>12</v>
      </c>
      <c r="C5" s="6" t="str">
        <f aca="false">HYPERLINK("https://partner.tcgplayer.com/c/6278691/1780961/21018?u=https%3A%2F%2Fwww.tcgplayer.com%2Fproduct%2F560312%3Futm_source%3Dimpact%26utm_medium%3Daffiliate%26utm_campaign%3Dpoke%2Bcottage","Galvantula")</f>
        <v>Galvantula</v>
      </c>
      <c r="D5" s="5" t="s">
        <v>13</v>
      </c>
      <c r="E5" s="5" t="s">
        <v>11</v>
      </c>
      <c r="F5" s="5"/>
      <c r="G5" s="5"/>
      <c r="H5" s="7"/>
    </row>
    <row r="6" customFormat="false" ht="30" hidden="false" customHeight="true" outlineLevel="0" collapsed="false">
      <c r="A6" s="4" t="s">
        <v>6</v>
      </c>
      <c r="B6" s="5" t="s">
        <v>14</v>
      </c>
      <c r="C6" s="6" t="str">
        <f aca="false">HYPERLINK("https://partner.tcgplayer.com/c/6278691/1780961/21018?u=https%3A%2F%2Fwww.tcgplayer.com%2Fproduct%2F560313%3Futm_source%3Dimpact%26utm_medium%3Daffiliate%26utm_campaign%3Dpoke%2Bcottage","Rowlet")</f>
        <v>Rowlet</v>
      </c>
      <c r="D6" s="5" t="s">
        <v>8</v>
      </c>
      <c r="E6" s="5" t="s">
        <v>9</v>
      </c>
      <c r="F6" s="5"/>
      <c r="G6" s="5"/>
      <c r="H6" s="7"/>
    </row>
    <row r="7" customFormat="false" ht="30" hidden="false" customHeight="true" outlineLevel="0" collapsed="false">
      <c r="A7" s="4" t="s">
        <v>6</v>
      </c>
      <c r="B7" s="5" t="s">
        <v>14</v>
      </c>
      <c r="C7" s="6" t="str">
        <f aca="false">HYPERLINK("https://partner.tcgplayer.com/c/6278691/1780961/21018?u=https%3A%2F%2Fwww.tcgplayer.com%2Fproduct%2F560313%3Futm_source%3Dimpact%26utm_medium%3Daffiliate%26utm_campaign%3Dpoke%2Bcottage","Rowlet")</f>
        <v>Rowlet</v>
      </c>
      <c r="D7" s="5" t="s">
        <v>8</v>
      </c>
      <c r="E7" s="5" t="s">
        <v>11</v>
      </c>
      <c r="F7" s="5"/>
      <c r="G7" s="5"/>
      <c r="H7" s="7"/>
    </row>
    <row r="8" customFormat="false" ht="30" hidden="false" customHeight="true" outlineLevel="0" collapsed="false">
      <c r="A8" s="4" t="s">
        <v>6</v>
      </c>
      <c r="B8" s="5" t="s">
        <v>15</v>
      </c>
      <c r="C8" s="6" t="str">
        <f aca="false">HYPERLINK("https://partner.tcgplayer.com/c/6278691/1780961/21018?u=https%3A%2F%2Fwww.tcgplayer.com%2Fproduct%2F560314%3Futm_source%3Dimpact%26utm_medium%3Daffiliate%26utm_campaign%3Dpoke%2Bcottage","Dartrix")</f>
        <v>Dartrix</v>
      </c>
      <c r="D8" s="5" t="s">
        <v>8</v>
      </c>
      <c r="E8" s="5" t="s">
        <v>9</v>
      </c>
      <c r="F8" s="5"/>
      <c r="G8" s="5"/>
      <c r="H8" s="7"/>
    </row>
    <row r="9" customFormat="false" ht="30" hidden="false" customHeight="true" outlineLevel="0" collapsed="false">
      <c r="A9" s="4" t="s">
        <v>6</v>
      </c>
      <c r="B9" s="5" t="s">
        <v>15</v>
      </c>
      <c r="C9" s="6" t="str">
        <f aca="false">HYPERLINK("https://partner.tcgplayer.com/c/6278691/1780961/21018?u=https%3A%2F%2Fwww.tcgplayer.com%2Fproduct%2F560314%3Futm_source%3Dimpact%26utm_medium%3Daffiliate%26utm_campaign%3Dpoke%2Bcottage","Dartrix")</f>
        <v>Dartrix</v>
      </c>
      <c r="D9" s="5" t="s">
        <v>8</v>
      </c>
      <c r="E9" s="5" t="s">
        <v>11</v>
      </c>
      <c r="F9" s="5"/>
      <c r="G9" s="5"/>
      <c r="H9" s="7"/>
    </row>
    <row r="10" customFormat="false" ht="30" hidden="false" customHeight="true" outlineLevel="0" collapsed="false">
      <c r="A10" s="4" t="s">
        <v>6</v>
      </c>
      <c r="B10" s="5" t="s">
        <v>16</v>
      </c>
      <c r="C10" s="6" t="str">
        <f aca="false">HYPERLINK("https://partner.tcgplayer.com/c/6278691/1780961/21018?u=https%3A%2F%2Fwww.tcgplayer.com%2Fproduct%2F560315%3Futm_source%3Dimpact%26utm_medium%3Daffiliate%26utm_campaign%3Dpoke%2Bcottage","Decidueye")</f>
        <v>Decidueye</v>
      </c>
      <c r="D10" s="5" t="s">
        <v>13</v>
      </c>
      <c r="E10" s="5" t="s">
        <v>9</v>
      </c>
      <c r="F10" s="5"/>
      <c r="G10" s="5"/>
      <c r="H10" s="7"/>
    </row>
    <row r="11" customFormat="false" ht="30" hidden="false" customHeight="true" outlineLevel="0" collapsed="false">
      <c r="A11" s="4" t="s">
        <v>6</v>
      </c>
      <c r="B11" s="5" t="s">
        <v>16</v>
      </c>
      <c r="C11" s="6" t="str">
        <f aca="false">HYPERLINK("https://partner.tcgplayer.com/c/6278691/1780961/21018?u=https%3A%2F%2Fwww.tcgplayer.com%2Fproduct%2F560315%3Futm_source%3Dimpact%26utm_medium%3Daffiliate%26utm_campaign%3Dpoke%2Bcottage","Decidueye")</f>
        <v>Decidueye</v>
      </c>
      <c r="D11" s="5" t="s">
        <v>13</v>
      </c>
      <c r="E11" s="5" t="s">
        <v>11</v>
      </c>
      <c r="F11" s="5"/>
      <c r="G11" s="5"/>
      <c r="H11" s="7"/>
    </row>
    <row r="12" customFormat="false" ht="30" hidden="false" customHeight="true" outlineLevel="0" collapsed="false">
      <c r="A12" s="4" t="s">
        <v>6</v>
      </c>
      <c r="B12" s="5" t="s">
        <v>17</v>
      </c>
      <c r="C12" s="6" t="str">
        <f aca="false">HYPERLINK("https://partner.tcgplayer.com/c/6278691/1780961/21018?u=https%3A%2F%2Fwww.tcgplayer.com%2Fproduct%2F560316%3Futm_source%3Dimpact%26utm_medium%3Daffiliate%26utm_campaign%3Dpoke%2Bcottage","Tapu Bulu")</f>
        <v>Tapu Bulu</v>
      </c>
      <c r="D12" s="5" t="s">
        <v>18</v>
      </c>
      <c r="E12" s="5" t="s">
        <v>19</v>
      </c>
      <c r="F12" s="5"/>
      <c r="G12" s="5"/>
      <c r="H12" s="7"/>
    </row>
    <row r="13" customFormat="false" ht="30" hidden="false" customHeight="true" outlineLevel="0" collapsed="false">
      <c r="A13" s="4" t="s">
        <v>6</v>
      </c>
      <c r="B13" s="5" t="s">
        <v>17</v>
      </c>
      <c r="C13" s="6" t="str">
        <f aca="false">HYPERLINK("https://partner.tcgplayer.com/c/6278691/1780961/21018?u=https%3A%2F%2Fwww.tcgplayer.com%2Fproduct%2F560316%3Futm_source%3Dimpact%26utm_medium%3Daffiliate%26utm_campaign%3Dpoke%2Bcottage","Tapu Bulu")</f>
        <v>Tapu Bulu</v>
      </c>
      <c r="D13" s="5" t="s">
        <v>18</v>
      </c>
      <c r="E13" s="5" t="s">
        <v>11</v>
      </c>
      <c r="F13" s="5"/>
      <c r="G13" s="5"/>
      <c r="H13" s="7"/>
    </row>
    <row r="14" customFormat="false" ht="30" hidden="false" customHeight="true" outlineLevel="0" collapsed="false">
      <c r="A14" s="4" t="s">
        <v>6</v>
      </c>
      <c r="B14" s="5" t="s">
        <v>20</v>
      </c>
      <c r="C14" s="6" t="str">
        <f aca="false">HYPERLINK("https://partner.tcgplayer.com/c/6278691/1780961/21018?u=https%3A%2F%2Fwww.tcgplayer.com%2Fproduct%2F560317%3Futm_source%3Dimpact%26utm_medium%3Daffiliate%26utm_campaign%3Dpoke%2Bcottage","Houndour")</f>
        <v>Houndour</v>
      </c>
      <c r="D14" s="5" t="s">
        <v>8</v>
      </c>
      <c r="E14" s="5" t="s">
        <v>9</v>
      </c>
      <c r="F14" s="5"/>
      <c r="G14" s="5"/>
      <c r="H14" s="7"/>
    </row>
    <row r="15" customFormat="false" ht="30" hidden="false" customHeight="true" outlineLevel="0" collapsed="false">
      <c r="A15" s="4" t="s">
        <v>6</v>
      </c>
      <c r="B15" s="5" t="s">
        <v>20</v>
      </c>
      <c r="C15" s="6" t="str">
        <f aca="false">HYPERLINK("https://partner.tcgplayer.com/c/6278691/1780961/21018?u=https%3A%2F%2Fwww.tcgplayer.com%2Fproduct%2F560317%3Futm_source%3Dimpact%26utm_medium%3Daffiliate%26utm_campaign%3Dpoke%2Bcottage","Houndour")</f>
        <v>Houndour</v>
      </c>
      <c r="D15" s="5" t="s">
        <v>8</v>
      </c>
      <c r="E15" s="5" t="s">
        <v>11</v>
      </c>
      <c r="F15" s="5"/>
      <c r="G15" s="5"/>
      <c r="H15" s="7"/>
    </row>
    <row r="16" customFormat="false" ht="30" hidden="false" customHeight="true" outlineLevel="0" collapsed="false">
      <c r="A16" s="4" t="s">
        <v>6</v>
      </c>
      <c r="B16" s="5" t="s">
        <v>21</v>
      </c>
      <c r="C16" s="6" t="str">
        <f aca="false">HYPERLINK("https://partner.tcgplayer.com/c/6278691/1780961/21018?u=https%3A%2F%2Fwww.tcgplayer.com%2Fproduct%2F560318%3Futm_source%3Dimpact%26utm_medium%3Daffiliate%26utm_campaign%3Dpoke%2Bcottage","Houndoom")</f>
        <v>Houndoom</v>
      </c>
      <c r="D16" s="5" t="s">
        <v>8</v>
      </c>
      <c r="E16" s="5" t="s">
        <v>9</v>
      </c>
      <c r="F16" s="5"/>
      <c r="G16" s="5"/>
      <c r="H16" s="7"/>
    </row>
    <row r="17" customFormat="false" ht="30" hidden="false" customHeight="true" outlineLevel="0" collapsed="false">
      <c r="A17" s="4" t="s">
        <v>6</v>
      </c>
      <c r="B17" s="5" t="s">
        <v>21</v>
      </c>
      <c r="C17" s="6" t="str">
        <f aca="false">HYPERLINK("https://partner.tcgplayer.com/c/6278691/1780961/21018?u=https%3A%2F%2Fwww.tcgplayer.com%2Fproduct%2F560318%3Futm_source%3Dimpact%26utm_medium%3Daffiliate%26utm_campaign%3Dpoke%2Bcottage","Houndoom")</f>
        <v>Houndoom</v>
      </c>
      <c r="D17" s="5" t="s">
        <v>8</v>
      </c>
      <c r="E17" s="5" t="s">
        <v>11</v>
      </c>
      <c r="F17" s="5"/>
      <c r="G17" s="5"/>
      <c r="H17" s="7"/>
    </row>
    <row r="18" customFormat="false" ht="30" hidden="false" customHeight="true" outlineLevel="0" collapsed="false">
      <c r="A18" s="4" t="s">
        <v>6</v>
      </c>
      <c r="B18" s="5" t="s">
        <v>22</v>
      </c>
      <c r="C18" s="6" t="str">
        <f aca="false">HYPERLINK("https://partner.tcgplayer.com/c/6278691/1780961/21018?u=https%3A%2F%2Fwww.tcgplayer.com%2Fproduct%2F560319%3Futm_source%3Dimpact%26utm_medium%3Daffiliate%26utm_campaign%3Dpoke%2Bcottage","Iron Moth")</f>
        <v>Iron Moth</v>
      </c>
      <c r="D18" s="5" t="s">
        <v>13</v>
      </c>
      <c r="E18" s="5" t="s">
        <v>9</v>
      </c>
      <c r="F18" s="5"/>
      <c r="G18" s="5"/>
      <c r="H18" s="7"/>
    </row>
    <row r="19" customFormat="false" ht="30" hidden="false" customHeight="true" outlineLevel="0" collapsed="false">
      <c r="A19" s="4" t="s">
        <v>6</v>
      </c>
      <c r="B19" s="5" t="s">
        <v>22</v>
      </c>
      <c r="C19" s="6" t="str">
        <f aca="false">HYPERLINK("https://partner.tcgplayer.com/c/6278691/1780961/21018?u=https%3A%2F%2Fwww.tcgplayer.com%2Fproduct%2F560319%3Futm_source%3Dimpact%26utm_medium%3Daffiliate%26utm_campaign%3Dpoke%2Bcottage","Iron Moth")</f>
        <v>Iron Moth</v>
      </c>
      <c r="D19" s="5" t="s">
        <v>13</v>
      </c>
      <c r="E19" s="5" t="s">
        <v>11</v>
      </c>
      <c r="F19" s="5"/>
      <c r="G19" s="5"/>
      <c r="H19" s="7"/>
    </row>
    <row r="20" customFormat="false" ht="30" hidden="false" customHeight="true" outlineLevel="0" collapsed="false">
      <c r="A20" s="4" t="s">
        <v>6</v>
      </c>
      <c r="B20" s="5" t="s">
        <v>23</v>
      </c>
      <c r="C20" s="6" t="str">
        <f aca="false">HYPERLINK("https://partner.tcgplayer.com/c/6278691/1780961/21018?u=https%3A%2F%2Fwww.tcgplayer.com%2Fproduct%2F560320%3Futm_source%3Dimpact%26utm_medium%3Daffiliate%26utm_campaign%3Dpoke%2Bcottage","Horsea")</f>
        <v>Horsea</v>
      </c>
      <c r="D20" s="5" t="s">
        <v>8</v>
      </c>
      <c r="E20" s="5" t="s">
        <v>9</v>
      </c>
      <c r="F20" s="5"/>
      <c r="G20" s="5"/>
      <c r="H20" s="7"/>
    </row>
    <row r="21" customFormat="false" ht="30" hidden="false" customHeight="true" outlineLevel="0" collapsed="false">
      <c r="A21" s="4" t="s">
        <v>6</v>
      </c>
      <c r="B21" s="5" t="s">
        <v>23</v>
      </c>
      <c r="C21" s="6" t="str">
        <f aca="false">HYPERLINK("https://partner.tcgplayer.com/c/6278691/1780961/21018?u=https%3A%2F%2Fwww.tcgplayer.com%2Fproduct%2F560320%3Futm_source%3Dimpact%26utm_medium%3Daffiliate%26utm_campaign%3Dpoke%2Bcottage","Horsea")</f>
        <v>Horsea</v>
      </c>
      <c r="D21" s="5" t="s">
        <v>8</v>
      </c>
      <c r="E21" s="5" t="s">
        <v>11</v>
      </c>
      <c r="F21" s="5"/>
      <c r="G21" s="5"/>
      <c r="H21" s="7"/>
    </row>
    <row r="22" customFormat="false" ht="30" hidden="false" customHeight="true" outlineLevel="0" collapsed="false">
      <c r="A22" s="4" t="s">
        <v>6</v>
      </c>
      <c r="B22" s="5" t="s">
        <v>24</v>
      </c>
      <c r="C22" s="6" t="str">
        <f aca="false">HYPERLINK("https://partner.tcgplayer.com/c/6278691/1780961/21018?u=https%3A%2F%2Fwww.tcgplayer.com%2Fproduct%2F560321%3Futm_source%3Dimpact%26utm_medium%3Daffiliate%26utm_campaign%3Dpoke%2Bcottage","Seadra")</f>
        <v>Seadra</v>
      </c>
      <c r="D22" s="5" t="s">
        <v>8</v>
      </c>
      <c r="E22" s="5" t="s">
        <v>9</v>
      </c>
      <c r="F22" s="5"/>
      <c r="G22" s="5"/>
      <c r="H22" s="7"/>
    </row>
    <row r="23" customFormat="false" ht="30" hidden="false" customHeight="true" outlineLevel="0" collapsed="false">
      <c r="A23" s="4" t="s">
        <v>6</v>
      </c>
      <c r="B23" s="5" t="s">
        <v>24</v>
      </c>
      <c r="C23" s="6" t="str">
        <f aca="false">HYPERLINK("https://partner.tcgplayer.com/c/6278691/1780961/21018?u=https%3A%2F%2Fwww.tcgplayer.com%2Fproduct%2F560321%3Futm_source%3Dimpact%26utm_medium%3Daffiliate%26utm_campaign%3Dpoke%2Bcottage","Seadra")</f>
        <v>Seadra</v>
      </c>
      <c r="D23" s="5" t="s">
        <v>8</v>
      </c>
      <c r="E23" s="5" t="s">
        <v>11</v>
      </c>
      <c r="F23" s="5"/>
      <c r="G23" s="5"/>
      <c r="H23" s="7"/>
    </row>
    <row r="24" customFormat="false" ht="30" hidden="false" customHeight="true" outlineLevel="0" collapsed="false">
      <c r="A24" s="4" t="s">
        <v>6</v>
      </c>
      <c r="B24" s="5" t="s">
        <v>25</v>
      </c>
      <c r="C24" s="6" t="str">
        <f aca="false">HYPERLINK("https://partner.tcgplayer.com/c/6278691/1780961/21018?u=https%3A%2F%2Fwww.tcgplayer.com%2Fproduct%2F560322%3Futm_source%3Dimpact%26utm_medium%3Daffiliate%26utm_campaign%3Dpoke%2Bcottage","Kingdra ex")</f>
        <v>Kingdra ex</v>
      </c>
      <c r="D24" s="5" t="s">
        <v>26</v>
      </c>
      <c r="E24" s="5" t="s">
        <v>19</v>
      </c>
      <c r="F24" s="5"/>
      <c r="G24" s="5"/>
      <c r="H24" s="7"/>
    </row>
    <row r="25" customFormat="false" ht="30" hidden="false" customHeight="true" outlineLevel="0" collapsed="false">
      <c r="A25" s="4" t="s">
        <v>6</v>
      </c>
      <c r="B25" s="5" t="s">
        <v>27</v>
      </c>
      <c r="C25" s="6" t="str">
        <f aca="false">HYPERLINK("https://partner.tcgplayer.com/c/6278691/1780961/21018?u=https%3A%2F%2Fwww.tcgplayer.com%2Fproduct%2F560323%3Futm_source%3Dimpact%26utm_medium%3Daffiliate%26utm_campaign%3Dpoke%2Bcottage","Sneasel")</f>
        <v>Sneasel</v>
      </c>
      <c r="D25" s="5" t="s">
        <v>8</v>
      </c>
      <c r="E25" s="5" t="s">
        <v>9</v>
      </c>
      <c r="F25" s="5"/>
      <c r="G25" s="5"/>
      <c r="H25" s="7"/>
    </row>
    <row r="26" customFormat="false" ht="30" hidden="false" customHeight="true" outlineLevel="0" collapsed="false">
      <c r="A26" s="4" t="s">
        <v>6</v>
      </c>
      <c r="B26" s="5" t="s">
        <v>27</v>
      </c>
      <c r="C26" s="6" t="str">
        <f aca="false">HYPERLINK("https://partner.tcgplayer.com/c/6278691/1780961/21018?u=https%3A%2F%2Fwww.tcgplayer.com%2Fproduct%2F560323%3Futm_source%3Dimpact%26utm_medium%3Daffiliate%26utm_campaign%3Dpoke%2Bcottage","Sneasel")</f>
        <v>Sneasel</v>
      </c>
      <c r="D26" s="5" t="s">
        <v>8</v>
      </c>
      <c r="E26" s="5" t="s">
        <v>11</v>
      </c>
      <c r="F26" s="5"/>
      <c r="G26" s="5"/>
      <c r="H26" s="7"/>
    </row>
    <row r="27" customFormat="false" ht="30" hidden="false" customHeight="true" outlineLevel="0" collapsed="false">
      <c r="A27" s="4" t="s">
        <v>6</v>
      </c>
      <c r="B27" s="5" t="s">
        <v>28</v>
      </c>
      <c r="C27" s="6" t="str">
        <f aca="false">HYPERLINK("https://partner.tcgplayer.com/c/6278691/1780961/21018?u=https%3A%2F%2Fwww.tcgplayer.com%2Fproduct%2F560324%3Futm_source%3Dimpact%26utm_medium%3Daffiliate%26utm_campaign%3Dpoke%2Bcottage","Weavile")</f>
        <v>Weavile</v>
      </c>
      <c r="D27" s="5" t="s">
        <v>13</v>
      </c>
      <c r="E27" s="5" t="s">
        <v>9</v>
      </c>
      <c r="F27" s="5"/>
      <c r="G27" s="5"/>
      <c r="H27" s="7"/>
    </row>
    <row r="28" customFormat="false" ht="30" hidden="false" customHeight="true" outlineLevel="0" collapsed="false">
      <c r="A28" s="4" t="s">
        <v>6</v>
      </c>
      <c r="B28" s="5" t="s">
        <v>28</v>
      </c>
      <c r="C28" s="6" t="str">
        <f aca="false">HYPERLINK("https://partner.tcgplayer.com/c/6278691/1780961/21018?u=https%3A%2F%2Fwww.tcgplayer.com%2Fproduct%2F560324%3Futm_source%3Dimpact%26utm_medium%3Daffiliate%26utm_campaign%3Dpoke%2Bcottage","Weavile")</f>
        <v>Weavile</v>
      </c>
      <c r="D28" s="5" t="s">
        <v>13</v>
      </c>
      <c r="E28" s="5" t="s">
        <v>11</v>
      </c>
      <c r="F28" s="5"/>
      <c r="G28" s="5"/>
      <c r="H28" s="7"/>
    </row>
    <row r="29" customFormat="false" ht="30" hidden="false" customHeight="true" outlineLevel="0" collapsed="false">
      <c r="A29" s="4" t="s">
        <v>6</v>
      </c>
      <c r="B29" s="5" t="s">
        <v>29</v>
      </c>
      <c r="C29" s="6" t="str">
        <f aca="false">HYPERLINK("https://partner.tcgplayer.com/c/6278691/1780961/21018?u=https%3A%2F%2Fwww.tcgplayer.com%2Fproduct%2F560325%3Futm_source%3Dimpact%26utm_medium%3Daffiliate%26utm_campaign%3Dpoke%2Bcottage","Revavroom ex")</f>
        <v>Revavroom ex</v>
      </c>
      <c r="D29" s="5" t="s">
        <v>26</v>
      </c>
      <c r="E29" s="5" t="s">
        <v>19</v>
      </c>
      <c r="F29" s="5"/>
      <c r="G29" s="5"/>
      <c r="H29" s="7"/>
    </row>
    <row r="30" customFormat="false" ht="30" hidden="false" customHeight="true" outlineLevel="0" collapsed="false">
      <c r="A30" s="4" t="s">
        <v>6</v>
      </c>
      <c r="B30" s="5" t="s">
        <v>30</v>
      </c>
      <c r="C30" s="6" t="str">
        <f aca="false">HYPERLINK("https://partner.tcgplayer.com/c/6278691/1780961/21018?u=https%3A%2F%2Fwww.tcgplayer.com%2Fproduct%2F560326%3Futm_source%3Dimpact%26utm_medium%3Daffiliate%26utm_campaign%3Dpoke%2Bcottage","Drowzee")</f>
        <v>Drowzee</v>
      </c>
      <c r="D30" s="5" t="s">
        <v>8</v>
      </c>
      <c r="E30" s="5" t="s">
        <v>9</v>
      </c>
      <c r="F30" s="5"/>
      <c r="G30" s="5"/>
      <c r="H30" s="7"/>
    </row>
    <row r="31" customFormat="false" ht="30" hidden="false" customHeight="true" outlineLevel="0" collapsed="false">
      <c r="A31" s="4" t="s">
        <v>6</v>
      </c>
      <c r="B31" s="5" t="s">
        <v>30</v>
      </c>
      <c r="C31" s="6" t="str">
        <f aca="false">HYPERLINK("https://partner.tcgplayer.com/c/6278691/1780961/21018?u=https%3A%2F%2Fwww.tcgplayer.com%2Fproduct%2F560326%3Futm_source%3Dimpact%26utm_medium%3Daffiliate%26utm_campaign%3Dpoke%2Bcottage","Drowzee")</f>
        <v>Drowzee</v>
      </c>
      <c r="D31" s="5" t="s">
        <v>8</v>
      </c>
      <c r="E31" s="5" t="s">
        <v>11</v>
      </c>
      <c r="F31" s="5"/>
      <c r="G31" s="5"/>
      <c r="H31" s="7"/>
    </row>
    <row r="32" customFormat="false" ht="30" hidden="false" customHeight="true" outlineLevel="0" collapsed="false">
      <c r="A32" s="4" t="s">
        <v>6</v>
      </c>
      <c r="B32" s="5" t="s">
        <v>31</v>
      </c>
      <c r="C32" s="6" t="str">
        <f aca="false">HYPERLINK("https://partner.tcgplayer.com/c/6278691/1780961/21018?u=https%3A%2F%2Fwww.tcgplayer.com%2Fproduct%2F560327%3Futm_source%3Dimpact%26utm_medium%3Daffiliate%26utm_campaign%3Dpoke%2Bcottage","Hypno")</f>
        <v>Hypno</v>
      </c>
      <c r="D32" s="5" t="s">
        <v>13</v>
      </c>
      <c r="E32" s="5" t="s">
        <v>9</v>
      </c>
      <c r="F32" s="5"/>
      <c r="G32" s="5"/>
      <c r="H32" s="7"/>
    </row>
    <row r="33" customFormat="false" ht="30" hidden="false" customHeight="true" outlineLevel="0" collapsed="false">
      <c r="A33" s="4" t="s">
        <v>6</v>
      </c>
      <c r="B33" s="5" t="s">
        <v>31</v>
      </c>
      <c r="C33" s="6" t="str">
        <f aca="false">HYPERLINK("https://partner.tcgplayer.com/c/6278691/1780961/21018?u=https%3A%2F%2Fwww.tcgplayer.com%2Fproduct%2F560327%3Futm_source%3Dimpact%26utm_medium%3Daffiliate%26utm_campaign%3Dpoke%2Bcottage","Hypno")</f>
        <v>Hypno</v>
      </c>
      <c r="D33" s="5" t="s">
        <v>13</v>
      </c>
      <c r="E33" s="5" t="s">
        <v>11</v>
      </c>
      <c r="F33" s="5"/>
      <c r="G33" s="5"/>
      <c r="H33" s="7"/>
    </row>
    <row r="34" customFormat="false" ht="30" hidden="false" customHeight="true" outlineLevel="0" collapsed="false">
      <c r="A34" s="4" t="s">
        <v>6</v>
      </c>
      <c r="B34" s="5" t="s">
        <v>32</v>
      </c>
      <c r="C34" s="6" t="str">
        <f aca="false">HYPERLINK("https://partner.tcgplayer.com/c/6278691/1780961/21018?u=https%3A%2F%2Fwww.tcgplayer.com%2Fproduct%2F560328%3Futm_source%3Dimpact%26utm_medium%3Daffiliate%26utm_campaign%3Dpoke%2Bcottage","Duskull")</f>
        <v>Duskull</v>
      </c>
      <c r="D34" s="5" t="s">
        <v>8</v>
      </c>
      <c r="E34" s="5" t="s">
        <v>9</v>
      </c>
      <c r="F34" s="5"/>
      <c r="G34" s="5"/>
      <c r="H34" s="7"/>
    </row>
    <row r="35" customFormat="false" ht="30" hidden="false" customHeight="true" outlineLevel="0" collapsed="false">
      <c r="A35" s="4" t="s">
        <v>6</v>
      </c>
      <c r="B35" s="5" t="s">
        <v>32</v>
      </c>
      <c r="C35" s="6" t="str">
        <f aca="false">HYPERLINK("https://partner.tcgplayer.com/c/6278691/1780961/21018?u=https%3A%2F%2Fwww.tcgplayer.com%2Fproduct%2F560328%3Futm_source%3Dimpact%26utm_medium%3Daffiliate%26utm_campaign%3Dpoke%2Bcottage","Duskull")</f>
        <v>Duskull</v>
      </c>
      <c r="D35" s="5" t="s">
        <v>8</v>
      </c>
      <c r="E35" s="5" t="s">
        <v>11</v>
      </c>
      <c r="F35" s="5"/>
      <c r="G35" s="5"/>
      <c r="H35" s="7"/>
    </row>
    <row r="36" customFormat="false" ht="30" hidden="false" customHeight="true" outlineLevel="0" collapsed="false">
      <c r="A36" s="4" t="s">
        <v>6</v>
      </c>
      <c r="B36" s="5" t="s">
        <v>33</v>
      </c>
      <c r="C36" s="6" t="str">
        <f aca="false">HYPERLINK("https://partner.tcgplayer.com/c/6278691/1780961/21018?u=https%3A%2F%2Fwww.tcgplayer.com%2Fproduct%2F560329%3Futm_source%3Dimpact%26utm_medium%3Daffiliate%26utm_campaign%3Dpoke%2Bcottage","Dusclops")</f>
        <v>Dusclops</v>
      </c>
      <c r="D36" s="5" t="s">
        <v>8</v>
      </c>
      <c r="E36" s="5" t="s">
        <v>9</v>
      </c>
      <c r="F36" s="5"/>
      <c r="G36" s="5"/>
      <c r="H36" s="7"/>
    </row>
    <row r="37" customFormat="false" ht="30" hidden="false" customHeight="true" outlineLevel="0" collapsed="false">
      <c r="A37" s="4" t="s">
        <v>6</v>
      </c>
      <c r="B37" s="5" t="s">
        <v>33</v>
      </c>
      <c r="C37" s="6" t="str">
        <f aca="false">HYPERLINK("https://partner.tcgplayer.com/c/6278691/1780961/21018?u=https%3A%2F%2Fwww.tcgplayer.com%2Fproduct%2F560329%3Futm_source%3Dimpact%26utm_medium%3Daffiliate%26utm_campaign%3Dpoke%2Bcottage","Dusclops")</f>
        <v>Dusclops</v>
      </c>
      <c r="D37" s="5" t="s">
        <v>8</v>
      </c>
      <c r="E37" s="5" t="s">
        <v>11</v>
      </c>
      <c r="F37" s="5"/>
      <c r="G37" s="5"/>
      <c r="H37" s="7"/>
    </row>
    <row r="38" customFormat="false" ht="30" hidden="false" customHeight="true" outlineLevel="0" collapsed="false">
      <c r="A38" s="4" t="s">
        <v>6</v>
      </c>
      <c r="B38" s="5" t="s">
        <v>34</v>
      </c>
      <c r="C38" s="6" t="str">
        <f aca="false">HYPERLINK("https://partner.tcgplayer.com/c/6278691/1780961/21018?u=https%3A%2F%2Fwww.tcgplayer.com%2Fproduct%2F560330%3Futm_source%3Dimpact%26utm_medium%3Daffiliate%26utm_campaign%3Dpoke%2Bcottage","Dusknoir")</f>
        <v>Dusknoir</v>
      </c>
      <c r="D38" s="5" t="s">
        <v>18</v>
      </c>
      <c r="E38" s="5" t="s">
        <v>19</v>
      </c>
      <c r="F38" s="5"/>
      <c r="G38" s="5"/>
      <c r="H38" s="7"/>
    </row>
    <row r="39" customFormat="false" ht="30" hidden="false" customHeight="true" outlineLevel="0" collapsed="false">
      <c r="A39" s="4" t="s">
        <v>6</v>
      </c>
      <c r="B39" s="5" t="s">
        <v>34</v>
      </c>
      <c r="C39" s="6" t="str">
        <f aca="false">HYPERLINK("https://partner.tcgplayer.com/c/6278691/1780961/21018?u=https%3A%2F%2Fwww.tcgplayer.com%2Fproduct%2F560330%3Futm_source%3Dimpact%26utm_medium%3Daffiliate%26utm_campaign%3Dpoke%2Bcottage","Dusknoir")</f>
        <v>Dusknoir</v>
      </c>
      <c r="D39" s="5" t="s">
        <v>18</v>
      </c>
      <c r="E39" s="5" t="s">
        <v>11</v>
      </c>
      <c r="F39" s="5"/>
      <c r="G39" s="5"/>
      <c r="H39" s="7"/>
    </row>
    <row r="40" customFormat="false" ht="30" hidden="false" customHeight="true" outlineLevel="0" collapsed="false">
      <c r="A40" s="4" t="s">
        <v>6</v>
      </c>
      <c r="B40" s="5" t="s">
        <v>35</v>
      </c>
      <c r="C40" s="6" t="str">
        <f aca="false">HYPERLINK("https://partner.tcgplayer.com/c/6278691/1780961/21018?u=https%3A%2F%2Fwww.tcgplayer.com%2Fproduct%2F560331%3Futm_source%3Dimpact%26utm_medium%3Daffiliate%26utm_campaign%3Dpoke%2Bcottage","Cresselia")</f>
        <v>Cresselia</v>
      </c>
      <c r="D40" s="5" t="s">
        <v>18</v>
      </c>
      <c r="E40" s="5" t="s">
        <v>19</v>
      </c>
      <c r="F40" s="5"/>
      <c r="G40" s="5"/>
      <c r="H40" s="7"/>
    </row>
    <row r="41" customFormat="false" ht="30" hidden="false" customHeight="true" outlineLevel="0" collapsed="false">
      <c r="A41" s="4" t="s">
        <v>6</v>
      </c>
      <c r="B41" s="5" t="s">
        <v>35</v>
      </c>
      <c r="C41" s="6" t="str">
        <f aca="false">HYPERLINK("https://partner.tcgplayer.com/c/6278691/1780961/21018?u=https%3A%2F%2Fwww.tcgplayer.com%2Fproduct%2F560331%3Futm_source%3Dimpact%26utm_medium%3Daffiliate%26utm_campaign%3Dpoke%2Bcottage","Cresselia")</f>
        <v>Cresselia</v>
      </c>
      <c r="D41" s="5" t="s">
        <v>18</v>
      </c>
      <c r="E41" s="5" t="s">
        <v>11</v>
      </c>
      <c r="F41" s="5"/>
      <c r="G41" s="5"/>
      <c r="H41" s="7"/>
    </row>
    <row r="42" customFormat="false" ht="30" hidden="false" customHeight="true" outlineLevel="0" collapsed="false">
      <c r="A42" s="4" t="s">
        <v>6</v>
      </c>
      <c r="B42" s="5" t="s">
        <v>36</v>
      </c>
      <c r="C42" s="6" t="str">
        <f aca="false">HYPERLINK("https://partner.tcgplayer.com/c/6278691/1780961/21018?u=https%3A%2F%2Fwww.tcgplayer.com%2Fproduct%2F560332%3Futm_source%3Dimpact%26utm_medium%3Daffiliate%26utm_campaign%3Dpoke%2Bcottage","Sylveon")</f>
        <v>Sylveon</v>
      </c>
      <c r="D42" s="5" t="s">
        <v>13</v>
      </c>
      <c r="E42" s="5" t="s">
        <v>9</v>
      </c>
      <c r="F42" s="5"/>
      <c r="G42" s="5"/>
      <c r="H42" s="7"/>
    </row>
    <row r="43" customFormat="false" ht="30" hidden="false" customHeight="true" outlineLevel="0" collapsed="false">
      <c r="A43" s="4" t="s">
        <v>6</v>
      </c>
      <c r="B43" s="5" t="s">
        <v>36</v>
      </c>
      <c r="C43" s="6" t="str">
        <f aca="false">HYPERLINK("https://partner.tcgplayer.com/c/6278691/1780961/21018?u=https%3A%2F%2Fwww.tcgplayer.com%2Fproduct%2F560332%3Futm_source%3Dimpact%26utm_medium%3Daffiliate%26utm_campaign%3Dpoke%2Bcottage","Sylveon")</f>
        <v>Sylveon</v>
      </c>
      <c r="D43" s="5" t="s">
        <v>13</v>
      </c>
      <c r="E43" s="5" t="s">
        <v>11</v>
      </c>
      <c r="F43" s="5"/>
      <c r="G43" s="5"/>
      <c r="H43" s="7"/>
    </row>
    <row r="44" customFormat="false" ht="30" hidden="false" customHeight="true" outlineLevel="0" collapsed="false">
      <c r="A44" s="4" t="s">
        <v>6</v>
      </c>
      <c r="B44" s="5" t="s">
        <v>37</v>
      </c>
      <c r="C44" s="6" t="str">
        <f aca="false">HYPERLINK("https://partner.tcgplayer.com/c/6278691/1780961/21018?u=https%3A%2F%2Fwww.tcgplayer.com%2Fproduct%2F560333%3Futm_source%3Dimpact%26utm_medium%3Daffiliate%26utm_campaign%3Dpoke%2Bcottage","Croagunk")</f>
        <v>Croagunk</v>
      </c>
      <c r="D44" s="5" t="s">
        <v>8</v>
      </c>
      <c r="E44" s="5" t="s">
        <v>9</v>
      </c>
      <c r="F44" s="5"/>
      <c r="G44" s="5"/>
      <c r="H44" s="7"/>
    </row>
    <row r="45" customFormat="false" ht="30" hidden="false" customHeight="true" outlineLevel="0" collapsed="false">
      <c r="A45" s="4" t="s">
        <v>6</v>
      </c>
      <c r="B45" s="5" t="s">
        <v>37</v>
      </c>
      <c r="C45" s="6" t="str">
        <f aca="false">HYPERLINK("https://partner.tcgplayer.com/c/6278691/1780961/21018?u=https%3A%2F%2Fwww.tcgplayer.com%2Fproduct%2F560333%3Futm_source%3Dimpact%26utm_medium%3Daffiliate%26utm_campaign%3Dpoke%2Bcottage","Croagunk")</f>
        <v>Croagunk</v>
      </c>
      <c r="D45" s="5" t="s">
        <v>8</v>
      </c>
      <c r="E45" s="5" t="s">
        <v>11</v>
      </c>
      <c r="F45" s="5"/>
      <c r="G45" s="5"/>
      <c r="H45" s="7"/>
    </row>
    <row r="46" customFormat="false" ht="30" hidden="false" customHeight="true" outlineLevel="0" collapsed="false">
      <c r="A46" s="4" t="s">
        <v>6</v>
      </c>
      <c r="B46" s="5" t="s">
        <v>38</v>
      </c>
      <c r="C46" s="6" t="str">
        <f aca="false">HYPERLINK("https://partner.tcgplayer.com/c/6278691/1780961/21018?u=https%3A%2F%2Fwww.tcgplayer.com%2Fproduct%2F560334%3Futm_source%3Dimpact%26utm_medium%3Daffiliate%26utm_campaign%3Dpoke%2Bcottage","Toxicroak")</f>
        <v>Toxicroak</v>
      </c>
      <c r="D46" s="5" t="s">
        <v>8</v>
      </c>
      <c r="E46" s="5" t="s">
        <v>9</v>
      </c>
      <c r="F46" s="5"/>
      <c r="G46" s="5"/>
      <c r="H46" s="7"/>
    </row>
    <row r="47" customFormat="false" ht="30" hidden="false" customHeight="true" outlineLevel="0" collapsed="false">
      <c r="A47" s="4" t="s">
        <v>6</v>
      </c>
      <c r="B47" s="5" t="s">
        <v>38</v>
      </c>
      <c r="C47" s="6" t="str">
        <f aca="false">HYPERLINK("https://partner.tcgplayer.com/c/6278691/1780961/21018?u=https%3A%2F%2Fwww.tcgplayer.com%2Fproduct%2F560334%3Futm_source%3Dimpact%26utm_medium%3Daffiliate%26utm_campaign%3Dpoke%2Bcottage","Toxicroak")</f>
        <v>Toxicroak</v>
      </c>
      <c r="D47" s="5" t="s">
        <v>8</v>
      </c>
      <c r="E47" s="5" t="s">
        <v>11</v>
      </c>
      <c r="F47" s="5"/>
      <c r="G47" s="5"/>
      <c r="H47" s="7"/>
    </row>
    <row r="48" customFormat="false" ht="30" hidden="false" customHeight="true" outlineLevel="0" collapsed="false">
      <c r="A48" s="4" t="s">
        <v>6</v>
      </c>
      <c r="B48" s="5" t="s">
        <v>39</v>
      </c>
      <c r="C48" s="6" t="str">
        <f aca="false">HYPERLINK("https://partner.tcgplayer.com/c/6278691/1780961/21018?u=https%3A%2F%2Fwww.tcgplayer.com%2Fproduct%2F560335%3Futm_source%3Dimpact%26utm_medium%3Daffiliate%26utm_campaign%3Dpoke%2Bcottage","Bloodmoon Ursaluna")</f>
        <v>Bloodmoon Ursaluna</v>
      </c>
      <c r="D48" s="5" t="s">
        <v>18</v>
      </c>
      <c r="E48" s="5" t="s">
        <v>19</v>
      </c>
      <c r="F48" s="5"/>
      <c r="G48" s="5"/>
      <c r="H48" s="7"/>
    </row>
    <row r="49" customFormat="false" ht="30" hidden="false" customHeight="true" outlineLevel="0" collapsed="false">
      <c r="A49" s="4" t="s">
        <v>6</v>
      </c>
      <c r="B49" s="5" t="s">
        <v>39</v>
      </c>
      <c r="C49" s="6" t="str">
        <f aca="false">HYPERLINK("https://partner.tcgplayer.com/c/6278691/1780961/21018?u=https%3A%2F%2Fwww.tcgplayer.com%2Fproduct%2F560335%3Futm_source%3Dimpact%26utm_medium%3Daffiliate%26utm_campaign%3Dpoke%2Bcottage","Bloodmoon Ursaluna")</f>
        <v>Bloodmoon Ursaluna</v>
      </c>
      <c r="D49" s="5" t="s">
        <v>18</v>
      </c>
      <c r="E49" s="5" t="s">
        <v>11</v>
      </c>
      <c r="F49" s="5"/>
      <c r="G49" s="5"/>
      <c r="H49" s="7"/>
    </row>
    <row r="50" customFormat="false" ht="30" hidden="false" customHeight="true" outlineLevel="0" collapsed="false">
      <c r="A50" s="4" t="s">
        <v>6</v>
      </c>
      <c r="B50" s="5" t="s">
        <v>40</v>
      </c>
      <c r="C50" s="6" t="str">
        <f aca="false">HYPERLINK("https://partner.tcgplayer.com/c/6278691/1780961/21018?u=https%3A%2F%2Fwww.tcgplayer.com%2Fproduct%2F560336%3Futm_source%3Dimpact%26utm_medium%3Daffiliate%26utm_campaign%3Dpoke%2Bcottage","Slither Wing")</f>
        <v>Slither Wing</v>
      </c>
      <c r="D50" s="5" t="s">
        <v>13</v>
      </c>
      <c r="E50" s="5" t="s">
        <v>9</v>
      </c>
      <c r="F50" s="5"/>
      <c r="G50" s="5"/>
      <c r="H50" s="7"/>
    </row>
    <row r="51" customFormat="false" ht="30" hidden="false" customHeight="true" outlineLevel="0" collapsed="false">
      <c r="A51" s="4" t="s">
        <v>6</v>
      </c>
      <c r="B51" s="5" t="s">
        <v>40</v>
      </c>
      <c r="C51" s="6" t="str">
        <f aca="false">HYPERLINK("https://partner.tcgplayer.com/c/6278691/1780961/21018?u=https%3A%2F%2Fwww.tcgplayer.com%2Fproduct%2F560336%3Futm_source%3Dimpact%26utm_medium%3Daffiliate%26utm_campaign%3Dpoke%2Bcottage","Slither Wing")</f>
        <v>Slither Wing</v>
      </c>
      <c r="D51" s="5" t="s">
        <v>13</v>
      </c>
      <c r="E51" s="5" t="s">
        <v>11</v>
      </c>
      <c r="F51" s="5"/>
      <c r="G51" s="5"/>
      <c r="H51" s="7"/>
    </row>
    <row r="52" customFormat="false" ht="30" hidden="false" customHeight="true" outlineLevel="0" collapsed="false">
      <c r="A52" s="4" t="s">
        <v>6</v>
      </c>
      <c r="B52" s="5" t="s">
        <v>41</v>
      </c>
      <c r="C52" s="6" t="str">
        <f aca="false">HYPERLINK("https://partner.tcgplayer.com/c/6278691/1780961/21018?u=https%3A%2F%2Fwww.tcgplayer.com%2Fproduct%2F560337%3Futm_source%3Dimpact%26utm_medium%3Daffiliate%26utm_campaign%3Dpoke%2Bcottage","Zubat")</f>
        <v>Zubat</v>
      </c>
      <c r="D52" s="5" t="s">
        <v>8</v>
      </c>
      <c r="E52" s="5" t="s">
        <v>9</v>
      </c>
      <c r="F52" s="5"/>
      <c r="G52" s="5"/>
      <c r="H52" s="7"/>
    </row>
    <row r="53" customFormat="false" ht="30" hidden="false" customHeight="true" outlineLevel="0" collapsed="false">
      <c r="A53" s="4" t="s">
        <v>6</v>
      </c>
      <c r="B53" s="5" t="s">
        <v>41</v>
      </c>
      <c r="C53" s="6" t="str">
        <f aca="false">HYPERLINK("https://partner.tcgplayer.com/c/6278691/1780961/21018?u=https%3A%2F%2Fwww.tcgplayer.com%2Fproduct%2F560337%3Futm_source%3Dimpact%26utm_medium%3Daffiliate%26utm_campaign%3Dpoke%2Bcottage","Zubat")</f>
        <v>Zubat</v>
      </c>
      <c r="D53" s="5" t="s">
        <v>8</v>
      </c>
      <c r="E53" s="5" t="s">
        <v>11</v>
      </c>
      <c r="F53" s="5"/>
      <c r="G53" s="5"/>
      <c r="H53" s="7"/>
    </row>
    <row r="54" customFormat="false" ht="30" hidden="false" customHeight="true" outlineLevel="0" collapsed="false">
      <c r="A54" s="4" t="s">
        <v>6</v>
      </c>
      <c r="B54" s="5" t="s">
        <v>42</v>
      </c>
      <c r="C54" s="6" t="str">
        <f aca="false">HYPERLINK("https://partner.tcgplayer.com/c/6278691/1780961/21018?u=https%3A%2F%2Fwww.tcgplayer.com%2Fproduct%2F560338%3Futm_source%3Dimpact%26utm_medium%3Daffiliate%26utm_campaign%3Dpoke%2Bcottage","Golbat")</f>
        <v>Golbat</v>
      </c>
      <c r="D54" s="5" t="s">
        <v>8</v>
      </c>
      <c r="E54" s="5" t="s">
        <v>9</v>
      </c>
      <c r="F54" s="5"/>
      <c r="G54" s="5"/>
      <c r="H54" s="7"/>
    </row>
    <row r="55" customFormat="false" ht="30" hidden="false" customHeight="true" outlineLevel="0" collapsed="false">
      <c r="A55" s="4" t="s">
        <v>6</v>
      </c>
      <c r="B55" s="5" t="s">
        <v>42</v>
      </c>
      <c r="C55" s="6" t="str">
        <f aca="false">HYPERLINK("https://partner.tcgplayer.com/c/6278691/1780961/21018?u=https%3A%2F%2Fwww.tcgplayer.com%2Fproduct%2F560338%3Futm_source%3Dimpact%26utm_medium%3Daffiliate%26utm_campaign%3Dpoke%2Bcottage","Golbat")</f>
        <v>Golbat</v>
      </c>
      <c r="D55" s="5" t="s">
        <v>8</v>
      </c>
      <c r="E55" s="5" t="s">
        <v>11</v>
      </c>
      <c r="F55" s="5"/>
      <c r="G55" s="5"/>
      <c r="H55" s="7"/>
    </row>
    <row r="56" customFormat="false" ht="30" hidden="false" customHeight="true" outlineLevel="0" collapsed="false">
      <c r="A56" s="4" t="s">
        <v>6</v>
      </c>
      <c r="B56" s="5" t="s">
        <v>43</v>
      </c>
      <c r="C56" s="6" t="str">
        <f aca="false">HYPERLINK("https://partner.tcgplayer.com/c/6278691/1780961/21018?u=https%3A%2F%2Fwww.tcgplayer.com%2Fproduct%2F560339%3Futm_source%3Dimpact%26utm_medium%3Daffiliate%26utm_campaign%3Dpoke%2Bcottage","Crobat")</f>
        <v>Crobat</v>
      </c>
      <c r="D56" s="5" t="s">
        <v>13</v>
      </c>
      <c r="E56" s="5" t="s">
        <v>9</v>
      </c>
      <c r="F56" s="5"/>
      <c r="G56" s="5"/>
      <c r="H56" s="7"/>
    </row>
    <row r="57" customFormat="false" ht="30" hidden="false" customHeight="true" outlineLevel="0" collapsed="false">
      <c r="A57" s="4" t="s">
        <v>6</v>
      </c>
      <c r="B57" s="5" t="s">
        <v>43</v>
      </c>
      <c r="C57" s="6" t="str">
        <f aca="false">HYPERLINK("https://partner.tcgplayer.com/c/6278691/1780961/21018?u=https%3A%2F%2Fwww.tcgplayer.com%2Fproduct%2F560339%3Futm_source%3Dimpact%26utm_medium%3Daffiliate%26utm_campaign%3Dpoke%2Bcottage","Crobat")</f>
        <v>Crobat</v>
      </c>
      <c r="D57" s="5" t="s">
        <v>13</v>
      </c>
      <c r="E57" s="5" t="s">
        <v>11</v>
      </c>
      <c r="F57" s="5"/>
      <c r="G57" s="5"/>
      <c r="H57" s="7"/>
    </row>
    <row r="58" customFormat="false" ht="30" hidden="false" customHeight="true" outlineLevel="0" collapsed="false">
      <c r="A58" s="4" t="s">
        <v>6</v>
      </c>
      <c r="B58" s="5" t="s">
        <v>44</v>
      </c>
      <c r="C58" s="6" t="str">
        <f aca="false">HYPERLINK("https://partner.tcgplayer.com/c/6278691/1780961/21018?u=https%3A%2F%2Fwww.tcgplayer.com%2Fproduct%2F560340%3Futm_source%3Dimpact%26utm_medium%3Daffiliate%26utm_campaign%3Dpoke%2Bcottage","Absol")</f>
        <v>Absol</v>
      </c>
      <c r="D58" s="5" t="s">
        <v>8</v>
      </c>
      <c r="E58" s="5" t="s">
        <v>9</v>
      </c>
      <c r="F58" s="5"/>
      <c r="G58" s="5"/>
      <c r="H58" s="7"/>
    </row>
    <row r="59" customFormat="false" ht="30" hidden="false" customHeight="true" outlineLevel="0" collapsed="false">
      <c r="A59" s="4" t="s">
        <v>6</v>
      </c>
      <c r="B59" s="5" t="s">
        <v>44</v>
      </c>
      <c r="C59" s="6" t="str">
        <f aca="false">HYPERLINK("https://partner.tcgplayer.com/c/6278691/1780961/21018?u=https%3A%2F%2Fwww.tcgplayer.com%2Fproduct%2F560340%3Futm_source%3Dimpact%26utm_medium%3Daffiliate%26utm_campaign%3Dpoke%2Bcottage","Absol")</f>
        <v>Absol</v>
      </c>
      <c r="D59" s="5" t="s">
        <v>8</v>
      </c>
      <c r="E59" s="5" t="s">
        <v>11</v>
      </c>
      <c r="F59" s="5"/>
      <c r="G59" s="5"/>
      <c r="H59" s="7"/>
    </row>
    <row r="60" customFormat="false" ht="30" hidden="false" customHeight="true" outlineLevel="0" collapsed="false">
      <c r="A60" s="4" t="s">
        <v>6</v>
      </c>
      <c r="B60" s="5" t="s">
        <v>45</v>
      </c>
      <c r="C60" s="6" t="str">
        <f aca="false">HYPERLINK("https://partner.tcgplayer.com/c/6278691/1780961/21018?u=https%3A%2F%2Fwww.tcgplayer.com%2Fproduct%2F560341%3Futm_source%3Dimpact%26utm_medium%3Daffiliate%26utm_campaign%3Dpoke%2Bcottage","Zorua")</f>
        <v>Zorua</v>
      </c>
      <c r="D60" s="5" t="s">
        <v>8</v>
      </c>
      <c r="E60" s="5" t="s">
        <v>9</v>
      </c>
      <c r="F60" s="5"/>
      <c r="G60" s="5"/>
      <c r="H60" s="7"/>
    </row>
    <row r="61" customFormat="false" ht="30" hidden="false" customHeight="true" outlineLevel="0" collapsed="false">
      <c r="A61" s="4" t="s">
        <v>6</v>
      </c>
      <c r="B61" s="5" t="s">
        <v>45</v>
      </c>
      <c r="C61" s="6" t="str">
        <f aca="false">HYPERLINK("https://partner.tcgplayer.com/c/6278691/1780961/21018?u=https%3A%2F%2Fwww.tcgplayer.com%2Fproduct%2F560341%3Futm_source%3Dimpact%26utm_medium%3Daffiliate%26utm_campaign%3Dpoke%2Bcottage","Zorua")</f>
        <v>Zorua</v>
      </c>
      <c r="D61" s="5" t="s">
        <v>8</v>
      </c>
      <c r="E61" s="5" t="s">
        <v>11</v>
      </c>
      <c r="F61" s="5"/>
      <c r="G61" s="5"/>
      <c r="H61" s="7"/>
    </row>
    <row r="62" customFormat="false" ht="30" hidden="false" customHeight="true" outlineLevel="0" collapsed="false">
      <c r="A62" s="4" t="s">
        <v>6</v>
      </c>
      <c r="B62" s="5" t="s">
        <v>46</v>
      </c>
      <c r="C62" s="6" t="str">
        <f aca="false">HYPERLINK("https://partner.tcgplayer.com/c/6278691/1780961/21018?u=https%3A%2F%2Fwww.tcgplayer.com%2Fproduct%2F560342%3Futm_source%3Dimpact%26utm_medium%3Daffiliate%26utm_campaign%3Dpoke%2Bcottage","Zoroark")</f>
        <v>Zoroark</v>
      </c>
      <c r="D62" s="5" t="s">
        <v>18</v>
      </c>
      <c r="E62" s="5" t="s">
        <v>19</v>
      </c>
      <c r="F62" s="5"/>
      <c r="G62" s="5"/>
      <c r="H62" s="7"/>
    </row>
    <row r="63" customFormat="false" ht="30" hidden="false" customHeight="true" outlineLevel="0" collapsed="false">
      <c r="A63" s="4" t="s">
        <v>6</v>
      </c>
      <c r="B63" s="5" t="s">
        <v>46</v>
      </c>
      <c r="C63" s="6" t="str">
        <f aca="false">HYPERLINK("https://partner.tcgplayer.com/c/6278691/1780961/21018?u=https%3A%2F%2Fwww.tcgplayer.com%2Fproduct%2F560342%3Futm_source%3Dimpact%26utm_medium%3Daffiliate%26utm_campaign%3Dpoke%2Bcottage","Zoroark")</f>
        <v>Zoroark</v>
      </c>
      <c r="D63" s="5" t="s">
        <v>18</v>
      </c>
      <c r="E63" s="5" t="s">
        <v>11</v>
      </c>
      <c r="F63" s="5"/>
      <c r="G63" s="5"/>
      <c r="H63" s="7"/>
    </row>
    <row r="64" customFormat="false" ht="30" hidden="false" customHeight="true" outlineLevel="0" collapsed="false">
      <c r="A64" s="4" t="s">
        <v>6</v>
      </c>
      <c r="B64" s="5" t="s">
        <v>47</v>
      </c>
      <c r="C64" s="6" t="str">
        <f aca="false">HYPERLINK("https://partner.tcgplayer.com/c/6278691/1780961/21018?u=https%3A%2F%2Fwww.tcgplayer.com%2Fproduct%2F560343%3Futm_source%3Dimpact%26utm_medium%3Daffiliate%26utm_campaign%3Dpoke%2Bcottage","Inkay")</f>
        <v>Inkay</v>
      </c>
      <c r="D64" s="5" t="s">
        <v>8</v>
      </c>
      <c r="E64" s="5" t="s">
        <v>9</v>
      </c>
      <c r="F64" s="5"/>
      <c r="G64" s="5"/>
      <c r="H64" s="7"/>
    </row>
    <row r="65" customFormat="false" ht="30" hidden="false" customHeight="true" outlineLevel="0" collapsed="false">
      <c r="A65" s="4" t="s">
        <v>6</v>
      </c>
      <c r="B65" s="5" t="s">
        <v>47</v>
      </c>
      <c r="C65" s="6" t="str">
        <f aca="false">HYPERLINK("https://partner.tcgplayer.com/c/6278691/1780961/21018?u=https%3A%2F%2Fwww.tcgplayer.com%2Fproduct%2F560343%3Futm_source%3Dimpact%26utm_medium%3Daffiliate%26utm_campaign%3Dpoke%2Bcottage","Inkay")</f>
        <v>Inkay</v>
      </c>
      <c r="D65" s="5" t="s">
        <v>8</v>
      </c>
      <c r="E65" s="5" t="s">
        <v>11</v>
      </c>
      <c r="F65" s="5"/>
      <c r="G65" s="5"/>
      <c r="H65" s="7"/>
    </row>
    <row r="66" customFormat="false" ht="30" hidden="false" customHeight="true" outlineLevel="0" collapsed="false">
      <c r="A66" s="4" t="s">
        <v>6</v>
      </c>
      <c r="B66" s="5" t="s">
        <v>48</v>
      </c>
      <c r="C66" s="6" t="str">
        <f aca="false">HYPERLINK("https://partner.tcgplayer.com/c/6278691/1780961/21018?u=https%3A%2F%2Fwww.tcgplayer.com%2Fproduct%2F560344%3Futm_source%3Dimpact%26utm_medium%3Daffiliate%26utm_campaign%3Dpoke%2Bcottage","Malamar")</f>
        <v>Malamar</v>
      </c>
      <c r="D66" s="5" t="s">
        <v>13</v>
      </c>
      <c r="E66" s="5" t="s">
        <v>9</v>
      </c>
      <c r="F66" s="5"/>
      <c r="G66" s="5"/>
      <c r="H66" s="7"/>
    </row>
    <row r="67" customFormat="false" ht="30" hidden="false" customHeight="true" outlineLevel="0" collapsed="false">
      <c r="A67" s="4" t="s">
        <v>6</v>
      </c>
      <c r="B67" s="5" t="s">
        <v>48</v>
      </c>
      <c r="C67" s="6" t="str">
        <f aca="false">HYPERLINK("https://partner.tcgplayer.com/c/6278691/1780961/21018?u=https%3A%2F%2Fwww.tcgplayer.com%2Fproduct%2F560344%3Futm_source%3Dimpact%26utm_medium%3Daffiliate%26utm_campaign%3Dpoke%2Bcottage","Malamar")</f>
        <v>Malamar</v>
      </c>
      <c r="D67" s="5" t="s">
        <v>13</v>
      </c>
      <c r="E67" s="5" t="s">
        <v>11</v>
      </c>
      <c r="F67" s="5"/>
      <c r="G67" s="5"/>
      <c r="H67" s="7"/>
    </row>
    <row r="68" customFormat="false" ht="30" hidden="false" customHeight="true" outlineLevel="0" collapsed="false">
      <c r="A68" s="4" t="s">
        <v>6</v>
      </c>
      <c r="B68" s="5" t="s">
        <v>49</v>
      </c>
      <c r="C68" s="6" t="str">
        <f aca="false">HYPERLINK("https://partner.tcgplayer.com/c/6278691/1780961/21018?u=https%3A%2F%2Fwww.tcgplayer.com%2Fproduct%2F560345%3Futm_source%3Dimpact%26utm_medium%3Daffiliate%26utm_campaign%3Dpoke%2Bcottage","Yveltal")</f>
        <v>Yveltal</v>
      </c>
      <c r="D68" s="5" t="s">
        <v>13</v>
      </c>
      <c r="E68" s="5" t="s">
        <v>9</v>
      </c>
      <c r="F68" s="5"/>
      <c r="G68" s="5"/>
      <c r="H68" s="7"/>
    </row>
    <row r="69" customFormat="false" ht="30" hidden="false" customHeight="true" outlineLevel="0" collapsed="false">
      <c r="A69" s="4" t="s">
        <v>6</v>
      </c>
      <c r="B69" s="5" t="s">
        <v>49</v>
      </c>
      <c r="C69" s="6" t="str">
        <f aca="false">HYPERLINK("https://partner.tcgplayer.com/c/6278691/1780961/21018?u=https%3A%2F%2Fwww.tcgplayer.com%2Fproduct%2F560345%3Futm_source%3Dimpact%26utm_medium%3Daffiliate%26utm_campaign%3Dpoke%2Bcottage","Yveltal")</f>
        <v>Yveltal</v>
      </c>
      <c r="D69" s="5" t="s">
        <v>13</v>
      </c>
      <c r="E69" s="5" t="s">
        <v>11</v>
      </c>
      <c r="F69" s="5"/>
      <c r="G69" s="5"/>
      <c r="H69" s="7"/>
    </row>
    <row r="70" customFormat="false" ht="30" hidden="false" customHeight="true" outlineLevel="0" collapsed="false">
      <c r="A70" s="4" t="s">
        <v>6</v>
      </c>
      <c r="B70" s="5" t="s">
        <v>50</v>
      </c>
      <c r="C70" s="6" t="str">
        <f aca="false">HYPERLINK("https://partner.tcgplayer.com/c/6278691/1780961/21018?u=https%3A%2F%2Fwww.tcgplayer.com%2Fproduct%2F560346%3Futm_source%3Dimpact%26utm_medium%3Daffiliate%26utm_campaign%3Dpoke%2Bcottage","Okidogi ex")</f>
        <v>Okidogi ex</v>
      </c>
      <c r="D70" s="5" t="s">
        <v>26</v>
      </c>
      <c r="E70" s="5" t="s">
        <v>19</v>
      </c>
      <c r="F70" s="5"/>
      <c r="G70" s="5"/>
      <c r="H70" s="7"/>
    </row>
    <row r="71" customFormat="false" ht="30" hidden="false" customHeight="true" outlineLevel="0" collapsed="false">
      <c r="A71" s="4" t="s">
        <v>6</v>
      </c>
      <c r="B71" s="5" t="s">
        <v>51</v>
      </c>
      <c r="C71" s="6" t="str">
        <f aca="false">HYPERLINK("https://partner.tcgplayer.com/c/6278691/1780961/21018?u=https%3A%2F%2Fwww.tcgplayer.com%2Fproduct%2F560347%3Futm_source%3Dimpact%26utm_medium%3Daffiliate%26utm_campaign%3Dpoke%2Bcottage","Munkidori ex")</f>
        <v>Munkidori ex</v>
      </c>
      <c r="D71" s="5" t="s">
        <v>26</v>
      </c>
      <c r="E71" s="5" t="s">
        <v>19</v>
      </c>
      <c r="F71" s="5"/>
      <c r="G71" s="5"/>
      <c r="H71" s="7"/>
    </row>
    <row r="72" customFormat="false" ht="30" hidden="false" customHeight="true" outlineLevel="0" collapsed="false">
      <c r="A72" s="4" t="s">
        <v>6</v>
      </c>
      <c r="B72" s="5" t="s">
        <v>52</v>
      </c>
      <c r="C72" s="6" t="str">
        <f aca="false">HYPERLINK("https://partner.tcgplayer.com/c/6278691/1780961/21018?u=https%3A%2F%2Fwww.tcgplayer.com%2Fproduct%2F560348%3Futm_source%3Dimpact%26utm_medium%3Daffiliate%26utm_campaign%3Dpoke%2Bcottage","Fezandipiti ex")</f>
        <v>Fezandipiti ex</v>
      </c>
      <c r="D72" s="5" t="s">
        <v>26</v>
      </c>
      <c r="E72" s="5" t="s">
        <v>19</v>
      </c>
      <c r="F72" s="5"/>
      <c r="G72" s="5"/>
      <c r="H72" s="7"/>
    </row>
    <row r="73" customFormat="false" ht="30" hidden="false" customHeight="true" outlineLevel="0" collapsed="false">
      <c r="A73" s="4" t="s">
        <v>6</v>
      </c>
      <c r="B73" s="5" t="s">
        <v>53</v>
      </c>
      <c r="C73" s="6" t="str">
        <f aca="false">HYPERLINK("https://partner.tcgplayer.com/c/6278691/1780961/21018?u=https%3A%2F%2Fwww.tcgplayer.com%2Fproduct%2F560349%3Futm_source%3Dimpact%26utm_medium%3Daffiliate%26utm_campaign%3Dpoke%2Bcottage","Pecharunt ex")</f>
        <v>Pecharunt ex</v>
      </c>
      <c r="D73" s="5" t="s">
        <v>26</v>
      </c>
      <c r="E73" s="5" t="s">
        <v>19</v>
      </c>
      <c r="F73" s="5"/>
      <c r="G73" s="5"/>
      <c r="H73" s="7"/>
    </row>
    <row r="74" customFormat="false" ht="30" hidden="false" customHeight="true" outlineLevel="0" collapsed="false">
      <c r="A74" s="4" t="s">
        <v>6</v>
      </c>
      <c r="B74" s="5" t="s">
        <v>54</v>
      </c>
      <c r="C74" s="6" t="str">
        <f aca="false">HYPERLINK("https://partner.tcgplayer.com/c/6278691/1780961/21018?u=https%3A%2F%2Fwww.tcgplayer.com%2Fproduct%2F560350%3Futm_source%3Dimpact%26utm_medium%3Daffiliate%26utm_campaign%3Dpoke%2Bcottage","Genesect")</f>
        <v>Genesect</v>
      </c>
      <c r="D74" s="5" t="s">
        <v>13</v>
      </c>
      <c r="E74" s="5" t="s">
        <v>9</v>
      </c>
      <c r="F74" s="5"/>
      <c r="G74" s="5"/>
      <c r="H74" s="7"/>
    </row>
    <row r="75" customFormat="false" ht="30" hidden="false" customHeight="true" outlineLevel="0" collapsed="false">
      <c r="A75" s="4" t="s">
        <v>6</v>
      </c>
      <c r="B75" s="5" t="s">
        <v>54</v>
      </c>
      <c r="C75" s="6" t="str">
        <f aca="false">HYPERLINK("https://partner.tcgplayer.com/c/6278691/1780961/21018?u=https%3A%2F%2Fwww.tcgplayer.com%2Fproduct%2F560350%3Futm_source%3Dimpact%26utm_medium%3Daffiliate%26utm_campaign%3Dpoke%2Bcottage","Genesect")</f>
        <v>Genesect</v>
      </c>
      <c r="D75" s="5" t="s">
        <v>13</v>
      </c>
      <c r="E75" s="5" t="s">
        <v>11</v>
      </c>
      <c r="F75" s="5"/>
      <c r="G75" s="5"/>
      <c r="H75" s="7"/>
    </row>
    <row r="76" customFormat="false" ht="30" hidden="false" customHeight="true" outlineLevel="0" collapsed="false">
      <c r="A76" s="4" t="s">
        <v>6</v>
      </c>
      <c r="B76" s="5" t="s">
        <v>55</v>
      </c>
      <c r="C76" s="6" t="str">
        <f aca="false">HYPERLINK("https://partner.tcgplayer.com/c/6278691/1780961/21018?u=https%3A%2F%2Fwww.tcgplayer.com%2Fproduct%2F560351%3Futm_source%3Dimpact%26utm_medium%3Daffiliate%26utm_campaign%3Dpoke%2Bcottage","Cufant")</f>
        <v>Cufant</v>
      </c>
      <c r="D76" s="5" t="s">
        <v>8</v>
      </c>
      <c r="E76" s="5" t="s">
        <v>9</v>
      </c>
      <c r="F76" s="5"/>
      <c r="G76" s="5"/>
      <c r="H76" s="7"/>
    </row>
    <row r="77" customFormat="false" ht="30" hidden="false" customHeight="true" outlineLevel="0" collapsed="false">
      <c r="A77" s="4" t="s">
        <v>6</v>
      </c>
      <c r="B77" s="5" t="s">
        <v>55</v>
      </c>
      <c r="C77" s="6" t="str">
        <f aca="false">HYPERLINK("https://partner.tcgplayer.com/c/6278691/1780961/21018?u=https%3A%2F%2Fwww.tcgplayer.com%2Fproduct%2F560351%3Futm_source%3Dimpact%26utm_medium%3Daffiliate%26utm_campaign%3Dpoke%2Bcottage","Cufant")</f>
        <v>Cufant</v>
      </c>
      <c r="D77" s="5" t="s">
        <v>8</v>
      </c>
      <c r="E77" s="5" t="s">
        <v>11</v>
      </c>
      <c r="F77" s="5"/>
      <c r="G77" s="5"/>
      <c r="H77" s="7"/>
    </row>
    <row r="78" customFormat="false" ht="30" hidden="false" customHeight="true" outlineLevel="0" collapsed="false">
      <c r="A78" s="4" t="s">
        <v>6</v>
      </c>
      <c r="B78" s="5" t="s">
        <v>56</v>
      </c>
      <c r="C78" s="6" t="str">
        <f aca="false">HYPERLINK("https://partner.tcgplayer.com/c/6278691/1780961/21018?u=https%3A%2F%2Fwww.tcgplayer.com%2Fproduct%2F560352%3Futm_source%3Dimpact%26utm_medium%3Daffiliate%26utm_campaign%3Dpoke%2Bcottage","Copperajah")</f>
        <v>Copperajah</v>
      </c>
      <c r="D78" s="5" t="s">
        <v>18</v>
      </c>
      <c r="E78" s="5" t="s">
        <v>19</v>
      </c>
      <c r="F78" s="5"/>
      <c r="G78" s="5"/>
      <c r="H78" s="7"/>
    </row>
    <row r="79" customFormat="false" ht="30" hidden="false" customHeight="true" outlineLevel="0" collapsed="false">
      <c r="A79" s="4" t="s">
        <v>6</v>
      </c>
      <c r="B79" s="5" t="s">
        <v>56</v>
      </c>
      <c r="C79" s="6" t="str">
        <f aca="false">HYPERLINK("https://partner.tcgplayer.com/c/6278691/1780961/21018?u=https%3A%2F%2Fwww.tcgplayer.com%2Fproduct%2F560352%3Futm_source%3Dimpact%26utm_medium%3Daffiliate%26utm_campaign%3Dpoke%2Bcottage","Copperajah")</f>
        <v>Copperajah</v>
      </c>
      <c r="D79" s="5" t="s">
        <v>18</v>
      </c>
      <c r="E79" s="5" t="s">
        <v>11</v>
      </c>
      <c r="F79" s="5"/>
      <c r="G79" s="5"/>
      <c r="H79" s="7"/>
    </row>
    <row r="80" customFormat="false" ht="30" hidden="false" customHeight="true" outlineLevel="0" collapsed="false">
      <c r="A80" s="4" t="s">
        <v>6</v>
      </c>
      <c r="B80" s="5" t="s">
        <v>57</v>
      </c>
      <c r="C80" s="6" t="str">
        <f aca="false">HYPERLINK("https://partner.tcgplayer.com/c/6278691/1780961/21018?u=https%3A%2F%2Fwww.tcgplayer.com%2Fproduct%2F560353%3Futm_source%3Dimpact%26utm_medium%3Daffiliate%26utm_campaign%3Dpoke%2Bcottage","Varoom")</f>
        <v>Varoom</v>
      </c>
      <c r="D80" s="5" t="s">
        <v>8</v>
      </c>
      <c r="E80" s="5" t="s">
        <v>9</v>
      </c>
      <c r="F80" s="5"/>
      <c r="G80" s="5"/>
      <c r="H80" s="7"/>
    </row>
    <row r="81" customFormat="false" ht="30" hidden="false" customHeight="true" outlineLevel="0" collapsed="false">
      <c r="A81" s="4" t="s">
        <v>6</v>
      </c>
      <c r="B81" s="5" t="s">
        <v>57</v>
      </c>
      <c r="C81" s="6" t="str">
        <f aca="false">HYPERLINK("https://partner.tcgplayer.com/c/6278691/1780961/21018?u=https%3A%2F%2Fwww.tcgplayer.com%2Fproduct%2F560353%3Futm_source%3Dimpact%26utm_medium%3Daffiliate%26utm_campaign%3Dpoke%2Bcottage","Varoom")</f>
        <v>Varoom</v>
      </c>
      <c r="D81" s="5" t="s">
        <v>8</v>
      </c>
      <c r="E81" s="5" t="s">
        <v>11</v>
      </c>
      <c r="F81" s="5"/>
      <c r="G81" s="5"/>
      <c r="H81" s="7"/>
    </row>
    <row r="82" customFormat="false" ht="30" hidden="false" customHeight="true" outlineLevel="0" collapsed="false">
      <c r="A82" s="4" t="s">
        <v>6</v>
      </c>
      <c r="B82" s="5" t="s">
        <v>58</v>
      </c>
      <c r="C82" s="6" t="str">
        <f aca="false">HYPERLINK("https://partner.tcgplayer.com/c/6278691/1780961/21018?u=https%3A%2F%2Fwww.tcgplayer.com%2Fproduct%2F560354%3Futm_source%3Dimpact%26utm_medium%3Daffiliate%26utm_campaign%3Dpoke%2Bcottage","Axew")</f>
        <v>Axew</v>
      </c>
      <c r="D82" s="5" t="s">
        <v>8</v>
      </c>
      <c r="E82" s="5" t="s">
        <v>9</v>
      </c>
      <c r="F82" s="5"/>
      <c r="G82" s="5"/>
      <c r="H82" s="7"/>
    </row>
    <row r="83" customFormat="false" ht="30" hidden="false" customHeight="true" outlineLevel="0" collapsed="false">
      <c r="A83" s="4" t="s">
        <v>6</v>
      </c>
      <c r="B83" s="5" t="s">
        <v>58</v>
      </c>
      <c r="C83" s="6" t="str">
        <f aca="false">HYPERLINK("https://partner.tcgplayer.com/c/6278691/1780961/21018?u=https%3A%2F%2Fwww.tcgplayer.com%2Fproduct%2F560354%3Futm_source%3Dimpact%26utm_medium%3Daffiliate%26utm_campaign%3Dpoke%2Bcottage","Axew")</f>
        <v>Axew</v>
      </c>
      <c r="D83" s="5" t="s">
        <v>8</v>
      </c>
      <c r="E83" s="5" t="s">
        <v>11</v>
      </c>
      <c r="F83" s="5"/>
      <c r="G83" s="5"/>
      <c r="H83" s="7"/>
    </row>
    <row r="84" customFormat="false" ht="30" hidden="false" customHeight="true" outlineLevel="0" collapsed="false">
      <c r="A84" s="4" t="s">
        <v>6</v>
      </c>
      <c r="B84" s="5" t="s">
        <v>59</v>
      </c>
      <c r="C84" s="6" t="str">
        <f aca="false">HYPERLINK("https://partner.tcgplayer.com/c/6278691/1780961/21018?u=https%3A%2F%2Fwww.tcgplayer.com%2Fproduct%2F560355%3Futm_source%3Dimpact%26utm_medium%3Daffiliate%26utm_campaign%3Dpoke%2Bcottage","Fraxure")</f>
        <v>Fraxure</v>
      </c>
      <c r="D84" s="5" t="s">
        <v>8</v>
      </c>
      <c r="E84" s="5" t="s">
        <v>9</v>
      </c>
      <c r="F84" s="5"/>
      <c r="G84" s="5"/>
      <c r="H84" s="7"/>
    </row>
    <row r="85" customFormat="false" ht="30" hidden="false" customHeight="true" outlineLevel="0" collapsed="false">
      <c r="A85" s="4" t="s">
        <v>6</v>
      </c>
      <c r="B85" s="5" t="s">
        <v>59</v>
      </c>
      <c r="C85" s="6" t="str">
        <f aca="false">HYPERLINK("https://partner.tcgplayer.com/c/6278691/1780961/21018?u=https%3A%2F%2Fwww.tcgplayer.com%2Fproduct%2F560355%3Futm_source%3Dimpact%26utm_medium%3Daffiliate%26utm_campaign%3Dpoke%2Bcottage","Fraxure")</f>
        <v>Fraxure</v>
      </c>
      <c r="D85" s="5" t="s">
        <v>8</v>
      </c>
      <c r="E85" s="5" t="s">
        <v>11</v>
      </c>
      <c r="F85" s="5"/>
      <c r="G85" s="5"/>
      <c r="H85" s="7"/>
    </row>
    <row r="86" customFormat="false" ht="30" hidden="false" customHeight="true" outlineLevel="0" collapsed="false">
      <c r="A86" s="4" t="s">
        <v>6</v>
      </c>
      <c r="B86" s="5" t="s">
        <v>60</v>
      </c>
      <c r="C86" s="6" t="str">
        <f aca="false">HYPERLINK("https://partner.tcgplayer.com/c/6278691/1780961/21018?u=https%3A%2F%2Fwww.tcgplayer.com%2Fproduct%2F560356%3Futm_source%3Dimpact%26utm_medium%3Daffiliate%26utm_campaign%3Dpoke%2Bcottage","Haxorus")</f>
        <v>Haxorus</v>
      </c>
      <c r="D86" s="5" t="s">
        <v>18</v>
      </c>
      <c r="E86" s="5" t="s">
        <v>19</v>
      </c>
      <c r="F86" s="5"/>
      <c r="G86" s="5"/>
      <c r="H86" s="7"/>
    </row>
    <row r="87" customFormat="false" ht="30" hidden="false" customHeight="true" outlineLevel="0" collapsed="false">
      <c r="A87" s="4" t="s">
        <v>6</v>
      </c>
      <c r="B87" s="5" t="s">
        <v>60</v>
      </c>
      <c r="C87" s="6" t="str">
        <f aca="false">HYPERLINK("https://partner.tcgplayer.com/c/6278691/1780961/21018?u=https%3A%2F%2Fwww.tcgplayer.com%2Fproduct%2F560356%3Futm_source%3Dimpact%26utm_medium%3Daffiliate%26utm_campaign%3Dpoke%2Bcottage","Haxorus")</f>
        <v>Haxorus</v>
      </c>
      <c r="D87" s="5" t="s">
        <v>18</v>
      </c>
      <c r="E87" s="5" t="s">
        <v>11</v>
      </c>
      <c r="F87" s="5"/>
      <c r="G87" s="5"/>
      <c r="H87" s="7"/>
    </row>
    <row r="88" customFormat="false" ht="30" hidden="false" customHeight="true" outlineLevel="0" collapsed="false">
      <c r="A88" s="4" t="s">
        <v>6</v>
      </c>
      <c r="B88" s="5" t="s">
        <v>61</v>
      </c>
      <c r="C88" s="6" t="str">
        <f aca="false">HYPERLINK("https://partner.tcgplayer.com/c/6278691/1780961/21018?u=https%3A%2F%2Fwww.tcgplayer.com%2Fproduct%2F560358%3Futm_source%3Dimpact%26utm_medium%3Daffiliate%26utm_campaign%3Dpoke%2Bcottage","Kyurem")</f>
        <v>Kyurem</v>
      </c>
      <c r="D88" s="5" t="s">
        <v>13</v>
      </c>
      <c r="E88" s="5" t="s">
        <v>9</v>
      </c>
      <c r="F88" s="5"/>
      <c r="G88" s="5"/>
      <c r="H88" s="7"/>
    </row>
    <row r="89" customFormat="false" ht="30" hidden="false" customHeight="true" outlineLevel="0" collapsed="false">
      <c r="A89" s="4" t="s">
        <v>6</v>
      </c>
      <c r="B89" s="5" t="s">
        <v>61</v>
      </c>
      <c r="C89" s="6" t="str">
        <f aca="false">HYPERLINK("https://partner.tcgplayer.com/c/6278691/1780961/21018?u=https%3A%2F%2Fwww.tcgplayer.com%2Fproduct%2F560358%3Futm_source%3Dimpact%26utm_medium%3Daffiliate%26utm_campaign%3Dpoke%2Bcottage","Kyurem")</f>
        <v>Kyurem</v>
      </c>
      <c r="D89" s="5" t="s">
        <v>13</v>
      </c>
      <c r="E89" s="5" t="s">
        <v>11</v>
      </c>
      <c r="F89" s="5"/>
      <c r="G89" s="5"/>
      <c r="H89" s="7"/>
    </row>
    <row r="90" customFormat="false" ht="30" hidden="false" customHeight="true" outlineLevel="0" collapsed="false">
      <c r="A90" s="4" t="s">
        <v>6</v>
      </c>
      <c r="B90" s="5" t="s">
        <v>62</v>
      </c>
      <c r="C90" s="6" t="str">
        <f aca="false">HYPERLINK("https://partner.tcgplayer.com/c/6278691/1780961/21018?u=https%3A%2F%2Fwww.tcgplayer.com%2Fproduct%2F560359%3Futm_source%3Dimpact%26utm_medium%3Daffiliate%26utm_campaign%3Dpoke%2Bcottage","Meowth")</f>
        <v>Meowth</v>
      </c>
      <c r="D90" s="5" t="s">
        <v>8</v>
      </c>
      <c r="E90" s="5" t="s">
        <v>9</v>
      </c>
      <c r="F90" s="5"/>
      <c r="G90" s="5"/>
      <c r="H90" s="7"/>
    </row>
    <row r="91" customFormat="false" ht="30" hidden="false" customHeight="true" outlineLevel="0" collapsed="false">
      <c r="A91" s="4" t="s">
        <v>6</v>
      </c>
      <c r="B91" s="5" t="s">
        <v>62</v>
      </c>
      <c r="C91" s="6" t="str">
        <f aca="false">HYPERLINK("https://partner.tcgplayer.com/c/6278691/1780961/21018?u=https%3A%2F%2Fwww.tcgplayer.com%2Fproduct%2F560359%3Futm_source%3Dimpact%26utm_medium%3Daffiliate%26utm_campaign%3Dpoke%2Bcottage","Meowth")</f>
        <v>Meowth</v>
      </c>
      <c r="D91" s="5" t="s">
        <v>8</v>
      </c>
      <c r="E91" s="5" t="s">
        <v>11</v>
      </c>
      <c r="F91" s="5"/>
      <c r="G91" s="5"/>
      <c r="H91" s="7"/>
    </row>
    <row r="92" customFormat="false" ht="30" hidden="false" customHeight="true" outlineLevel="0" collapsed="false">
      <c r="A92" s="4" t="s">
        <v>6</v>
      </c>
      <c r="B92" s="5" t="s">
        <v>63</v>
      </c>
      <c r="C92" s="6" t="str">
        <f aca="false">HYPERLINK("https://partner.tcgplayer.com/c/6278691/1780961/21018?u=https%3A%2F%2Fwww.tcgplayer.com%2Fproduct%2F560360%3Futm_source%3Dimpact%26utm_medium%3Daffiliate%26utm_campaign%3Dpoke%2Bcottage","Persian")</f>
        <v>Persian</v>
      </c>
      <c r="D92" s="5" t="s">
        <v>8</v>
      </c>
      <c r="E92" s="5" t="s">
        <v>9</v>
      </c>
      <c r="F92" s="5"/>
      <c r="G92" s="5"/>
      <c r="H92" s="7"/>
    </row>
    <row r="93" customFormat="false" ht="30" hidden="false" customHeight="true" outlineLevel="0" collapsed="false">
      <c r="A93" s="4" t="s">
        <v>6</v>
      </c>
      <c r="B93" s="5" t="s">
        <v>63</v>
      </c>
      <c r="C93" s="6" t="str">
        <f aca="false">HYPERLINK("https://partner.tcgplayer.com/c/6278691/1780961/21018?u=https%3A%2F%2Fwww.tcgplayer.com%2Fproduct%2F560360%3Futm_source%3Dimpact%26utm_medium%3Daffiliate%26utm_campaign%3Dpoke%2Bcottage","Persian")</f>
        <v>Persian</v>
      </c>
      <c r="D93" s="5" t="s">
        <v>8</v>
      </c>
      <c r="E93" s="5" t="s">
        <v>11</v>
      </c>
      <c r="F93" s="5"/>
      <c r="G93" s="5"/>
      <c r="H93" s="7"/>
    </row>
    <row r="94" customFormat="false" ht="30" hidden="false" customHeight="true" outlineLevel="0" collapsed="false">
      <c r="A94" s="4" t="s">
        <v>6</v>
      </c>
      <c r="B94" s="5" t="s">
        <v>64</v>
      </c>
      <c r="C94" s="6" t="str">
        <f aca="false">HYPERLINK("https://partner.tcgplayer.com/c/6278691/1780961/21018?u=https%3A%2F%2Fwww.tcgplayer.com%2Fproduct%2F560361%3Futm_source%3Dimpact%26utm_medium%3Daffiliate%26utm_campaign%3Dpoke%2Bcottage","Eevee")</f>
        <v>Eevee</v>
      </c>
      <c r="D94" s="5" t="s">
        <v>8</v>
      </c>
      <c r="E94" s="5" t="s">
        <v>9</v>
      </c>
      <c r="F94" s="5"/>
      <c r="G94" s="5"/>
      <c r="H94" s="7"/>
    </row>
    <row r="95" customFormat="false" ht="30" hidden="false" customHeight="true" outlineLevel="0" collapsed="false">
      <c r="A95" s="4" t="s">
        <v>6</v>
      </c>
      <c r="B95" s="5" t="s">
        <v>64</v>
      </c>
      <c r="C95" s="6" t="str">
        <f aca="false">HYPERLINK("https://partner.tcgplayer.com/c/6278691/1780961/21018?u=https%3A%2F%2Fwww.tcgplayer.com%2Fproduct%2F560361%3Futm_source%3Dimpact%26utm_medium%3Daffiliate%26utm_campaign%3Dpoke%2Bcottage","Eevee")</f>
        <v>Eevee</v>
      </c>
      <c r="D95" s="5" t="s">
        <v>8</v>
      </c>
      <c r="E95" s="5" t="s">
        <v>11</v>
      </c>
      <c r="F95" s="5"/>
      <c r="G95" s="5"/>
      <c r="H95" s="7"/>
    </row>
    <row r="96" customFormat="false" ht="30" hidden="false" customHeight="true" outlineLevel="0" collapsed="false">
      <c r="A96" s="4" t="s">
        <v>6</v>
      </c>
      <c r="B96" s="5" t="s">
        <v>65</v>
      </c>
      <c r="C96" s="6" t="str">
        <f aca="false">HYPERLINK("https://partner.tcgplayer.com/c/6278691/1780961/21018?u=https%3A%2F%2Fwww.tcgplayer.com%2Fproduct%2F560362%3Futm_source%3Dimpact%26utm_medium%3Daffiliate%26utm_campaign%3Dpoke%2Bcottage","Furfrou")</f>
        <v>Furfrou</v>
      </c>
      <c r="D96" s="5" t="s">
        <v>8</v>
      </c>
      <c r="E96" s="5" t="s">
        <v>9</v>
      </c>
      <c r="F96" s="5"/>
      <c r="G96" s="5"/>
      <c r="H96" s="7"/>
    </row>
    <row r="97" customFormat="false" ht="30" hidden="false" customHeight="true" outlineLevel="0" collapsed="false">
      <c r="A97" s="4" t="s">
        <v>6</v>
      </c>
      <c r="B97" s="5" t="s">
        <v>65</v>
      </c>
      <c r="C97" s="6" t="str">
        <f aca="false">HYPERLINK("https://partner.tcgplayer.com/c/6278691/1780961/21018?u=https%3A%2F%2Fwww.tcgplayer.com%2Fproduct%2F560362%3Futm_source%3Dimpact%26utm_medium%3Daffiliate%26utm_campaign%3Dpoke%2Bcottage","Furfrou")</f>
        <v>Furfrou</v>
      </c>
      <c r="D97" s="5" t="s">
        <v>8</v>
      </c>
      <c r="E97" s="5" t="s">
        <v>11</v>
      </c>
      <c r="F97" s="5"/>
      <c r="G97" s="5"/>
      <c r="H97" s="7"/>
    </row>
    <row r="98" customFormat="false" ht="30" hidden="false" customHeight="true" outlineLevel="0" collapsed="false">
      <c r="A98" s="4" t="s">
        <v>6</v>
      </c>
      <c r="B98" s="5" t="s">
        <v>66</v>
      </c>
      <c r="C98" s="6" t="str">
        <f aca="false">HYPERLINK("https://partner.tcgplayer.com/c/6278691/1780961/21018?u=https%3A%2F%2Fwww.tcgplayer.com%2Fproduct%2F560363%3Futm_source%3Dimpact%26utm_medium%3Daffiliate%26utm_campaign%3Dpoke%2Bcottage","Stufful")</f>
        <v>Stufful</v>
      </c>
      <c r="D98" s="5" t="s">
        <v>8</v>
      </c>
      <c r="E98" s="5" t="s">
        <v>9</v>
      </c>
      <c r="F98" s="5"/>
      <c r="G98" s="5"/>
      <c r="H98" s="7"/>
    </row>
    <row r="99" customFormat="false" ht="30" hidden="false" customHeight="true" outlineLevel="0" collapsed="false">
      <c r="A99" s="4" t="s">
        <v>6</v>
      </c>
      <c r="B99" s="5" t="s">
        <v>66</v>
      </c>
      <c r="C99" s="6" t="str">
        <f aca="false">HYPERLINK("https://partner.tcgplayer.com/c/6278691/1780961/21018?u=https%3A%2F%2Fwww.tcgplayer.com%2Fproduct%2F560363%3Futm_source%3Dimpact%26utm_medium%3Daffiliate%26utm_campaign%3Dpoke%2Bcottage","Stufful")</f>
        <v>Stufful</v>
      </c>
      <c r="D99" s="5" t="s">
        <v>8</v>
      </c>
      <c r="E99" s="5" t="s">
        <v>11</v>
      </c>
      <c r="F99" s="5"/>
      <c r="G99" s="5"/>
      <c r="H99" s="7"/>
    </row>
    <row r="100" customFormat="false" ht="30" hidden="false" customHeight="true" outlineLevel="0" collapsed="false">
      <c r="A100" s="4" t="s">
        <v>6</v>
      </c>
      <c r="B100" s="5" t="s">
        <v>67</v>
      </c>
      <c r="C100" s="6" t="str">
        <f aca="false">HYPERLINK("https://partner.tcgplayer.com/c/6278691/1780961/21018?u=https%3A%2F%2Fwww.tcgplayer.com%2Fproduct%2F560364%3Futm_source%3Dimpact%26utm_medium%3Daffiliate%26utm_campaign%3Dpoke%2Bcottage","Bewear")</f>
        <v>Bewear</v>
      </c>
      <c r="D100" s="5" t="s">
        <v>8</v>
      </c>
      <c r="E100" s="5" t="s">
        <v>9</v>
      </c>
      <c r="F100" s="5"/>
      <c r="G100" s="5"/>
      <c r="H100" s="7"/>
    </row>
    <row r="101" customFormat="false" ht="30" hidden="false" customHeight="true" outlineLevel="0" collapsed="false">
      <c r="A101" s="4" t="s">
        <v>6</v>
      </c>
      <c r="B101" s="5" t="s">
        <v>67</v>
      </c>
      <c r="C101" s="6" t="str">
        <f aca="false">HYPERLINK("https://partner.tcgplayer.com/c/6278691/1780961/21018?u=https%3A%2F%2Fwww.tcgplayer.com%2Fproduct%2F560364%3Futm_source%3Dimpact%26utm_medium%3Daffiliate%26utm_campaign%3Dpoke%2Bcottage","Bewear")</f>
        <v>Bewear</v>
      </c>
      <c r="D101" s="5" t="s">
        <v>8</v>
      </c>
      <c r="E101" s="5" t="s">
        <v>11</v>
      </c>
      <c r="F101" s="5"/>
      <c r="G101" s="5"/>
      <c r="H101" s="7"/>
    </row>
    <row r="102" customFormat="false" ht="30" hidden="false" customHeight="true" outlineLevel="0" collapsed="false">
      <c r="A102" s="4" t="s">
        <v>6</v>
      </c>
      <c r="B102" s="5" t="s">
        <v>68</v>
      </c>
      <c r="C102" s="6" t="str">
        <f aca="false">HYPERLINK("https://partner.tcgplayer.com/c/6278691/1780961/21018?u=https%3A%2F%2Fwww.tcgplayer.com%2Fproduct%2F560365%3Futm_source%3Dimpact%26utm_medium%3Daffiliate%26utm_campaign%3Dpoke%2Bcottage","Academy at Night")</f>
        <v>Academy at Night</v>
      </c>
      <c r="D102" s="5" t="s">
        <v>13</v>
      </c>
      <c r="E102" s="5" t="s">
        <v>9</v>
      </c>
      <c r="F102" s="5"/>
      <c r="G102" s="5"/>
      <c r="H102" s="7"/>
    </row>
    <row r="103" customFormat="false" ht="30" hidden="false" customHeight="true" outlineLevel="0" collapsed="false">
      <c r="A103" s="4" t="s">
        <v>6</v>
      </c>
      <c r="B103" s="5" t="s">
        <v>68</v>
      </c>
      <c r="C103" s="6" t="str">
        <f aca="false">HYPERLINK("https://partner.tcgplayer.com/c/6278691/1780961/21018?u=https%3A%2F%2Fwww.tcgplayer.com%2Fproduct%2F560365%3Futm_source%3Dimpact%26utm_medium%3Daffiliate%26utm_campaign%3Dpoke%2Bcottage","Academy at Night")</f>
        <v>Academy at Night</v>
      </c>
      <c r="D103" s="5" t="s">
        <v>13</v>
      </c>
      <c r="E103" s="5" t="s">
        <v>11</v>
      </c>
      <c r="F103" s="5"/>
      <c r="G103" s="5"/>
      <c r="H103" s="7"/>
    </row>
    <row r="104" customFormat="false" ht="30" hidden="false" customHeight="true" outlineLevel="0" collapsed="false">
      <c r="A104" s="4" t="s">
        <v>6</v>
      </c>
      <c r="B104" s="5" t="s">
        <v>69</v>
      </c>
      <c r="C104" s="6" t="str">
        <f aca="false">HYPERLINK("https://partner.tcgplayer.com/c/6278691/1780961/21018?u=https%3A%2F%2Fwww.tcgplayer.com%2Fproduct%2F560366%3Futm_source%3Dimpact%26utm_medium%3Daffiliate%26utm_campaign%3Dpoke%2Bcottage","Binding Mochi")</f>
        <v>Binding Mochi</v>
      </c>
      <c r="D104" s="5" t="s">
        <v>13</v>
      </c>
      <c r="E104" s="5" t="s">
        <v>9</v>
      </c>
      <c r="F104" s="5"/>
      <c r="G104" s="5"/>
      <c r="H104" s="7"/>
    </row>
    <row r="105" customFormat="false" ht="30" hidden="false" customHeight="true" outlineLevel="0" collapsed="false">
      <c r="A105" s="4" t="s">
        <v>6</v>
      </c>
      <c r="B105" s="5" t="s">
        <v>69</v>
      </c>
      <c r="C105" s="6" t="str">
        <f aca="false">HYPERLINK("https://partner.tcgplayer.com/c/6278691/1780961/21018?u=https%3A%2F%2Fwww.tcgplayer.com%2Fproduct%2F560366%3Futm_source%3Dimpact%26utm_medium%3Daffiliate%26utm_campaign%3Dpoke%2Bcottage","Binding Mochi")</f>
        <v>Binding Mochi</v>
      </c>
      <c r="D105" s="5" t="s">
        <v>13</v>
      </c>
      <c r="E105" s="5" t="s">
        <v>11</v>
      </c>
      <c r="F105" s="5"/>
      <c r="G105" s="5"/>
      <c r="H105" s="7"/>
    </row>
    <row r="106" customFormat="false" ht="30" hidden="false" customHeight="true" outlineLevel="0" collapsed="false">
      <c r="A106" s="4" t="s">
        <v>6</v>
      </c>
      <c r="B106" s="5" t="s">
        <v>70</v>
      </c>
      <c r="C106" s="6" t="str">
        <f aca="false">HYPERLINK("https://partner.tcgplayer.com/c/6278691/1780961/21018?u=https%3A%2F%2Fwww.tcgplayer.com%2Fproduct%2F560367%3Futm_source%3Dimpact%26utm_medium%3Daffiliate%26utm_campaign%3Dpoke%2Bcottage","Cassiopeia")</f>
        <v>Cassiopeia</v>
      </c>
      <c r="D106" s="5" t="s">
        <v>13</v>
      </c>
      <c r="E106" s="5" t="s">
        <v>9</v>
      </c>
      <c r="F106" s="5"/>
      <c r="G106" s="5"/>
      <c r="H106" s="7"/>
    </row>
    <row r="107" customFormat="false" ht="30" hidden="false" customHeight="true" outlineLevel="0" collapsed="false">
      <c r="A107" s="4" t="s">
        <v>6</v>
      </c>
      <c r="B107" s="5" t="s">
        <v>70</v>
      </c>
      <c r="C107" s="6" t="str">
        <f aca="false">HYPERLINK("https://partner.tcgplayer.com/c/6278691/1780961/21018?u=https%3A%2F%2Fwww.tcgplayer.com%2Fproduct%2F560367%3Futm_source%3Dimpact%26utm_medium%3Daffiliate%26utm_campaign%3Dpoke%2Bcottage","Cassiopeia")</f>
        <v>Cassiopeia</v>
      </c>
      <c r="D107" s="5" t="s">
        <v>13</v>
      </c>
      <c r="E107" s="5" t="s">
        <v>11</v>
      </c>
      <c r="F107" s="5"/>
      <c r="G107" s="5"/>
      <c r="H107" s="7"/>
    </row>
    <row r="108" customFormat="false" ht="30" hidden="false" customHeight="true" outlineLevel="0" collapsed="false">
      <c r="A108" s="4" t="s">
        <v>6</v>
      </c>
      <c r="B108" s="5" t="s">
        <v>71</v>
      </c>
      <c r="C108" s="6" t="str">
        <f aca="false">HYPERLINK("https://partner.tcgplayer.com/c/6278691/1780961/21018?u=https%3A%2F%2Fwww.tcgplayer.com%2Fproduct%2F560368%3Futm_source%3Dimpact%26utm_medium%3Daffiliate%26utm_campaign%3Dpoke%2Bcottage","Colress's Tenacity")</f>
        <v>Colress's Tenacity</v>
      </c>
      <c r="D108" s="5" t="s">
        <v>13</v>
      </c>
      <c r="E108" s="5" t="s">
        <v>9</v>
      </c>
      <c r="F108" s="5"/>
      <c r="G108" s="5"/>
      <c r="H108" s="7"/>
    </row>
    <row r="109" customFormat="false" ht="30" hidden="false" customHeight="true" outlineLevel="0" collapsed="false">
      <c r="A109" s="4" t="s">
        <v>6</v>
      </c>
      <c r="B109" s="5" t="s">
        <v>71</v>
      </c>
      <c r="C109" s="6" t="str">
        <f aca="false">HYPERLINK("https://partner.tcgplayer.com/c/6278691/1780961/21018?u=https%3A%2F%2Fwww.tcgplayer.com%2Fproduct%2F560368%3Futm_source%3Dimpact%26utm_medium%3Daffiliate%26utm_campaign%3Dpoke%2Bcottage","Colress's Tenacity")</f>
        <v>Colress's Tenacity</v>
      </c>
      <c r="D109" s="5" t="s">
        <v>13</v>
      </c>
      <c r="E109" s="5" t="s">
        <v>11</v>
      </c>
      <c r="F109" s="5"/>
      <c r="G109" s="5"/>
      <c r="H109" s="7"/>
    </row>
    <row r="110" customFormat="false" ht="30" hidden="false" customHeight="true" outlineLevel="0" collapsed="false">
      <c r="A110" s="4" t="s">
        <v>6</v>
      </c>
      <c r="B110" s="5" t="s">
        <v>72</v>
      </c>
      <c r="C110" s="6" t="str">
        <f aca="false">HYPERLINK("https://partner.tcgplayer.com/c/6278691/1780961/21018?u=https%3A%2F%2Fwww.tcgplayer.com%2Fproduct%2F560369%3Futm_source%3Dimpact%26utm_medium%3Daffiliate%26utm_campaign%3Dpoke%2Bcottage","Dangerous Laser")</f>
        <v>Dangerous Laser</v>
      </c>
      <c r="D110" s="5" t="s">
        <v>73</v>
      </c>
      <c r="E110" s="5" t="s">
        <v>19</v>
      </c>
      <c r="F110" s="5"/>
      <c r="G110" s="5"/>
      <c r="H110" s="7"/>
    </row>
    <row r="111" customFormat="false" ht="30" hidden="false" customHeight="true" outlineLevel="0" collapsed="false">
      <c r="A111" s="4" t="s">
        <v>6</v>
      </c>
      <c r="B111" s="5" t="s">
        <v>74</v>
      </c>
      <c r="C111" s="6" t="str">
        <f aca="false">HYPERLINK("https://partner.tcgplayer.com/c/6278691/1780961/21018?u=https%3A%2F%2Fwww.tcgplayer.com%2Fproduct%2F560370%3Futm_source%3Dimpact%26utm_medium%3Daffiliate%26utm_campaign%3Dpoke%2Bcottage","Janine's Secret Art")</f>
        <v>Janine's Secret Art</v>
      </c>
      <c r="D111" s="5" t="s">
        <v>13</v>
      </c>
      <c r="E111" s="5" t="s">
        <v>9</v>
      </c>
      <c r="F111" s="5"/>
      <c r="G111" s="5"/>
      <c r="H111" s="7"/>
    </row>
    <row r="112" customFormat="false" ht="30" hidden="false" customHeight="true" outlineLevel="0" collapsed="false">
      <c r="A112" s="4" t="s">
        <v>6</v>
      </c>
      <c r="B112" s="5" t="s">
        <v>74</v>
      </c>
      <c r="C112" s="6" t="str">
        <f aca="false">HYPERLINK("https://partner.tcgplayer.com/c/6278691/1780961/21018?u=https%3A%2F%2Fwww.tcgplayer.com%2Fproduct%2F560370%3Futm_source%3Dimpact%26utm_medium%3Daffiliate%26utm_campaign%3Dpoke%2Bcottage","Janine's Secret Art")</f>
        <v>Janine's Secret Art</v>
      </c>
      <c r="D112" s="5" t="s">
        <v>13</v>
      </c>
      <c r="E112" s="5" t="s">
        <v>11</v>
      </c>
      <c r="F112" s="5"/>
      <c r="G112" s="5"/>
      <c r="H112" s="7"/>
    </row>
    <row r="113" customFormat="false" ht="30" hidden="false" customHeight="true" outlineLevel="0" collapsed="false">
      <c r="A113" s="4" t="s">
        <v>6</v>
      </c>
      <c r="B113" s="5" t="s">
        <v>75</v>
      </c>
      <c r="C113" s="6" t="str">
        <f aca="false">HYPERLINK("https://partner.tcgplayer.com/c/6278691/1780961/21018?u=https%3A%2F%2Fwww.tcgplayer.com%2Fproduct%2F560371%3Futm_source%3Dimpact%26utm_medium%3Daffiliate%26utm_campaign%3Dpoke%2Bcottage","Neutralization Zone")</f>
        <v>Neutralization Zone</v>
      </c>
      <c r="D113" s="5" t="s">
        <v>73</v>
      </c>
      <c r="E113" s="5" t="s">
        <v>19</v>
      </c>
      <c r="F113" s="5"/>
      <c r="G113" s="5"/>
      <c r="H113" s="7"/>
    </row>
    <row r="114" customFormat="false" ht="30" hidden="false" customHeight="true" outlineLevel="0" collapsed="false">
      <c r="A114" s="4" t="s">
        <v>6</v>
      </c>
      <c r="B114" s="5" t="s">
        <v>76</v>
      </c>
      <c r="C114" s="6" t="str">
        <f aca="false">HYPERLINK("https://partner.tcgplayer.com/c/6278691/1780961/21018?u=https%3A%2F%2Fwww.tcgplayer.com%2Fproduct%2F560372%3Futm_source%3Dimpact%26utm_medium%3Daffiliate%26utm_campaign%3Dpoke%2Bcottage","Night Stretcher")</f>
        <v>Night Stretcher</v>
      </c>
      <c r="D114" s="5" t="s">
        <v>13</v>
      </c>
      <c r="E114" s="5" t="s">
        <v>9</v>
      </c>
      <c r="F114" s="5"/>
      <c r="G114" s="5"/>
      <c r="H114" s="7"/>
    </row>
    <row r="115" customFormat="false" ht="30" hidden="false" customHeight="true" outlineLevel="0" collapsed="false">
      <c r="A115" s="4" t="s">
        <v>6</v>
      </c>
      <c r="B115" s="5" t="s">
        <v>76</v>
      </c>
      <c r="C115" s="6" t="str">
        <f aca="false">HYPERLINK("https://partner.tcgplayer.com/c/6278691/1780961/21018?u=https%3A%2F%2Fwww.tcgplayer.com%2Fproduct%2F560372%3Futm_source%3Dimpact%26utm_medium%3Daffiliate%26utm_campaign%3Dpoke%2Bcottage","Night Stretcher")</f>
        <v>Night Stretcher</v>
      </c>
      <c r="D115" s="5" t="s">
        <v>13</v>
      </c>
      <c r="E115" s="5" t="s">
        <v>11</v>
      </c>
      <c r="F115" s="5"/>
      <c r="G115" s="5"/>
      <c r="H115" s="7"/>
    </row>
    <row r="116" customFormat="false" ht="30" hidden="false" customHeight="true" outlineLevel="0" collapsed="false">
      <c r="A116" s="4" t="s">
        <v>6</v>
      </c>
      <c r="B116" s="5" t="s">
        <v>77</v>
      </c>
      <c r="C116" s="6" t="str">
        <f aca="false">HYPERLINK("https://partner.tcgplayer.com/c/6278691/1780961/21018?u=https%3A%2F%2Fwww.tcgplayer.com%2Fproduct%2F560373%3Futm_source%3Dimpact%26utm_medium%3Daffiliate%26utm_campaign%3Dpoke%2Bcottage","Poké Vital A")</f>
        <v>Poké Vital A</v>
      </c>
      <c r="D116" s="5" t="s">
        <v>73</v>
      </c>
      <c r="E116" s="5" t="s">
        <v>19</v>
      </c>
      <c r="F116" s="5"/>
      <c r="G116" s="5"/>
      <c r="H116" s="7"/>
    </row>
    <row r="117" customFormat="false" ht="30" hidden="false" customHeight="true" outlineLevel="0" collapsed="false">
      <c r="A117" s="4" t="s">
        <v>6</v>
      </c>
      <c r="B117" s="5" t="s">
        <v>78</v>
      </c>
      <c r="C117" s="6" t="str">
        <f aca="false">HYPERLINK("https://partner.tcgplayer.com/c/6278691/1780961/21018?u=https%3A%2F%2Fwww.tcgplayer.com%2Fproduct%2F560374%3Futm_source%3Dimpact%26utm_medium%3Daffiliate%26utm_campaign%3Dpoke%2Bcottage","Powerglass")</f>
        <v>Powerglass</v>
      </c>
      <c r="D117" s="5" t="s">
        <v>13</v>
      </c>
      <c r="E117" s="5" t="s">
        <v>9</v>
      </c>
      <c r="F117" s="5"/>
      <c r="G117" s="5"/>
      <c r="H117" s="7"/>
    </row>
    <row r="118" customFormat="false" ht="30" hidden="false" customHeight="true" outlineLevel="0" collapsed="false">
      <c r="A118" s="4" t="s">
        <v>6</v>
      </c>
      <c r="B118" s="5" t="s">
        <v>78</v>
      </c>
      <c r="C118" s="6" t="str">
        <f aca="false">HYPERLINK("https://partner.tcgplayer.com/c/6278691/1780961/21018?u=https%3A%2F%2Fwww.tcgplayer.com%2Fproduct%2F560374%3Futm_source%3Dimpact%26utm_medium%3Daffiliate%26utm_campaign%3Dpoke%2Bcottage","Powerglass")</f>
        <v>Powerglass</v>
      </c>
      <c r="D118" s="5" t="s">
        <v>13</v>
      </c>
      <c r="E118" s="5" t="s">
        <v>11</v>
      </c>
      <c r="F118" s="5"/>
      <c r="G118" s="5"/>
      <c r="H118" s="7"/>
    </row>
    <row r="119" customFormat="false" ht="30" hidden="false" customHeight="true" outlineLevel="0" collapsed="false">
      <c r="A119" s="4" t="s">
        <v>6</v>
      </c>
      <c r="B119" s="5" t="s">
        <v>79</v>
      </c>
      <c r="C119" s="6" t="str">
        <f aca="false">HYPERLINK("https://partner.tcgplayer.com/c/6278691/1780961/21018?u=https%3A%2F%2Fwww.tcgplayer.com%2Fproduct%2F560375%3Futm_source%3Dimpact%26utm_medium%3Daffiliate%26utm_campaign%3Dpoke%2Bcottage","Xerosic's Machinations")</f>
        <v>Xerosic's Machinations</v>
      </c>
      <c r="D119" s="5" t="s">
        <v>13</v>
      </c>
      <c r="E119" s="5" t="s">
        <v>9</v>
      </c>
      <c r="F119" s="5"/>
      <c r="G119" s="5"/>
      <c r="H119" s="7"/>
    </row>
    <row r="120" customFormat="false" ht="30" hidden="false" customHeight="true" outlineLevel="0" collapsed="false">
      <c r="A120" s="4" t="s">
        <v>6</v>
      </c>
      <c r="B120" s="5" t="s">
        <v>79</v>
      </c>
      <c r="C120" s="6" t="str">
        <f aca="false">HYPERLINK("https://partner.tcgplayer.com/c/6278691/1780961/21018?u=https%3A%2F%2Fwww.tcgplayer.com%2Fproduct%2F560375%3Futm_source%3Dimpact%26utm_medium%3Daffiliate%26utm_campaign%3Dpoke%2Bcottage","Xerosic's Machinations")</f>
        <v>Xerosic's Machinations</v>
      </c>
      <c r="D120" s="5" t="s">
        <v>13</v>
      </c>
      <c r="E120" s="5" t="s">
        <v>11</v>
      </c>
      <c r="F120" s="5"/>
      <c r="G120" s="5"/>
      <c r="H120" s="7"/>
    </row>
    <row r="121" customFormat="false" ht="30" hidden="false" customHeight="true" outlineLevel="0" collapsed="false">
      <c r="A121" s="4" t="s">
        <v>6</v>
      </c>
      <c r="B121" s="5" t="s">
        <v>80</v>
      </c>
      <c r="C121" s="6" t="str">
        <f aca="false">HYPERLINK("https://partner.tcgplayer.com/c/6278691/1780961/21018?u=https%3A%2F%2Fwww.tcgplayer.com%2Fproduct%2F560376%3Futm_source%3Dimpact%26utm_medium%3Daffiliate%26utm_campaign%3Dpoke%2Bcottage","Tapu Bulu")</f>
        <v>Tapu Bulu</v>
      </c>
      <c r="D121" s="5" t="s">
        <v>81</v>
      </c>
      <c r="E121" s="5" t="s">
        <v>19</v>
      </c>
      <c r="F121" s="5"/>
      <c r="G121" s="5"/>
      <c r="H121" s="7"/>
    </row>
    <row r="122" customFormat="false" ht="30" hidden="false" customHeight="true" outlineLevel="0" collapsed="false">
      <c r="A122" s="4" t="s">
        <v>6</v>
      </c>
      <c r="B122" s="5" t="s">
        <v>82</v>
      </c>
      <c r="C122" s="6" t="str">
        <f aca="false">HYPERLINK("https://partner.tcgplayer.com/c/6278691/1780961/21018?u=https%3A%2F%2Fwww.tcgplayer.com%2Fproduct%2F560377%3Futm_source%3Dimpact%26utm_medium%3Daffiliate%26utm_campaign%3Dpoke%2Bcottage","Houndoom")</f>
        <v>Houndoom</v>
      </c>
      <c r="D122" s="5" t="s">
        <v>81</v>
      </c>
      <c r="E122" s="5" t="s">
        <v>19</v>
      </c>
      <c r="F122" s="5"/>
      <c r="G122" s="5"/>
      <c r="H122" s="7"/>
    </row>
    <row r="123" customFormat="false" ht="30" hidden="false" customHeight="true" outlineLevel="0" collapsed="false">
      <c r="A123" s="4" t="s">
        <v>6</v>
      </c>
      <c r="B123" s="5" t="s">
        <v>83</v>
      </c>
      <c r="C123" s="6" t="str">
        <f aca="false">HYPERLINK("https://partner.tcgplayer.com/c/6278691/1780961/21018?u=https%3A%2F%2Fwww.tcgplayer.com%2Fproduct%2F560378%3Futm_source%3Dimpact%26utm_medium%3Daffiliate%26utm_campaign%3Dpoke%2Bcottage","Horsea")</f>
        <v>Horsea</v>
      </c>
      <c r="D123" s="5" t="s">
        <v>81</v>
      </c>
      <c r="E123" s="5" t="s">
        <v>19</v>
      </c>
      <c r="F123" s="5"/>
      <c r="G123" s="5"/>
      <c r="H123" s="7"/>
    </row>
    <row r="124" customFormat="false" ht="30" hidden="false" customHeight="true" outlineLevel="0" collapsed="false">
      <c r="A124" s="4" t="s">
        <v>6</v>
      </c>
      <c r="B124" s="5" t="s">
        <v>84</v>
      </c>
      <c r="C124" s="6" t="str">
        <f aca="false">HYPERLINK("https://partner.tcgplayer.com/c/6278691/1780961/21018?u=https%3A%2F%2Fwww.tcgplayer.com%2Fproduct%2F560379%3Futm_source%3Dimpact%26utm_medium%3Daffiliate%26utm_campaign%3Dpoke%2Bcottage","Duskull")</f>
        <v>Duskull</v>
      </c>
      <c r="D124" s="5" t="s">
        <v>81</v>
      </c>
      <c r="E124" s="5" t="s">
        <v>19</v>
      </c>
      <c r="F124" s="5"/>
      <c r="G124" s="5"/>
      <c r="H124" s="7"/>
    </row>
    <row r="125" customFormat="false" ht="30" hidden="false" customHeight="true" outlineLevel="0" collapsed="false">
      <c r="A125" s="4" t="s">
        <v>6</v>
      </c>
      <c r="B125" s="5" t="s">
        <v>85</v>
      </c>
      <c r="C125" s="6" t="str">
        <f aca="false">HYPERLINK("https://partner.tcgplayer.com/c/6278691/1780961/21018?u=https%3A%2F%2Fwww.tcgplayer.com%2Fproduct%2F560380%3Futm_source%3Dimpact%26utm_medium%3Daffiliate%26utm_campaign%3Dpoke%2Bcottage","Dusclops")</f>
        <v>Dusclops</v>
      </c>
      <c r="D125" s="5" t="s">
        <v>81</v>
      </c>
      <c r="E125" s="5" t="s">
        <v>19</v>
      </c>
      <c r="F125" s="5"/>
      <c r="G125" s="5"/>
      <c r="H125" s="7"/>
    </row>
    <row r="126" customFormat="false" ht="30" hidden="false" customHeight="true" outlineLevel="0" collapsed="false">
      <c r="A126" s="4" t="s">
        <v>6</v>
      </c>
      <c r="B126" s="5" t="s">
        <v>86</v>
      </c>
      <c r="C126" s="6" t="str">
        <f aca="false">HYPERLINK("https://partner.tcgplayer.com/c/6278691/1780961/21018?u=https%3A%2F%2Fwww.tcgplayer.com%2Fproduct%2F560381%3Futm_source%3Dimpact%26utm_medium%3Daffiliate%26utm_campaign%3Dpoke%2Bcottage","Dusknoir")</f>
        <v>Dusknoir</v>
      </c>
      <c r="D126" s="5" t="s">
        <v>81</v>
      </c>
      <c r="E126" s="5" t="s">
        <v>19</v>
      </c>
      <c r="F126" s="5"/>
      <c r="G126" s="5"/>
      <c r="H126" s="7"/>
    </row>
    <row r="127" customFormat="false" ht="30" hidden="false" customHeight="true" outlineLevel="0" collapsed="false">
      <c r="A127" s="4" t="s">
        <v>6</v>
      </c>
      <c r="B127" s="5" t="s">
        <v>87</v>
      </c>
      <c r="C127" s="6" t="str">
        <f aca="false">HYPERLINK("https://partner.tcgplayer.com/c/6278691/1780961/21018?u=https%3A%2F%2Fwww.tcgplayer.com%2Fproduct%2F560382%3Futm_source%3Dimpact%26utm_medium%3Daffiliate%26utm_campaign%3Dpoke%2Bcottage","Cresselia")</f>
        <v>Cresselia</v>
      </c>
      <c r="D127" s="5" t="s">
        <v>81</v>
      </c>
      <c r="E127" s="5" t="s">
        <v>19</v>
      </c>
      <c r="F127" s="5"/>
      <c r="G127" s="5"/>
      <c r="H127" s="7"/>
    </row>
    <row r="128" customFormat="false" ht="30" hidden="false" customHeight="true" outlineLevel="0" collapsed="false">
      <c r="A128" s="4" t="s">
        <v>6</v>
      </c>
      <c r="B128" s="5" t="s">
        <v>88</v>
      </c>
      <c r="C128" s="6" t="str">
        <f aca="false">HYPERLINK("https://partner.tcgplayer.com/c/6278691/1780961/21018?u=https%3A%2F%2Fwww.tcgplayer.com%2Fproduct%2F560383%3Futm_source%3Dimpact%26utm_medium%3Daffiliate%26utm_campaign%3Dpoke%2Bcottage","Munkidori")</f>
        <v>Munkidori</v>
      </c>
      <c r="D128" s="5" t="s">
        <v>81</v>
      </c>
      <c r="E128" s="5" t="s">
        <v>19</v>
      </c>
      <c r="F128" s="5"/>
      <c r="G128" s="5"/>
      <c r="H128" s="7"/>
    </row>
    <row r="129" customFormat="false" ht="30" hidden="false" customHeight="true" outlineLevel="0" collapsed="false">
      <c r="A129" s="4" t="s">
        <v>6</v>
      </c>
      <c r="B129" s="5" t="s">
        <v>89</v>
      </c>
      <c r="C129" s="6" t="str">
        <f aca="false">HYPERLINK("https://partner.tcgplayer.com/c/6278691/1780961/21018?u=https%3A%2F%2Fwww.tcgplayer.com%2Fproduct%2F560384%3Futm_source%3Dimpact%26utm_medium%3Daffiliate%26utm_campaign%3Dpoke%2Bcottage","Fezandipiti")</f>
        <v>Fezandipiti</v>
      </c>
      <c r="D129" s="5" t="s">
        <v>81</v>
      </c>
      <c r="E129" s="5" t="s">
        <v>19</v>
      </c>
      <c r="F129" s="5"/>
      <c r="G129" s="5"/>
      <c r="H129" s="7"/>
    </row>
    <row r="130" customFormat="false" ht="30" hidden="false" customHeight="true" outlineLevel="0" collapsed="false">
      <c r="A130" s="4" t="s">
        <v>6</v>
      </c>
      <c r="B130" s="5" t="s">
        <v>90</v>
      </c>
      <c r="C130" s="6" t="str">
        <f aca="false">HYPERLINK("https://partner.tcgplayer.com/c/6278691/1780961/21018?u=https%3A%2F%2Fwww.tcgplayer.com%2Fproduct%2F560385%3Futm_source%3Dimpact%26utm_medium%3Daffiliate%26utm_campaign%3Dpoke%2Bcottage","Okidogi")</f>
        <v>Okidogi</v>
      </c>
      <c r="D130" s="5" t="s">
        <v>81</v>
      </c>
      <c r="E130" s="5" t="s">
        <v>19</v>
      </c>
      <c r="F130" s="5"/>
      <c r="G130" s="5"/>
      <c r="H130" s="7"/>
    </row>
    <row r="131" customFormat="false" ht="30" hidden="false" customHeight="true" outlineLevel="0" collapsed="false">
      <c r="A131" s="4" t="s">
        <v>6</v>
      </c>
      <c r="B131" s="5" t="s">
        <v>91</v>
      </c>
      <c r="C131" s="6" t="str">
        <f aca="false">HYPERLINK("https://partner.tcgplayer.com/c/6278691/1780961/21018?u=https%3A%2F%2Fwww.tcgplayer.com%2Fproduct%2F560386%3Futm_source%3Dimpact%26utm_medium%3Daffiliate%26utm_campaign%3Dpoke%2Bcottage","Zorua")</f>
        <v>Zorua</v>
      </c>
      <c r="D131" s="5" t="s">
        <v>81</v>
      </c>
      <c r="E131" s="5" t="s">
        <v>19</v>
      </c>
      <c r="F131" s="5"/>
      <c r="G131" s="5"/>
      <c r="H131" s="7"/>
    </row>
    <row r="132" customFormat="false" ht="30" hidden="false" customHeight="true" outlineLevel="0" collapsed="false">
      <c r="A132" s="4" t="s">
        <v>6</v>
      </c>
      <c r="B132" s="5" t="s">
        <v>92</v>
      </c>
      <c r="C132" s="6" t="str">
        <f aca="false">HYPERLINK("https://partner.tcgplayer.com/c/6278691/1780961/21018?u=https%3A%2F%2Fwww.tcgplayer.com%2Fproduct%2F560387%3Futm_source%3Dimpact%26utm_medium%3Daffiliate%26utm_campaign%3Dpoke%2Bcottage","Cufant")</f>
        <v>Cufant</v>
      </c>
      <c r="D132" s="5" t="s">
        <v>81</v>
      </c>
      <c r="E132" s="5" t="s">
        <v>19</v>
      </c>
      <c r="F132" s="5"/>
      <c r="G132" s="5"/>
      <c r="H132" s="7"/>
    </row>
    <row r="133" customFormat="false" ht="30" hidden="false" customHeight="true" outlineLevel="0" collapsed="false">
      <c r="A133" s="4" t="s">
        <v>6</v>
      </c>
      <c r="B133" s="5" t="s">
        <v>93</v>
      </c>
      <c r="C133" s="6" t="str">
        <f aca="false">HYPERLINK("https://partner.tcgplayer.com/c/6278691/1780961/21018?u=https%3A%2F%2Fwww.tcgplayer.com%2Fproduct%2F560388%3Futm_source%3Dimpact%26utm_medium%3Daffiliate%26utm_campaign%3Dpoke%2Bcottage","Fraxure")</f>
        <v>Fraxure</v>
      </c>
      <c r="D133" s="5" t="s">
        <v>81</v>
      </c>
      <c r="E133" s="5" t="s">
        <v>19</v>
      </c>
      <c r="F133" s="5"/>
      <c r="G133" s="5"/>
      <c r="H133" s="7"/>
    </row>
    <row r="134" customFormat="false" ht="30" hidden="false" customHeight="true" outlineLevel="0" collapsed="false">
      <c r="A134" s="4" t="s">
        <v>6</v>
      </c>
      <c r="B134" s="5" t="s">
        <v>94</v>
      </c>
      <c r="C134" s="6" t="str">
        <f aca="false">HYPERLINK("https://partner.tcgplayer.com/c/6278691/1780961/21018?u=https%3A%2F%2Fwww.tcgplayer.com%2Fproduct%2F560389%3Futm_source%3Dimpact%26utm_medium%3Daffiliate%26utm_campaign%3Dpoke%2Bcottage","Persian")</f>
        <v>Persian</v>
      </c>
      <c r="D134" s="5" t="s">
        <v>81</v>
      </c>
      <c r="E134" s="5" t="s">
        <v>19</v>
      </c>
      <c r="F134" s="5"/>
      <c r="G134" s="5"/>
      <c r="H134" s="7"/>
    </row>
    <row r="135" customFormat="false" ht="30" hidden="false" customHeight="true" outlineLevel="0" collapsed="false">
      <c r="A135" s="4" t="s">
        <v>6</v>
      </c>
      <c r="B135" s="5" t="s">
        <v>95</v>
      </c>
      <c r="C135" s="6" t="str">
        <f aca="false">HYPERLINK("https://partner.tcgplayer.com/c/6278691/1780961/21018?u=https%3A%2F%2Fwww.tcgplayer.com%2Fproduct%2F560390%3Futm_source%3Dimpact%26utm_medium%3Daffiliate%26utm_campaign%3Dpoke%2Bcottage","Bewear")</f>
        <v>Bewear</v>
      </c>
      <c r="D135" s="5" t="s">
        <v>81</v>
      </c>
      <c r="E135" s="5" t="s">
        <v>19</v>
      </c>
      <c r="F135" s="5"/>
      <c r="G135" s="5"/>
      <c r="H135" s="7"/>
    </row>
    <row r="136" customFormat="false" ht="30" hidden="false" customHeight="true" outlineLevel="0" collapsed="false">
      <c r="A136" s="4" t="s">
        <v>6</v>
      </c>
      <c r="B136" s="5" t="s">
        <v>96</v>
      </c>
      <c r="C136" s="6" t="str">
        <f aca="false">HYPERLINK("https://partner.tcgplayer.com/c/6278691/1780961/21018?u=https%3A%2F%2Fwww.tcgplayer.com%2Fproduct%2F560391%3Futm_source%3Dimpact%26utm_medium%3Daffiliate%26utm_campaign%3Dpoke%2Bcottage","Kingdra ex")</f>
        <v>Kingdra ex</v>
      </c>
      <c r="D136" s="5" t="s">
        <v>97</v>
      </c>
      <c r="E136" s="5" t="s">
        <v>19</v>
      </c>
      <c r="F136" s="5"/>
      <c r="G136" s="5"/>
      <c r="H136" s="7"/>
    </row>
    <row r="137" customFormat="false" ht="30" hidden="false" customHeight="true" outlineLevel="0" collapsed="false">
      <c r="A137" s="4" t="s">
        <v>6</v>
      </c>
      <c r="B137" s="5" t="s">
        <v>98</v>
      </c>
      <c r="C137" s="6" t="str">
        <f aca="false">HYPERLINK("https://partner.tcgplayer.com/c/6278691/1780961/21018?u=https%3A%2F%2Fwww.tcgplayer.com%2Fproduct%2F560392%3Futm_source%3Dimpact%26utm_medium%3Daffiliate%26utm_campaign%3Dpoke%2Bcottage","Revavroom ex")</f>
        <v>Revavroom ex</v>
      </c>
      <c r="D137" s="5" t="s">
        <v>97</v>
      </c>
      <c r="E137" s="5" t="s">
        <v>19</v>
      </c>
      <c r="F137" s="5"/>
      <c r="G137" s="5"/>
      <c r="H137" s="7"/>
    </row>
    <row r="138" customFormat="false" ht="30" hidden="false" customHeight="true" outlineLevel="0" collapsed="false">
      <c r="A138" s="4" t="s">
        <v>6</v>
      </c>
      <c r="B138" s="5" t="s">
        <v>99</v>
      </c>
      <c r="C138" s="6" t="str">
        <f aca="false">HYPERLINK("https://partner.tcgplayer.com/c/6278691/1780961/21018?u=https%3A%2F%2Fwww.tcgplayer.com%2Fproduct%2F560393%3Futm_source%3Dimpact%26utm_medium%3Daffiliate%26utm_campaign%3Dpoke%2Bcottage","Okidogi ex")</f>
        <v>Okidogi ex</v>
      </c>
      <c r="D138" s="5" t="s">
        <v>97</v>
      </c>
      <c r="E138" s="5" t="s">
        <v>19</v>
      </c>
      <c r="F138" s="5"/>
      <c r="G138" s="5"/>
      <c r="H138" s="7"/>
    </row>
    <row r="139" customFormat="false" ht="30" hidden="false" customHeight="true" outlineLevel="0" collapsed="false">
      <c r="A139" s="4" t="s">
        <v>6</v>
      </c>
      <c r="B139" s="5" t="s">
        <v>100</v>
      </c>
      <c r="C139" s="6" t="str">
        <f aca="false">HYPERLINK("https://partner.tcgplayer.com/c/6278691/1780961/21018?u=https%3A%2F%2Fwww.tcgplayer.com%2Fproduct%2F560394%3Futm_source%3Dimpact%26utm_medium%3Daffiliate%26utm_campaign%3Dpoke%2Bcottage","Munkidori ex")</f>
        <v>Munkidori ex</v>
      </c>
      <c r="D139" s="5" t="s">
        <v>97</v>
      </c>
      <c r="E139" s="5" t="s">
        <v>19</v>
      </c>
      <c r="F139" s="5"/>
      <c r="G139" s="5"/>
      <c r="H139" s="7"/>
    </row>
    <row r="140" customFormat="false" ht="30" hidden="false" customHeight="true" outlineLevel="0" collapsed="false">
      <c r="A140" s="4" t="s">
        <v>6</v>
      </c>
      <c r="B140" s="5" t="s">
        <v>101</v>
      </c>
      <c r="C140" s="6" t="str">
        <f aca="false">HYPERLINK("https://partner.tcgplayer.com/c/6278691/1780961/21018?u=https%3A%2F%2Fwww.tcgplayer.com%2Fproduct%2F560395%3Futm_source%3Dimpact%26utm_medium%3Daffiliate%26utm_campaign%3Dpoke%2Bcottage","Fezandipiti ex")</f>
        <v>Fezandipiti ex</v>
      </c>
      <c r="D140" s="5" t="s">
        <v>97</v>
      </c>
      <c r="E140" s="5" t="s">
        <v>19</v>
      </c>
      <c r="F140" s="5"/>
      <c r="G140" s="5"/>
      <c r="H140" s="7"/>
    </row>
    <row r="141" customFormat="false" ht="30" hidden="false" customHeight="true" outlineLevel="0" collapsed="false">
      <c r="A141" s="4" t="s">
        <v>6</v>
      </c>
      <c r="B141" s="5" t="s">
        <v>102</v>
      </c>
      <c r="C141" s="6" t="str">
        <f aca="false">HYPERLINK("https://partner.tcgplayer.com/c/6278691/1780961/21018?u=https%3A%2F%2Fwww.tcgplayer.com%2Fproduct%2F560396%3Futm_source%3Dimpact%26utm_medium%3Daffiliate%26utm_campaign%3Dpoke%2Bcottage","Pecharunt ex")</f>
        <v>Pecharunt ex</v>
      </c>
      <c r="D141" s="5" t="s">
        <v>97</v>
      </c>
      <c r="E141" s="5" t="s">
        <v>19</v>
      </c>
      <c r="F141" s="5"/>
      <c r="G141" s="5"/>
      <c r="H141" s="7"/>
    </row>
    <row r="142" customFormat="false" ht="30" hidden="false" customHeight="true" outlineLevel="0" collapsed="false">
      <c r="A142" s="4" t="s">
        <v>6</v>
      </c>
      <c r="B142" s="5" t="s">
        <v>103</v>
      </c>
      <c r="C142" s="6" t="str">
        <f aca="false">HYPERLINK("https://partner.tcgplayer.com/c/6278691/1780961/21018?u=https%3A%2F%2Fwww.tcgplayer.com%2Fproduct%2F560397%3Futm_source%3Dimpact%26utm_medium%3Daffiliate%26utm_campaign%3Dpoke%2Bcottage","Cassiopeia")</f>
        <v>Cassiopeia</v>
      </c>
      <c r="D142" s="5" t="s">
        <v>97</v>
      </c>
      <c r="E142" s="5" t="s">
        <v>19</v>
      </c>
      <c r="F142" s="5"/>
      <c r="G142" s="5"/>
      <c r="H142" s="7"/>
    </row>
    <row r="143" customFormat="false" ht="30" hidden="false" customHeight="true" outlineLevel="0" collapsed="false">
      <c r="A143" s="4" t="s">
        <v>6</v>
      </c>
      <c r="B143" s="5" t="s">
        <v>104</v>
      </c>
      <c r="C143" s="6" t="str">
        <f aca="false">HYPERLINK("https://partner.tcgplayer.com/c/6278691/1780961/21018?u=https%3A%2F%2Fwww.tcgplayer.com%2Fproduct%2F560398%3Futm_source%3Dimpact%26utm_medium%3Daffiliate%26utm_campaign%3Dpoke%2Bcottage","Colress's Tenacity")</f>
        <v>Colress's Tenacity</v>
      </c>
      <c r="D143" s="5" t="s">
        <v>97</v>
      </c>
      <c r="E143" s="5" t="s">
        <v>19</v>
      </c>
      <c r="F143" s="5"/>
      <c r="G143" s="5"/>
      <c r="H143" s="7"/>
    </row>
    <row r="144" customFormat="false" ht="30" hidden="false" customHeight="true" outlineLevel="0" collapsed="false">
      <c r="A144" s="4" t="s">
        <v>6</v>
      </c>
      <c r="B144" s="5" t="s">
        <v>105</v>
      </c>
      <c r="C144" s="6" t="str">
        <f aca="false">HYPERLINK("https://partner.tcgplayer.com/c/6278691/1780961/21018?u=https%3A%2F%2Fwww.tcgplayer.com%2Fproduct%2F560399%3Futm_source%3Dimpact%26utm_medium%3Daffiliate%26utm_campaign%3Dpoke%2Bcottage","Janine's Secret Art")</f>
        <v>Janine's Secret Art</v>
      </c>
      <c r="D144" s="5" t="s">
        <v>97</v>
      </c>
      <c r="E144" s="5" t="s">
        <v>19</v>
      </c>
      <c r="F144" s="5"/>
      <c r="G144" s="5"/>
      <c r="H144" s="7"/>
    </row>
    <row r="145" customFormat="false" ht="30" hidden="false" customHeight="true" outlineLevel="0" collapsed="false">
      <c r="A145" s="4" t="s">
        <v>6</v>
      </c>
      <c r="B145" s="5" t="s">
        <v>106</v>
      </c>
      <c r="C145" s="6" t="str">
        <f aca="false">HYPERLINK("https://partner.tcgplayer.com/c/6278691/1780961/21018?u=https%3A%2F%2Fwww.tcgplayer.com%2Fproduct%2F560400%3Futm_source%3Dimpact%26utm_medium%3Daffiliate%26utm_campaign%3Dpoke%2Bcottage","Xerosic's Machinations")</f>
        <v>Xerosic's Machinations</v>
      </c>
      <c r="D145" s="5" t="s">
        <v>97</v>
      </c>
      <c r="E145" s="5" t="s">
        <v>19</v>
      </c>
      <c r="F145" s="5"/>
      <c r="G145" s="5"/>
      <c r="H145" s="7"/>
    </row>
    <row r="146" customFormat="false" ht="30" hidden="false" customHeight="true" outlineLevel="0" collapsed="false">
      <c r="A146" s="4" t="s">
        <v>6</v>
      </c>
      <c r="B146" s="5" t="s">
        <v>107</v>
      </c>
      <c r="C146" s="6" t="str">
        <f aca="false">HYPERLINK("https://partner.tcgplayer.com/c/6278691/1780961/21018?u=https%3A%2F%2Fwww.tcgplayer.com%2Fproduct%2F560401%3Futm_source%3Dimpact%26utm_medium%3Daffiliate%26utm_campaign%3Dpoke%2Bcottage","Okidogi ex")</f>
        <v>Okidogi ex</v>
      </c>
      <c r="D146" s="5" t="s">
        <v>108</v>
      </c>
      <c r="E146" s="5" t="s">
        <v>19</v>
      </c>
      <c r="F146" s="5"/>
      <c r="G146" s="5"/>
      <c r="H146" s="7"/>
    </row>
    <row r="147" customFormat="false" ht="30" hidden="false" customHeight="true" outlineLevel="0" collapsed="false">
      <c r="A147" s="4" t="s">
        <v>6</v>
      </c>
      <c r="B147" s="5" t="s">
        <v>109</v>
      </c>
      <c r="C147" s="6" t="str">
        <f aca="false">HYPERLINK("https://partner.tcgplayer.com/c/6278691/1780961/21018?u=https%3A%2F%2Fwww.tcgplayer.com%2Fproduct%2F560402%3Futm_source%3Dimpact%26utm_medium%3Daffiliate%26utm_campaign%3Dpoke%2Bcottage","Munkidori ex")</f>
        <v>Munkidori ex</v>
      </c>
      <c r="D147" s="5" t="s">
        <v>108</v>
      </c>
      <c r="E147" s="5" t="s">
        <v>19</v>
      </c>
      <c r="F147" s="5"/>
      <c r="G147" s="5"/>
      <c r="H147" s="7"/>
    </row>
    <row r="148" customFormat="false" ht="30" hidden="false" customHeight="true" outlineLevel="0" collapsed="false">
      <c r="A148" s="4" t="s">
        <v>6</v>
      </c>
      <c r="B148" s="5" t="s">
        <v>110</v>
      </c>
      <c r="C148" s="6" t="str">
        <f aca="false">HYPERLINK("https://partner.tcgplayer.com/c/6278691/1780961/21018?u=https%3A%2F%2Fwww.tcgplayer.com%2Fproduct%2F560403%3Futm_source%3Dimpact%26utm_medium%3Daffiliate%26utm_campaign%3Dpoke%2Bcottage","Fezandipiti ex")</f>
        <v>Fezandipiti ex</v>
      </c>
      <c r="D148" s="5" t="s">
        <v>108</v>
      </c>
      <c r="E148" s="5" t="s">
        <v>19</v>
      </c>
      <c r="F148" s="5"/>
      <c r="G148" s="5"/>
      <c r="H148" s="7"/>
    </row>
    <row r="149" customFormat="false" ht="30" hidden="false" customHeight="true" outlineLevel="0" collapsed="false">
      <c r="A149" s="4" t="s">
        <v>6</v>
      </c>
      <c r="B149" s="5" t="s">
        <v>111</v>
      </c>
      <c r="C149" s="6" t="str">
        <f aca="false">HYPERLINK("https://partner.tcgplayer.com/c/6278691/1780961/21018?u=https%3A%2F%2Fwww.tcgplayer.com%2Fproduct%2F560404%3Futm_source%3Dimpact%26utm_medium%3Daffiliate%26utm_campaign%3Dpoke%2Bcottage","Pecharunt ex")</f>
        <v>Pecharunt ex</v>
      </c>
      <c r="D149" s="5" t="s">
        <v>108</v>
      </c>
      <c r="E149" s="5" t="s">
        <v>19</v>
      </c>
      <c r="F149" s="5"/>
      <c r="G149" s="5"/>
      <c r="H149" s="7"/>
    </row>
    <row r="150" customFormat="false" ht="30" hidden="false" customHeight="true" outlineLevel="0" collapsed="false">
      <c r="A150" s="4" t="s">
        <v>6</v>
      </c>
      <c r="B150" s="5" t="s">
        <v>112</v>
      </c>
      <c r="C150" s="6" t="str">
        <f aca="false">HYPERLINK("https://partner.tcgplayer.com/c/6278691/1780961/21018?u=https%3A%2F%2Fwww.tcgplayer.com%2Fproduct%2F560405%3Futm_source%3Dimpact%26utm_medium%3Daffiliate%26utm_campaign%3Dpoke%2Bcottage","Cassiopeia")</f>
        <v>Cassiopeia</v>
      </c>
      <c r="D150" s="5" t="s">
        <v>108</v>
      </c>
      <c r="E150" s="5" t="s">
        <v>19</v>
      </c>
      <c r="F150" s="5"/>
      <c r="G150" s="5"/>
      <c r="H150" s="7"/>
    </row>
    <row r="151" customFormat="false" ht="30" hidden="false" customHeight="true" outlineLevel="0" collapsed="false">
      <c r="A151" s="4" t="s">
        <v>6</v>
      </c>
      <c r="B151" s="5" t="s">
        <v>113</v>
      </c>
      <c r="C151" s="6" t="str">
        <f aca="false">HYPERLINK("https://partner.tcgplayer.com/c/6278691/1780961/21018?u=https%3A%2F%2Fwww.tcgplayer.com%2Fproduct%2F560406%3Futm_source%3Dimpact%26utm_medium%3Daffiliate%26utm_campaign%3Dpoke%2Bcottage","Pecharunt ex")</f>
        <v>Pecharunt ex</v>
      </c>
      <c r="D151" s="5" t="s">
        <v>114</v>
      </c>
      <c r="E151" s="5" t="s">
        <v>19</v>
      </c>
      <c r="F151" s="5"/>
      <c r="G151" s="5"/>
      <c r="H151" s="7"/>
    </row>
    <row r="152" customFormat="false" ht="30" hidden="false" customHeight="true" outlineLevel="0" collapsed="false">
      <c r="A152" s="4" t="s">
        <v>6</v>
      </c>
      <c r="B152" s="5" t="s">
        <v>115</v>
      </c>
      <c r="C152" s="6" t="str">
        <f aca="false">HYPERLINK("https://partner.tcgplayer.com/c/6278691/1780961/21018?u=https%3A%2F%2Fwww.tcgplayer.com%2Fproduct%2F560407%3Futm_source%3Dimpact%26utm_medium%3Daffiliate%26utm_campaign%3Dpoke%2Bcottage","Earthen Vessel")</f>
        <v>Earthen Vessel</v>
      </c>
      <c r="D152" s="5" t="s">
        <v>114</v>
      </c>
      <c r="E152" s="5" t="s">
        <v>19</v>
      </c>
      <c r="F152" s="5"/>
      <c r="G152" s="5"/>
      <c r="H152" s="7"/>
    </row>
    <row r="153" customFormat="false" ht="30" hidden="false" customHeight="true" outlineLevel="0" collapsed="false">
      <c r="A153" s="4" t="s">
        <v>6</v>
      </c>
      <c r="B153" s="5" t="s">
        <v>116</v>
      </c>
      <c r="C153" s="6" t="str">
        <f aca="false">HYPERLINK("https://partner.tcgplayer.com/c/6278691/1780961/21018?u=https%3A%2F%2Fwww.tcgplayer.com%2Fproduct%2F560408%3Futm_source%3Dimpact%26utm_medium%3Daffiliate%26utm_campaign%3Dpoke%2Bcottage","Powerglass")</f>
        <v>Powerglass</v>
      </c>
      <c r="D153" s="5" t="s">
        <v>114</v>
      </c>
      <c r="E153" s="5" t="s">
        <v>19</v>
      </c>
      <c r="F153" s="5"/>
      <c r="G153" s="5"/>
      <c r="H153" s="7"/>
    </row>
    <row r="154" customFormat="false" ht="30" hidden="false" customHeight="true" outlineLevel="0" collapsed="false">
      <c r="A154" s="4" t="s">
        <v>6</v>
      </c>
      <c r="B154" s="5" t="s">
        <v>117</v>
      </c>
      <c r="C154" s="6" t="str">
        <f aca="false">HYPERLINK("https://partner.tcgplayer.com/c/6278691/1780961/21018?u=https%3A%2F%2Fwww.tcgplayer.com%2Fproduct%2F560409%3Futm_source%3Dimpact%26utm_medium%3Daffiliate%26utm_campaign%3Dpoke%2Bcottage","Basic Darkness Energy")</f>
        <v>Basic Darkness Energy</v>
      </c>
      <c r="D154" s="5" t="s">
        <v>114</v>
      </c>
      <c r="E154" s="5" t="s">
        <v>19</v>
      </c>
      <c r="F154" s="5"/>
      <c r="G154" s="5"/>
      <c r="H154" s="7"/>
    </row>
    <row r="155" customFormat="false" ht="30" hidden="false" customHeight="true" outlineLevel="0" collapsed="false">
      <c r="A155" s="4" t="s">
        <v>6</v>
      </c>
      <c r="B155" s="5" t="s">
        <v>118</v>
      </c>
      <c r="C155" s="6" t="str">
        <f aca="false">HYPERLINK("https://partner.tcgplayer.com/c/6278691/1780961/21018?u=https%3A%2F%2Fwww.tcgplayer.com%2Fproduct%2F560410%3Futm_source%3Dimpact%26utm_medium%3Daffiliate%26utm_campaign%3Dpoke%2Bcottage","Basic Metal Energy")</f>
        <v>Basic Metal Energy</v>
      </c>
      <c r="D155" s="5" t="s">
        <v>114</v>
      </c>
      <c r="E155" s="5" t="s">
        <v>19</v>
      </c>
      <c r="F155" s="5"/>
      <c r="G155" s="5"/>
      <c r="H155" s="7"/>
    </row>
    <row r="156" customFormat="false" ht="32" hidden="false" customHeight="true" outlineLevel="0" collapsed="false">
      <c r="A156" s="1" t="s">
        <v>119</v>
      </c>
      <c r="B156" s="1"/>
      <c r="C156" s="1"/>
      <c r="D156" s="1"/>
      <c r="E156" s="1"/>
      <c r="F156" s="1"/>
      <c r="G156" s="1"/>
      <c r="H156" s="1"/>
    </row>
    <row r="157" customFormat="false" ht="30" hidden="false" customHeight="true" outlineLevel="0" collapsed="false">
      <c r="A157" s="4" t="s">
        <v>6</v>
      </c>
      <c r="B157" s="5" t="s">
        <v>120</v>
      </c>
      <c r="C157" s="6" t="str">
        <f aca="false">HYPERLINK("https://partner.tcgplayer.com/c/6278691/1780961/21018?u=https%3A%2F%2Fwww.tcgplayer.com%2Fproduct%2F564137%3Futm_source%3Dimpact%26utm_medium%3Daffiliate%26utm_campaign%3Dpoke%2Bcottage","Pecharunt")</f>
        <v>Pecharunt</v>
      </c>
      <c r="D157" s="5" t="s">
        <v>121</v>
      </c>
      <c r="E157" s="5"/>
      <c r="F157" s="5"/>
      <c r="G157" s="5"/>
      <c r="H157" s="7"/>
    </row>
    <row r="158" customFormat="false" ht="30" hidden="false" customHeight="true" outlineLevel="0" collapsed="false">
      <c r="A158" s="4" t="s">
        <v>6</v>
      </c>
      <c r="B158" s="5" t="s">
        <v>120</v>
      </c>
      <c r="C158" s="6" t="str">
        <f aca="false">HYPERLINK("https://partner.tcgplayer.com/c/6278691/1780961/21018?u=https%3A%2F%2Fwww.tcgplayer.com%2Fproduct%2F573720%3Futm_source%3Dimpact%26utm_medium%3Daffiliate%26utm_campaign%3Dpoke%2Bcottage","Pecharunt - Pokemon Center Stamp")</f>
        <v>Pecharunt - Pokemon Center Stamp</v>
      </c>
      <c r="D158" s="5" t="s">
        <v>122</v>
      </c>
      <c r="E158" s="5"/>
      <c r="F158" s="5"/>
      <c r="G158" s="5"/>
      <c r="H158" s="7"/>
    </row>
    <row r="159" customFormat="false" ht="30" hidden="false" customHeight="true" outlineLevel="0" collapsed="false">
      <c r="A159" s="4" t="s">
        <v>6</v>
      </c>
      <c r="B159" s="5" t="s">
        <v>123</v>
      </c>
      <c r="C159" s="6" t="str">
        <f aca="false">HYPERLINK("https://partner.tcgplayer.com/c/6278691/1780961/21018?u=https%3A%2F%2Fwww.tcgplayer.com%2Fproduct%2F562087%3Futm_source%3Dimpact%26utm_medium%3Daffiliate%26utm_campaign%3Dpoke%2Bcottage","Kingambit")</f>
        <v>Kingambit</v>
      </c>
      <c r="D159" s="5" t="s">
        <v>124</v>
      </c>
      <c r="E159" s="5"/>
      <c r="F159" s="5"/>
      <c r="G159" s="5"/>
      <c r="H159" s="7"/>
    </row>
    <row r="160" customFormat="false" ht="30" hidden="false" customHeight="true" outlineLevel="0" collapsed="false">
      <c r="A160" s="4" t="s">
        <v>6</v>
      </c>
      <c r="B160" s="5" t="s">
        <v>125</v>
      </c>
      <c r="C160" s="6" t="str">
        <f aca="false">HYPERLINK("https://partner.tcgplayer.com/c/6278691/1780961/21018?u=https%3A%2F%2Fwww.tcgplayer.com%2Fproduct%2F562019%3Futm_source%3Dimpact%26utm_medium%3Daffiliate%26utm_campaign%3Dpoke%2Bcottage","Kingdra ex")</f>
        <v>Kingdra ex</v>
      </c>
      <c r="D160" s="5" t="s">
        <v>126</v>
      </c>
      <c r="E160" s="5"/>
      <c r="F160" s="5"/>
      <c r="G160" s="5"/>
      <c r="H160" s="7"/>
    </row>
    <row r="161" customFormat="false" ht="30" hidden="false" customHeight="true" outlineLevel="0" collapsed="false">
      <c r="A161" s="4" t="s">
        <v>6</v>
      </c>
      <c r="B161" s="5" t="s">
        <v>127</v>
      </c>
      <c r="C161" s="6" t="str">
        <f aca="false">HYPERLINK("https://partner.tcgplayer.com/c/6278691/1780961/21018?u=https%3A%2F%2Fwww.tcgplayer.com%2Fproduct%2F562018%3Futm_source%3Dimpact%26utm_medium%3Daffiliate%26utm_campaign%3Dpoke%2Bcottage","Greninja ex")</f>
        <v>Greninja ex</v>
      </c>
      <c r="D161" s="5" t="s">
        <v>128</v>
      </c>
      <c r="E161" s="5"/>
      <c r="F161" s="5"/>
      <c r="G161" s="5"/>
      <c r="H161" s="7"/>
    </row>
    <row r="162" customFormat="false" ht="30" hidden="false" customHeight="true" outlineLevel="0" collapsed="false">
      <c r="A162" s="4" t="s">
        <v>6</v>
      </c>
      <c r="B162" s="5" t="s">
        <v>12</v>
      </c>
      <c r="C162" s="5" t="s">
        <v>129</v>
      </c>
      <c r="D162" s="5" t="s">
        <v>130</v>
      </c>
      <c r="E162" s="5"/>
      <c r="F162" s="5" t="str">
        <f aca="false">HYPERLINK("https://www.ebay.com/sch/i.html?_nkw=Galvantula+Play%21+Pokemon+Cosmos+Holo+Shrouded+Fable+2+pokemon+card&amp;_sacat=0&amp;_from=R40&amp;_trksid=p4624852.m570.l1313&amp;mkcid=1&amp;mkrid=711-53200-19255-0&amp;siteid=0&amp;campid=5339158445&amp;customid=pokecottage&amp;toolid=10001&amp;mkevt=1","FIND ON EBAY")</f>
        <v>FIND ON EBAY</v>
      </c>
      <c r="G162" s="5"/>
      <c r="H162" s="7"/>
    </row>
    <row r="163" customFormat="false" ht="30" hidden="false" customHeight="true" outlineLevel="0" collapsed="false">
      <c r="A163" s="4" t="s">
        <v>6</v>
      </c>
      <c r="B163" s="5" t="s">
        <v>23</v>
      </c>
      <c r="C163" s="6" t="str">
        <f aca="false">HYPERLINK("https://partner.tcgplayer.com/c/6278691/1780961/21018?u=https%3A%2F%2Fwww.tcgplayer.com%2Fproduct%2F562172%3Futm_source%3Dimpact%26utm_medium%3Daffiliate%26utm_campaign%3Dpoke%2Bcottage","Horsea")</f>
        <v>Horsea</v>
      </c>
      <c r="D163" s="5" t="s">
        <v>131</v>
      </c>
      <c r="E163" s="5"/>
      <c r="F163" s="5"/>
      <c r="G163" s="5"/>
      <c r="H163" s="7"/>
    </row>
    <row r="164" customFormat="false" ht="30" hidden="false" customHeight="true" outlineLevel="0" collapsed="false">
      <c r="A164" s="4" t="s">
        <v>6</v>
      </c>
      <c r="B164" s="5" t="s">
        <v>24</v>
      </c>
      <c r="C164" s="6" t="str">
        <f aca="false">HYPERLINK("https://partner.tcgplayer.com/c/6278691/1780961/21018?u=https%3A%2F%2Fwww.tcgplayer.com%2Fproduct%2F562164%3Futm_source%3Dimpact%26utm_medium%3Daffiliate%26utm_campaign%3Dpoke%2Bcottage","Seadra")</f>
        <v>Seadra</v>
      </c>
      <c r="D164" s="5" t="s">
        <v>131</v>
      </c>
      <c r="E164" s="5"/>
      <c r="F164" s="5"/>
      <c r="G164" s="5"/>
      <c r="H164" s="7"/>
    </row>
    <row r="165" customFormat="false" ht="30" hidden="false" customHeight="true" outlineLevel="0" collapsed="false">
      <c r="A165" s="4" t="s">
        <v>6</v>
      </c>
      <c r="B165" s="5" t="s">
        <v>25</v>
      </c>
      <c r="C165" s="6" t="str">
        <f aca="false">HYPERLINK("https://partner.tcgplayer.com/c/6278691/1780961/21018?u=https%3A%2F%2Fwww.tcgplayer.com%2Fproduct%2F664058%3Futm_source%3Dimpact%26utm_medium%3Daffiliate%26utm_campaign%3Dpoke%2Bcottage","Kingdra ex")</f>
        <v>Kingdra ex</v>
      </c>
      <c r="D165" s="5" t="s">
        <v>132</v>
      </c>
      <c r="E165" s="5"/>
      <c r="F165" s="5"/>
      <c r="G165" s="5"/>
      <c r="H165" s="7"/>
    </row>
    <row r="166" customFormat="false" ht="30" hidden="false" customHeight="true" outlineLevel="0" collapsed="false">
      <c r="A166" s="4" t="s">
        <v>6</v>
      </c>
      <c r="B166" s="5" t="s">
        <v>32</v>
      </c>
      <c r="C166" s="5" t="s">
        <v>133</v>
      </c>
      <c r="D166" s="5" t="s">
        <v>134</v>
      </c>
      <c r="E166" s="5"/>
      <c r="F166" s="5" t="str">
        <f aca="false">HYPERLINK("https://www.ebay.com/sch/i.html?_nkw=Duskull+World+Championships+Deck+2025+Pult+Bomb+by+Jose+Cruz+Galindo-Resendiz+Shrouded+Fable+18+pokemon+card&amp;_sacat=0&amp;_from=R40&amp;_trksid=p4624852.m570.l1313&amp;mkcid=1&amp;mkrid=711-53200-19255-0&amp;siteid=0&amp;campid=5339158445&amp;customid=pokecottage&amp;toolid=10001&amp;mkevt=1","FIND ON EBAY")</f>
        <v>FIND ON EBAY</v>
      </c>
      <c r="G166" s="5"/>
      <c r="H166" s="7"/>
    </row>
    <row r="167" customFormat="false" ht="30" hidden="false" customHeight="true" outlineLevel="0" collapsed="false">
      <c r="A167" s="4" t="s">
        <v>6</v>
      </c>
      <c r="B167" s="5" t="s">
        <v>33</v>
      </c>
      <c r="C167" s="6" t="str">
        <f aca="false">HYPERLINK("https://partner.tcgplayer.com/c/6278691/1780961/21018?u=https%3A%2F%2Fwww.tcgplayer.com%2Fproduct%2F648349%3Futm_source%3Dimpact%26utm_medium%3Daffiliate%26utm_campaign%3Dpoke%2Bcottage","Dusclops")</f>
        <v>Dusclops</v>
      </c>
      <c r="D167" s="5" t="s">
        <v>135</v>
      </c>
      <c r="E167" s="5"/>
      <c r="F167" s="5"/>
      <c r="G167" s="5"/>
      <c r="H167" s="7"/>
    </row>
    <row r="168" customFormat="false" ht="30" hidden="false" customHeight="true" outlineLevel="0" collapsed="false">
      <c r="A168" s="4" t="s">
        <v>6</v>
      </c>
      <c r="B168" s="5" t="s">
        <v>33</v>
      </c>
      <c r="C168" s="6" t="str">
        <f aca="false">HYPERLINK("https://partner.tcgplayer.com/c/6278691/1780961/21018?u=https%3A%2F%2Fwww.tcgplayer.com%2Fproduct%2F648349%3Futm_source%3Dimpact%26utm_medium%3Daffiliate%26utm_campaign%3Dpoke%2Bcottage","Dusclops")</f>
        <v>Dusclops</v>
      </c>
      <c r="D168" s="5" t="s">
        <v>130</v>
      </c>
      <c r="E168" s="5"/>
      <c r="F168" s="5"/>
      <c r="G168" s="5"/>
      <c r="H168" s="7"/>
    </row>
    <row r="169" customFormat="false" ht="30" hidden="false" customHeight="true" outlineLevel="0" collapsed="false">
      <c r="A169" s="4" t="s">
        <v>6</v>
      </c>
      <c r="B169" s="5" t="s">
        <v>33</v>
      </c>
      <c r="C169" s="5" t="s">
        <v>136</v>
      </c>
      <c r="D169" s="5" t="s">
        <v>137</v>
      </c>
      <c r="E169" s="5"/>
      <c r="F169" s="5" t="str">
        <f aca="false">HYPERLINK("https://www.ebay.com/sch/i.html?_nkw=Dusclops+Pokemon+TCG+Gym+Shrouded+Fable+19+pokemon+card&amp;_sacat=0&amp;_from=R40&amp;_trksid=p4624852.m570.l1313&amp;mkcid=1&amp;mkrid=711-53200-19255-0&amp;siteid=0&amp;campid=5339158445&amp;customid=pokecottage&amp;toolid=10001&amp;mkevt=1","FIND ON EBAY")</f>
        <v>FIND ON EBAY</v>
      </c>
      <c r="G169" s="5"/>
      <c r="H169" s="7"/>
    </row>
    <row r="170" customFormat="false" ht="30" hidden="false" customHeight="true" outlineLevel="0" collapsed="false">
      <c r="A170" s="4" t="s">
        <v>6</v>
      </c>
      <c r="B170" s="5" t="s">
        <v>33</v>
      </c>
      <c r="C170" s="5" t="s">
        <v>136</v>
      </c>
      <c r="D170" s="5" t="s">
        <v>134</v>
      </c>
      <c r="E170" s="5"/>
      <c r="F170" s="5" t="str">
        <f aca="false">HYPERLINK("https://www.ebay.com/sch/i.html?_nkw=Dusclops+World+Championships+Deck+2025+Pult+Bomb+by+Jose+Cruz+Galindo-Resendiz+Shrouded+Fable+19+pokemon+card&amp;_sacat=0&amp;_from=R40&amp;_trksid=p4624852.m570.l1313&amp;mkcid=1&amp;mkrid=711-53200-19255-0&amp;siteid=0&amp;campid=5339158445&amp;customid=pokecottage&amp;toolid=10001&amp;mkevt=1","FIND ON EBAY")</f>
        <v>FIND ON EBAY</v>
      </c>
      <c r="G170" s="5"/>
      <c r="H170" s="7"/>
    </row>
    <row r="171" customFormat="false" ht="30" hidden="false" customHeight="true" outlineLevel="0" collapsed="false">
      <c r="A171" s="4" t="s">
        <v>6</v>
      </c>
      <c r="B171" s="5" t="s">
        <v>34</v>
      </c>
      <c r="C171" s="6" t="str">
        <f aca="false">HYPERLINK("https://partner.tcgplayer.com/c/6278691/1780961/21018?u=https%3A%2F%2Fwww.tcgplayer.com%2Fproduct%2F651138%3Futm_source%3Dimpact%26utm_medium%3Daffiliate%26utm_campaign%3Dpoke%2Bcottage","Dusknoir")</f>
        <v>Dusknoir</v>
      </c>
      <c r="D171" s="5" t="s">
        <v>135</v>
      </c>
      <c r="E171" s="5"/>
      <c r="F171" s="5"/>
      <c r="G171" s="5"/>
      <c r="H171" s="7"/>
    </row>
    <row r="172" customFormat="false" ht="30" hidden="false" customHeight="true" outlineLevel="0" collapsed="false">
      <c r="A172" s="4" t="s">
        <v>6</v>
      </c>
      <c r="B172" s="5" t="s">
        <v>34</v>
      </c>
      <c r="C172" s="6" t="str">
        <f aca="false">HYPERLINK("https://partner.tcgplayer.com/c/6278691/1780961/21018?u=https%3A%2F%2Fwww.tcgplayer.com%2Fproduct%2F651138%3Futm_source%3Dimpact%26utm_medium%3Daffiliate%26utm_campaign%3Dpoke%2Bcottage","Dusknoir")</f>
        <v>Dusknoir</v>
      </c>
      <c r="D172" s="5" t="s">
        <v>130</v>
      </c>
      <c r="E172" s="5"/>
      <c r="F172" s="5"/>
      <c r="G172" s="5"/>
      <c r="H172" s="7"/>
    </row>
    <row r="173" customFormat="false" ht="30" hidden="false" customHeight="true" outlineLevel="0" collapsed="false">
      <c r="A173" s="4" t="s">
        <v>6</v>
      </c>
      <c r="B173" s="5" t="s">
        <v>34</v>
      </c>
      <c r="C173" s="5" t="s">
        <v>138</v>
      </c>
      <c r="D173" s="5" t="s">
        <v>137</v>
      </c>
      <c r="E173" s="5"/>
      <c r="F173" s="5" t="str">
        <f aca="false">HYPERLINK("https://www.ebay.com/sch/i.html?_nkw=Dusknoir+Pokemon+TCG+Gym+Shrouded+Fable+20+pokemon+card&amp;_sacat=0&amp;_from=R40&amp;_trksid=p4624852.m570.l1313&amp;mkcid=1&amp;mkrid=711-53200-19255-0&amp;siteid=0&amp;campid=5339158445&amp;customid=pokecottage&amp;toolid=10001&amp;mkevt=1","FIND ON EBAY")</f>
        <v>FIND ON EBAY</v>
      </c>
      <c r="G173" s="5"/>
      <c r="H173" s="7"/>
    </row>
    <row r="174" customFormat="false" ht="30" hidden="false" customHeight="true" outlineLevel="0" collapsed="false">
      <c r="A174" s="4" t="s">
        <v>6</v>
      </c>
      <c r="B174" s="5" t="s">
        <v>34</v>
      </c>
      <c r="C174" s="5" t="s">
        <v>138</v>
      </c>
      <c r="D174" s="5" t="s">
        <v>134</v>
      </c>
      <c r="E174" s="5"/>
      <c r="F174" s="5" t="str">
        <f aca="false">HYPERLINK("https://www.ebay.com/sch/i.html?_nkw=Dusknoir+World+Championships+Deck+2025+Pult+Bomb+by+Jose+Cruz+Galindo-Resendiz+Shrouded+Fable+20+pokemon+card&amp;_sacat=0&amp;_from=R40&amp;_trksid=p4624852.m570.l1313&amp;mkcid=1&amp;mkrid=711-53200-19255-0&amp;siteid=0&amp;campid=5339158445&amp;customid=pokecottage&amp;toolid=10001&amp;mkevt=1","FIND ON EBAY")</f>
        <v>FIND ON EBAY</v>
      </c>
      <c r="G174" s="5"/>
      <c r="H174" s="7"/>
    </row>
    <row r="175" customFormat="false" ht="30" hidden="false" customHeight="true" outlineLevel="0" collapsed="false">
      <c r="A175" s="4" t="s">
        <v>6</v>
      </c>
      <c r="B175" s="5" t="s">
        <v>50</v>
      </c>
      <c r="C175" s="6" t="str">
        <f aca="false">HYPERLINK("https://partner.tcgplayer.com/c/6278691/1780961/21018?u=https%3A%2F%2Fwww.tcgplayer.com%2Fproduct%2F619155%3Futm_source%3Dimpact%26utm_medium%3Daffiliate%26utm_campaign%3Dpoke%2Bcottage","Okidogi ex")</f>
        <v>Okidogi ex</v>
      </c>
      <c r="D175" s="5" t="s">
        <v>135</v>
      </c>
      <c r="E175" s="5"/>
      <c r="F175" s="5"/>
      <c r="G175" s="5"/>
      <c r="H175" s="7"/>
    </row>
    <row r="176" customFormat="false" ht="30" hidden="false" customHeight="true" outlineLevel="0" collapsed="false">
      <c r="A176" s="4" t="s">
        <v>6</v>
      </c>
      <c r="B176" s="5" t="s">
        <v>51</v>
      </c>
      <c r="C176" s="6" t="str">
        <f aca="false">HYPERLINK("https://partner.tcgplayer.com/c/6278691/1780961/21018?u=https%3A%2F%2Fwww.tcgplayer.com%2Fproduct%2F619144%3Futm_source%3Dimpact%26utm_medium%3Daffiliate%26utm_campaign%3Dpoke%2Bcottage","Munkidori ex")</f>
        <v>Munkidori ex</v>
      </c>
      <c r="D176" s="5" t="s">
        <v>135</v>
      </c>
      <c r="E176" s="5"/>
      <c r="F176" s="5"/>
      <c r="G176" s="5"/>
      <c r="H176" s="7"/>
    </row>
    <row r="177" customFormat="false" ht="30" hidden="false" customHeight="true" outlineLevel="0" collapsed="false">
      <c r="A177" s="4" t="s">
        <v>6</v>
      </c>
      <c r="B177" s="5" t="s">
        <v>52</v>
      </c>
      <c r="C177" s="5" t="s">
        <v>139</v>
      </c>
      <c r="D177" s="5" t="s">
        <v>135</v>
      </c>
      <c r="E177" s="5"/>
      <c r="F177" s="5" t="str">
        <f aca="false">HYPERLINK("https://www.ebay.com/sch/i.html?_nkw=Fezandipiti+ex+Play%21+Pokemon+Shrouded+Fable+38+pokemon+card&amp;_sacat=0&amp;_from=R40&amp;_trksid=p4624852.m570.l1313&amp;mkcid=1&amp;mkrid=711-53200-19255-0&amp;siteid=0&amp;campid=5339158445&amp;customid=pokecottage&amp;toolid=10001&amp;mkevt=1","FIND ON EBAY")</f>
        <v>FIND ON EBAY</v>
      </c>
      <c r="G177" s="5"/>
      <c r="H177" s="7"/>
    </row>
    <row r="178" customFormat="false" ht="30" hidden="false" customHeight="true" outlineLevel="0" collapsed="false">
      <c r="A178" s="4" t="s">
        <v>6</v>
      </c>
      <c r="B178" s="5" t="s">
        <v>52</v>
      </c>
      <c r="C178" s="5" t="s">
        <v>139</v>
      </c>
      <c r="D178" s="5" t="s">
        <v>140</v>
      </c>
      <c r="E178" s="5"/>
      <c r="F178" s="5" t="str">
        <f aca="false">HYPERLINK("https://www.ebay.com/sch/i.html?_nkw=Fezandipiti+ex+Play%21+Pokemon+Alternate+Placement+Shrouded+Fable+38+pokemon+card&amp;_sacat=0&amp;_from=R40&amp;_trksid=p4624852.m570.l1313&amp;mkcid=1&amp;mkrid=711-53200-19255-0&amp;siteid=0&amp;campid=5339158445&amp;customid=pokecottage&amp;toolid=10001&amp;mkevt=1","FIND ON EBAY")</f>
        <v>FIND ON EBAY</v>
      </c>
      <c r="G178" s="5"/>
      <c r="H178" s="7"/>
    </row>
    <row r="179" customFormat="false" ht="30" hidden="false" customHeight="true" outlineLevel="0" collapsed="false">
      <c r="A179" s="4" t="s">
        <v>6</v>
      </c>
      <c r="B179" s="5" t="s">
        <v>52</v>
      </c>
      <c r="C179" s="6" t="str">
        <f aca="false">HYPERLINK("https://partner.tcgplayer.com/c/6278691/1780961/21018?u=https%3A%2F%2Fwww.tcgplayer.com%2Fproduct%2F637523%3Futm_source%3Dimpact%26utm_medium%3Daffiliate%26utm_campaign%3Dpoke%2Bcottage","Fezandipiti ex")</f>
        <v>Fezandipiti ex</v>
      </c>
      <c r="D179" s="5" t="s">
        <v>141</v>
      </c>
      <c r="E179" s="5"/>
      <c r="F179" s="5"/>
      <c r="G179" s="5"/>
      <c r="H179" s="7"/>
    </row>
    <row r="180" customFormat="false" ht="30" hidden="false" customHeight="true" outlineLevel="0" collapsed="false">
      <c r="A180" s="4" t="s">
        <v>6</v>
      </c>
      <c r="B180" s="5" t="s">
        <v>52</v>
      </c>
      <c r="C180" s="6" t="str">
        <f aca="false">HYPERLINK("https://partner.tcgplayer.com/c/6278691/1780961/21018?u=https%3A%2F%2Fwww.tcgplayer.com%2Fproduct%2F637525%3Futm_source%3Dimpact%26utm_medium%3Daffiliate%26utm_campaign%3Dpoke%2Bcottage","Fezandipiti ex")</f>
        <v>Fezandipiti ex</v>
      </c>
      <c r="D180" s="5" t="s">
        <v>142</v>
      </c>
      <c r="E180" s="5"/>
      <c r="F180" s="5"/>
      <c r="G180" s="5"/>
      <c r="H180" s="7"/>
    </row>
    <row r="181" customFormat="false" ht="30" hidden="false" customHeight="true" outlineLevel="0" collapsed="false">
      <c r="A181" s="4" t="s">
        <v>6</v>
      </c>
      <c r="B181" s="5" t="s">
        <v>52</v>
      </c>
      <c r="C181" s="6" t="str">
        <f aca="false">HYPERLINK("https://partner.tcgplayer.com/c/6278691/1780961/21018?u=https%3A%2F%2Fwww.tcgplayer.com%2Fproduct%2F637527%3Futm_source%3Dimpact%26utm_medium%3Daffiliate%26utm_campaign%3Dpoke%2Bcottage","Fezandipiti ex")</f>
        <v>Fezandipiti ex</v>
      </c>
      <c r="D181" s="5" t="s">
        <v>143</v>
      </c>
      <c r="E181" s="5"/>
      <c r="F181" s="5"/>
      <c r="G181" s="5"/>
      <c r="H181" s="7"/>
    </row>
    <row r="182" customFormat="false" ht="30" hidden="false" customHeight="true" outlineLevel="0" collapsed="false">
      <c r="A182" s="4" t="s">
        <v>6</v>
      </c>
      <c r="B182" s="5" t="s">
        <v>52</v>
      </c>
      <c r="C182" s="6" t="str">
        <f aca="false">HYPERLINK("https://partner.tcgplayer.com/c/6278691/1780961/21018?u=https%3A%2F%2Fwww.tcgplayer.com%2Fproduct%2F689019%3Futm_source%3Dimpact%26utm_medium%3Daffiliate%26utm_campaign%3Dpoke%2Bcottage","Fezandipiti ex")</f>
        <v>Fezandipiti ex</v>
      </c>
      <c r="D182" s="5" t="s">
        <v>144</v>
      </c>
      <c r="E182" s="5"/>
      <c r="F182" s="5"/>
      <c r="G182" s="5"/>
      <c r="H182" s="7"/>
    </row>
    <row r="183" customFormat="false" ht="30" hidden="false" customHeight="true" outlineLevel="0" collapsed="false">
      <c r="A183" s="4" t="s">
        <v>6</v>
      </c>
      <c r="B183" s="5" t="s">
        <v>52</v>
      </c>
      <c r="C183" s="6" t="str">
        <f aca="false">HYPERLINK("https://partner.tcgplayer.com/c/6278691/1780961/21018?u=https%3A%2F%2Fwww.tcgplayer.com%2Fproduct%2F690263%3Futm_source%3Dimpact%26utm_medium%3Daffiliate%26utm_campaign%3Dpoke%2Bcottage","Fezandipiti ex")</f>
        <v>Fezandipiti ex</v>
      </c>
      <c r="D183" s="5" t="s">
        <v>145</v>
      </c>
      <c r="E183" s="5"/>
      <c r="F183" s="5"/>
      <c r="G183" s="5"/>
      <c r="H183" s="7"/>
    </row>
    <row r="184" customFormat="false" ht="30" hidden="false" customHeight="true" outlineLevel="0" collapsed="false">
      <c r="A184" s="4" t="s">
        <v>6</v>
      </c>
      <c r="B184" s="5" t="s">
        <v>52</v>
      </c>
      <c r="C184" s="5" t="s">
        <v>139</v>
      </c>
      <c r="D184" s="5" t="s">
        <v>146</v>
      </c>
      <c r="E184" s="5"/>
      <c r="F184" s="5" t="str">
        <f aca="false">HYPERLINK("https://www.ebay.com/sch/i.html?_nkw=Fezandipiti+ex+World+Championships+Deck+2025+JP+Raging+Bolt+by+Yuya+Okita+Shrouded+Fable+38+pokemon+card&amp;_sacat=0&amp;_from=R40&amp;_trksid=p4624852.m570.l1313&amp;mkcid=1&amp;mkrid=711-53200-19255-0&amp;siteid=0&amp;campid=5339158445&amp;customid=pokecottage&amp;toolid=10001&amp;mkevt=1","FIND ON EBAY")</f>
        <v>FIND ON EBAY</v>
      </c>
      <c r="G184" s="5"/>
      <c r="H184" s="7"/>
    </row>
    <row r="185" customFormat="false" ht="30" hidden="false" customHeight="true" outlineLevel="0" collapsed="false">
      <c r="A185" s="4" t="s">
        <v>6</v>
      </c>
      <c r="B185" s="5" t="s">
        <v>52</v>
      </c>
      <c r="C185" s="6" t="str">
        <f aca="false">HYPERLINK("https://partner.tcgplayer.com/c/6278691/1780961/21018?u=https%3A%2F%2Fwww.tcgplayer.com%2Fproduct%2F690489%3Futm_source%3Dimpact%26utm_medium%3Daffiliate%26utm_campaign%3Dpoke%2Bcottage","Fezandipiti ex")</f>
        <v>Fezandipiti ex</v>
      </c>
      <c r="D185" s="5" t="s">
        <v>134</v>
      </c>
      <c r="E185" s="5"/>
      <c r="F185" s="5"/>
      <c r="G185" s="5"/>
      <c r="H185" s="7"/>
    </row>
    <row r="186" customFormat="false" ht="30" hidden="false" customHeight="true" outlineLevel="0" collapsed="false">
      <c r="A186" s="4" t="s">
        <v>6</v>
      </c>
      <c r="B186" s="5" t="s">
        <v>53</v>
      </c>
      <c r="C186" s="6" t="str">
        <f aca="false">HYPERLINK("https://partner.tcgplayer.com/c/6278691/1780961/21018?u=https%3A%2F%2Fwww.tcgplayer.com%2Fproduct%2F619156%3Futm_source%3Dimpact%26utm_medium%3Daffiliate%26utm_campaign%3Dpoke%2Bcottage","Pecharunt ex")</f>
        <v>Pecharunt ex</v>
      </c>
      <c r="D186" s="5" t="s">
        <v>135</v>
      </c>
      <c r="E186" s="5"/>
      <c r="F186" s="5"/>
      <c r="G186" s="5"/>
      <c r="H186" s="7"/>
    </row>
    <row r="187" customFormat="false" ht="30" hidden="false" customHeight="true" outlineLevel="0" collapsed="false">
      <c r="A187" s="4" t="s">
        <v>6</v>
      </c>
      <c r="B187" s="5" t="s">
        <v>54</v>
      </c>
      <c r="C187" s="6" t="str">
        <f aca="false">HYPERLINK("https://partner.tcgplayer.com/c/6278691/1780961/21018?u=https%3A%2F%2Fwww.tcgplayer.com%2Fproduct%2F619120%3Futm_source%3Dimpact%26utm_medium%3Daffiliate%26utm_campaign%3Dpoke%2Bcottage","Genesect")</f>
        <v>Genesect</v>
      </c>
      <c r="D187" s="5" t="s">
        <v>130</v>
      </c>
      <c r="E187" s="5"/>
      <c r="F187" s="5"/>
      <c r="G187" s="5"/>
      <c r="H187" s="7"/>
    </row>
    <row r="188" customFormat="false" ht="30" hidden="false" customHeight="true" outlineLevel="0" collapsed="false">
      <c r="A188" s="4" t="s">
        <v>6</v>
      </c>
      <c r="B188" s="5" t="s">
        <v>54</v>
      </c>
      <c r="C188" s="5" t="s">
        <v>147</v>
      </c>
      <c r="D188" s="5" t="s">
        <v>134</v>
      </c>
      <c r="E188" s="5"/>
      <c r="F188" s="5" t="str">
        <f aca="false">HYPERLINK("https://www.ebay.com/sch/i.html?_nkw=Genesect+World+Championships+Deck+2025+Pult+Bomb+by+Jose+Cruz+Galindo-Resendiz+Shrouded+Fable+40+pokemon+card&amp;_sacat=0&amp;_from=R40&amp;_trksid=p4624852.m570.l1313&amp;mkcid=1&amp;mkrid=711-53200-19255-0&amp;siteid=0&amp;campid=5339158445&amp;customid=pokecottage&amp;toolid=10001&amp;mkevt=1","FIND ON EBAY")</f>
        <v>FIND ON EBAY</v>
      </c>
      <c r="G188" s="5"/>
      <c r="H188" s="7"/>
    </row>
    <row r="189" customFormat="false" ht="30" hidden="false" customHeight="true" outlineLevel="0" collapsed="false">
      <c r="A189" s="4" t="s">
        <v>6</v>
      </c>
      <c r="B189" s="5" t="s">
        <v>56</v>
      </c>
      <c r="C189" s="6" t="str">
        <f aca="false">HYPERLINK("https://partner.tcgplayer.com/c/6278691/1780961/21018?u=https%3A%2F%2Fwww.tcgplayer.com%2Fproduct%2F619071%3Futm_source%3Dimpact%26utm_medium%3Daffiliate%26utm_campaign%3Dpoke%2Bcottage","Copperajah")</f>
        <v>Copperajah</v>
      </c>
      <c r="D189" s="5" t="s">
        <v>130</v>
      </c>
      <c r="E189" s="5"/>
      <c r="F189" s="5"/>
      <c r="G189" s="5"/>
      <c r="H189" s="7"/>
    </row>
    <row r="190" customFormat="false" ht="30" hidden="false" customHeight="true" outlineLevel="0" collapsed="false">
      <c r="A190" s="4" t="s">
        <v>6</v>
      </c>
      <c r="B190" s="5" t="s">
        <v>61</v>
      </c>
      <c r="C190" s="6" t="str">
        <f aca="false">HYPERLINK("https://partner.tcgplayer.com/c/6278691/1780961/21018?u=https%3A%2F%2Fwww.tcgplayer.com%2Fproduct%2F637526%3Futm_source%3Dimpact%26utm_medium%3Daffiliate%26utm_campaign%3Dpoke%2Bcottage","Kyurem")</f>
        <v>Kyurem</v>
      </c>
      <c r="D190" s="5" t="s">
        <v>142</v>
      </c>
      <c r="E190" s="5"/>
      <c r="F190" s="5"/>
      <c r="G190" s="5"/>
      <c r="H190" s="7"/>
    </row>
    <row r="191" customFormat="false" ht="30" hidden="false" customHeight="true" outlineLevel="0" collapsed="false">
      <c r="A191" s="4" t="s">
        <v>6</v>
      </c>
      <c r="B191" s="5" t="s">
        <v>69</v>
      </c>
      <c r="C191" s="6" t="str">
        <f aca="false">HYPERLINK("https://partner.tcgplayer.com/c/6278691/1780961/21018?u=https%3A%2F%2Fwww.tcgplayer.com%2Fproduct%2F619059%3Futm_source%3Dimpact%26utm_medium%3Daffiliate%26utm_campaign%3Dpoke%2Bcottage","Binding Mochi")</f>
        <v>Binding Mochi</v>
      </c>
      <c r="D191" s="5" t="s">
        <v>135</v>
      </c>
      <c r="E191" s="5"/>
      <c r="F191" s="5"/>
      <c r="G191" s="5"/>
      <c r="H191" s="7"/>
    </row>
    <row r="192" customFormat="false" ht="30" hidden="false" customHeight="true" outlineLevel="0" collapsed="false">
      <c r="A192" s="4" t="s">
        <v>6</v>
      </c>
      <c r="B192" s="5" t="s">
        <v>69</v>
      </c>
      <c r="C192" s="6" t="str">
        <f aca="false">HYPERLINK("https://partner.tcgplayer.com/c/6278691/1780961/21018?u=https%3A%2F%2Fwww.tcgplayer.com%2Fproduct%2F619059%3Futm_source%3Dimpact%26utm_medium%3Daffiliate%26utm_campaign%3Dpoke%2Bcottage","Binding Mochi")</f>
        <v>Binding Mochi</v>
      </c>
      <c r="D192" s="5" t="s">
        <v>130</v>
      </c>
      <c r="E192" s="5"/>
      <c r="F192" s="5"/>
      <c r="G192" s="5"/>
      <c r="H192" s="7"/>
    </row>
    <row r="193" customFormat="false" ht="30" hidden="false" customHeight="true" outlineLevel="0" collapsed="false">
      <c r="A193" s="4" t="s">
        <v>6</v>
      </c>
      <c r="B193" s="5" t="s">
        <v>71</v>
      </c>
      <c r="C193" s="5" t="s">
        <v>148</v>
      </c>
      <c r="D193" s="5" t="s">
        <v>149</v>
      </c>
      <c r="E193" s="5"/>
      <c r="F193" s="5" t="str">
        <f aca="false">HYPERLINK("https://www.ebay.com/sch/i.html?_nkw=Colress+s+Tenacity+Ultra+League+Ball+Shrouded+Fable+57+pokemon+card&amp;_sacat=0&amp;_from=R40&amp;_trksid=p4624852.m570.l1313&amp;mkcid=1&amp;mkrid=711-53200-19255-0&amp;siteid=0&amp;campid=5339158445&amp;customid=pokecottage&amp;toolid=10001&amp;mkevt=1","FIND ON EBAY")</f>
        <v>FIND ON EBAY</v>
      </c>
      <c r="G193" s="5"/>
      <c r="H193" s="7"/>
    </row>
    <row r="194" customFormat="false" ht="30" hidden="false" customHeight="true" outlineLevel="0" collapsed="false">
      <c r="A194" s="4" t="s">
        <v>6</v>
      </c>
      <c r="B194" s="5" t="s">
        <v>71</v>
      </c>
      <c r="C194" s="5" t="s">
        <v>148</v>
      </c>
      <c r="D194" s="5" t="s">
        <v>135</v>
      </c>
      <c r="E194" s="5"/>
      <c r="F194" s="5" t="str">
        <f aca="false">HYPERLINK("https://www.ebay.com/sch/i.html?_nkw=Colress+s+Tenacity+Play%21+Pokemon+Shrouded+Fable+57+pokemon+card&amp;_sacat=0&amp;_from=R40&amp;_trksid=p4624852.m570.l1313&amp;mkcid=1&amp;mkrid=711-53200-19255-0&amp;siteid=0&amp;campid=5339158445&amp;customid=pokecottage&amp;toolid=10001&amp;mkevt=1","FIND ON EBAY")</f>
        <v>FIND ON EBAY</v>
      </c>
      <c r="G194" s="5"/>
      <c r="H194" s="7"/>
    </row>
    <row r="195" customFormat="false" ht="30" hidden="false" customHeight="true" outlineLevel="0" collapsed="false">
      <c r="A195" s="4" t="s">
        <v>6</v>
      </c>
      <c r="B195" s="5" t="s">
        <v>71</v>
      </c>
      <c r="C195" s="5" t="s">
        <v>148</v>
      </c>
      <c r="D195" s="5" t="s">
        <v>150</v>
      </c>
      <c r="E195" s="5"/>
      <c r="F195" s="5" t="str">
        <f aca="false">HYPERLINK("https://www.ebay.com/sch/i.html?_nkw=Colress+s+Tenacity+Play%21+Pokemon+Mirror+Holo+Shrouded+Fable+57+pokemon+card&amp;_sacat=0&amp;_from=R40&amp;_trksid=p4624852.m570.l1313&amp;mkcid=1&amp;mkrid=711-53200-19255-0&amp;siteid=0&amp;campid=5339158445&amp;customid=pokecottage&amp;toolid=10001&amp;mkevt=1","FIND ON EBAY")</f>
        <v>FIND ON EBAY</v>
      </c>
      <c r="G195" s="5"/>
      <c r="H195" s="7"/>
    </row>
    <row r="196" customFormat="false" ht="30" hidden="false" customHeight="true" outlineLevel="0" collapsed="false">
      <c r="A196" s="4" t="s">
        <v>6</v>
      </c>
      <c r="B196" s="5" t="s">
        <v>71</v>
      </c>
      <c r="C196" s="6" t="str">
        <f aca="false">HYPERLINK("https://partner.tcgplayer.com/c/6278691/1780961/21018?u=https%3A%2F%2Fwww.tcgplayer.com%2Fproduct%2F619070%3Futm_source%3Dimpact%26utm_medium%3Daffiliate%26utm_campaign%3Dpoke%2Bcottage","Colress's Tenacity")</f>
        <v>Colress's Tenacity</v>
      </c>
      <c r="D196" s="5" t="s">
        <v>130</v>
      </c>
      <c r="E196" s="5"/>
      <c r="F196" s="5"/>
      <c r="G196" s="5"/>
      <c r="H196" s="7"/>
    </row>
    <row r="197" customFormat="false" ht="30" hidden="false" customHeight="true" outlineLevel="0" collapsed="false">
      <c r="A197" s="4" t="s">
        <v>6</v>
      </c>
      <c r="B197" s="5" t="s">
        <v>71</v>
      </c>
      <c r="C197" s="5" t="s">
        <v>148</v>
      </c>
      <c r="D197" s="5" t="s">
        <v>137</v>
      </c>
      <c r="E197" s="5"/>
      <c r="F197" s="5" t="str">
        <f aca="false">HYPERLINK("https://www.ebay.com/sch/i.html?_nkw=Colress+s+Tenacity+Pokemon+TCG+Gym+Shrouded+Fable+57+pokemon+card&amp;_sacat=0&amp;_from=R40&amp;_trksid=p4624852.m570.l1313&amp;mkcid=1&amp;mkrid=711-53200-19255-0&amp;siteid=0&amp;campid=5339158445&amp;customid=pokecottage&amp;toolid=10001&amp;mkevt=1","FIND ON EBAY")</f>
        <v>FIND ON EBAY</v>
      </c>
      <c r="G197" s="5"/>
      <c r="H197" s="7"/>
    </row>
    <row r="198" customFormat="false" ht="30" hidden="false" customHeight="true" outlineLevel="0" collapsed="false">
      <c r="A198" s="4" t="s">
        <v>6</v>
      </c>
      <c r="B198" s="5" t="s">
        <v>71</v>
      </c>
      <c r="C198" s="6" t="str">
        <f aca="false">HYPERLINK("https://partner.tcgplayer.com/c/6278691/1780961/21018?u=https%3A%2F%2Fwww.tcgplayer.com%2Fproduct%2F637528%3Futm_source%3Dimpact%26utm_medium%3Daffiliate%26utm_campaign%3Dpoke%2Bcottage","Colress's Tenacity")</f>
        <v>Colress's Tenacity</v>
      </c>
      <c r="D198" s="5" t="s">
        <v>151</v>
      </c>
      <c r="E198" s="5"/>
      <c r="F198" s="5"/>
      <c r="G198" s="5"/>
      <c r="H198" s="7"/>
    </row>
    <row r="199" customFormat="false" ht="30" hidden="false" customHeight="true" outlineLevel="0" collapsed="false">
      <c r="A199" s="4" t="s">
        <v>6</v>
      </c>
      <c r="B199" s="5" t="s">
        <v>74</v>
      </c>
      <c r="C199" s="6" t="str">
        <f aca="false">HYPERLINK("https://partner.tcgplayer.com/c/6278691/1780961/21018?u=https%3A%2F%2Fwww.tcgplayer.com%2Fproduct%2F619135%3Futm_source%3Dimpact%26utm_medium%3Daffiliate%26utm_campaign%3Dpoke%2Bcottage","Janine's Secret Art")</f>
        <v>Janine's Secret Art</v>
      </c>
      <c r="D199" s="5" t="s">
        <v>135</v>
      </c>
      <c r="E199" s="5"/>
      <c r="F199" s="5"/>
      <c r="G199" s="5"/>
      <c r="H199" s="7"/>
    </row>
    <row r="200" customFormat="false" ht="30" hidden="false" customHeight="true" outlineLevel="0" collapsed="false">
      <c r="A200" s="4" t="s">
        <v>6</v>
      </c>
      <c r="B200" s="5" t="s">
        <v>75</v>
      </c>
      <c r="C200" s="6" t="str">
        <f aca="false">HYPERLINK("https://partner.tcgplayer.com/c/6278691/1780961/21018?u=https%3A%2F%2Fwww.tcgplayer.com%2Fproduct%2F619146%3Futm_source%3Dimpact%26utm_medium%3Daffiliate%26utm_campaign%3Dpoke%2Bcottage","Neutralization Zone")</f>
        <v>Neutralization Zone</v>
      </c>
      <c r="D200" s="5" t="s">
        <v>135</v>
      </c>
      <c r="E200" s="5"/>
      <c r="F200" s="5"/>
      <c r="G200" s="5"/>
      <c r="H200" s="7"/>
    </row>
    <row r="201" customFormat="false" ht="30" hidden="false" customHeight="true" outlineLevel="0" collapsed="false">
      <c r="A201" s="4" t="s">
        <v>6</v>
      </c>
      <c r="B201" s="5" t="s">
        <v>76</v>
      </c>
      <c r="C201" s="6" t="str">
        <f aca="false">HYPERLINK("https://partner.tcgplayer.com/c/6278691/1780961/21018?u=https%3A%2F%2Fwww.tcgplayer.com%2Fproduct%2F619147%3Futm_source%3Dimpact%26utm_medium%3Daffiliate%26utm_campaign%3Dpoke%2Bcottage","Night Stretcher")</f>
        <v>Night Stretcher</v>
      </c>
      <c r="D201" s="5" t="s">
        <v>135</v>
      </c>
      <c r="E201" s="5"/>
      <c r="F201" s="5"/>
      <c r="G201" s="5"/>
      <c r="H201" s="7"/>
    </row>
    <row r="202" customFormat="false" ht="30" hidden="false" customHeight="true" outlineLevel="0" collapsed="false">
      <c r="A202" s="4" t="s">
        <v>6</v>
      </c>
      <c r="B202" s="5" t="s">
        <v>76</v>
      </c>
      <c r="C202" s="6" t="str">
        <f aca="false">HYPERLINK("https://partner.tcgplayer.com/c/6278691/1780961/21018?u=https%3A%2F%2Fwww.tcgplayer.com%2Fproduct%2F619147%3Futm_source%3Dimpact%26utm_medium%3Daffiliate%26utm_campaign%3Dpoke%2Bcottage","Night Stretcher")</f>
        <v>Night Stretcher</v>
      </c>
      <c r="D202" s="5" t="s">
        <v>130</v>
      </c>
      <c r="E202" s="5"/>
      <c r="F202" s="5"/>
      <c r="G202" s="5"/>
      <c r="H202" s="7"/>
    </row>
    <row r="203" customFormat="false" ht="30" hidden="false" customHeight="true" outlineLevel="0" collapsed="false">
      <c r="A203" s="4" t="s">
        <v>6</v>
      </c>
      <c r="B203" s="5" t="s">
        <v>76</v>
      </c>
      <c r="C203" s="5" t="s">
        <v>152</v>
      </c>
      <c r="D203" s="5" t="s">
        <v>153</v>
      </c>
      <c r="E203" s="5"/>
      <c r="F203" s="5" t="str">
        <f aca="false">HYPERLINK("https://www.ebay.com/sch/i.html?_nkw=Night+Stretcher+Great+Ball+League+Shrouded+Fable+61+pokemon+card&amp;_sacat=0&amp;_from=R40&amp;_trksid=p4624852.m570.l1313&amp;mkcid=1&amp;mkrid=711-53200-19255-0&amp;siteid=0&amp;campid=5339158445&amp;customid=pokecottage&amp;toolid=10001&amp;mkevt=1","FIND ON EBAY")</f>
        <v>FIND ON EBAY</v>
      </c>
      <c r="G203" s="5"/>
      <c r="H203" s="7"/>
    </row>
    <row r="204" customFormat="false" ht="30" hidden="false" customHeight="true" outlineLevel="0" collapsed="false">
      <c r="A204" s="4" t="s">
        <v>6</v>
      </c>
      <c r="B204" s="5" t="s">
        <v>76</v>
      </c>
      <c r="C204" s="5" t="s">
        <v>152</v>
      </c>
      <c r="D204" s="5" t="s">
        <v>137</v>
      </c>
      <c r="E204" s="5"/>
      <c r="F204" s="5" t="str">
        <f aca="false">HYPERLINK("https://www.ebay.com/sch/i.html?_nkw=Night+Stretcher+Pokemon+TCG+Gym+Shrouded+Fable+61+pokemon+card&amp;_sacat=0&amp;_from=R40&amp;_trksid=p4624852.m570.l1313&amp;mkcid=1&amp;mkrid=711-53200-19255-0&amp;siteid=0&amp;campid=5339158445&amp;customid=pokecottage&amp;toolid=10001&amp;mkevt=1","FIND ON EBAY")</f>
        <v>FIND ON EBAY</v>
      </c>
      <c r="G204" s="5"/>
      <c r="H204" s="7"/>
    </row>
    <row r="205" customFormat="false" ht="30" hidden="false" customHeight="true" outlineLevel="0" collapsed="false">
      <c r="A205" s="4" t="s">
        <v>6</v>
      </c>
      <c r="B205" s="5" t="s">
        <v>76</v>
      </c>
      <c r="C205" s="6" t="str">
        <f aca="false">HYPERLINK("https://partner.tcgplayer.com/c/6278691/1780961/21018?u=https%3A%2F%2Fwww.tcgplayer.com%2Fproduct%2F637524%3Futm_source%3Dimpact%26utm_medium%3Daffiliate%26utm_campaign%3Dpoke%2Bcottage","Night Stretcher")</f>
        <v>Night Stretcher</v>
      </c>
      <c r="D205" s="5" t="s">
        <v>141</v>
      </c>
      <c r="E205" s="5"/>
      <c r="F205" s="5"/>
      <c r="G205" s="5"/>
      <c r="H205" s="7"/>
    </row>
    <row r="206" customFormat="false" ht="30" hidden="false" customHeight="true" outlineLevel="0" collapsed="false">
      <c r="A206" s="4" t="s">
        <v>6</v>
      </c>
      <c r="B206" s="5" t="s">
        <v>76</v>
      </c>
      <c r="C206" s="6" t="str">
        <f aca="false">HYPERLINK("https://partner.tcgplayer.com/c/6278691/1780961/21018?u=https%3A%2F%2Fwww.tcgplayer.com%2Fproduct%2F689035%3Futm_source%3Dimpact%26utm_medium%3Daffiliate%26utm_campaign%3Dpoke%2Bcottage","Night Stretcher")</f>
        <v>Night Stretcher</v>
      </c>
      <c r="D206" s="5" t="s">
        <v>144</v>
      </c>
      <c r="E206" s="5"/>
      <c r="F206" s="5"/>
      <c r="G206" s="5"/>
      <c r="H206" s="7"/>
    </row>
    <row r="207" customFormat="false" ht="30" hidden="false" customHeight="true" outlineLevel="0" collapsed="false">
      <c r="A207" s="4" t="s">
        <v>6</v>
      </c>
      <c r="B207" s="5" t="s">
        <v>76</v>
      </c>
      <c r="C207" s="6" t="str">
        <f aca="false">HYPERLINK("https://partner.tcgplayer.com/c/6278691/1780961/21018?u=https%3A%2F%2Fwww.tcgplayer.com%2Fproduct%2F637524%3Futm_source%3Dimpact%26utm_medium%3Daffiliate%26utm_campaign%3Dpoke%2Bcottage","Night Stretcher")</f>
        <v>Night Stretcher</v>
      </c>
      <c r="D207" s="5" t="s">
        <v>146</v>
      </c>
      <c r="E207" s="5"/>
      <c r="F207" s="5"/>
      <c r="G207" s="5"/>
      <c r="H207" s="7"/>
    </row>
    <row r="208" customFormat="false" ht="30" hidden="false" customHeight="true" outlineLevel="0" collapsed="false">
      <c r="A208" s="4" t="s">
        <v>6</v>
      </c>
      <c r="B208" s="5" t="s">
        <v>76</v>
      </c>
      <c r="C208" s="6" t="str">
        <f aca="false">HYPERLINK("https://partner.tcgplayer.com/c/6278691/1780961/21018?u=https%3A%2F%2Fwww.tcgplayer.com%2Fproduct%2F690508%3Futm_source%3Dimpact%26utm_medium%3Daffiliate%26utm_campaign%3Dpoke%2Bcottage","Night Stretcher")</f>
        <v>Night Stretcher</v>
      </c>
      <c r="D208" s="5" t="s">
        <v>134</v>
      </c>
      <c r="E208" s="5"/>
      <c r="F208" s="5"/>
      <c r="G208" s="5"/>
      <c r="H208" s="7"/>
    </row>
    <row r="209" customFormat="false" ht="30" hidden="false" customHeight="true" outlineLevel="0" collapsed="false">
      <c r="A209" s="4" t="s">
        <v>6</v>
      </c>
      <c r="B209" s="5" t="s">
        <v>78</v>
      </c>
      <c r="C209" s="6" t="str">
        <f aca="false">HYPERLINK("https://partner.tcgplayer.com/c/6278691/1780961/21018?u=https%3A%2F%2Fwww.tcgplayer.com%2Fproduct%2F619158%3Futm_source%3Dimpact%26utm_medium%3Daffiliate%26utm_campaign%3Dpoke%2Bcottage","Powerglass")</f>
        <v>Powerglass</v>
      </c>
      <c r="D209" s="5" t="s">
        <v>135</v>
      </c>
      <c r="E209" s="5"/>
      <c r="F209" s="5"/>
      <c r="G209" s="5"/>
      <c r="H209" s="7"/>
    </row>
    <row r="210" customFormat="false" ht="30" hidden="false" customHeight="true" outlineLevel="0" collapsed="false">
      <c r="A210" s="4" t="s">
        <v>6</v>
      </c>
      <c r="B210" s="5" t="s">
        <v>78</v>
      </c>
      <c r="C210" s="6" t="str">
        <f aca="false">HYPERLINK("https://partner.tcgplayer.com/c/6278691/1780961/21018?u=https%3A%2F%2Fwww.tcgplayer.com%2Fproduct%2F619158%3Futm_source%3Dimpact%26utm_medium%3Daffiliate%26utm_campaign%3Dpoke%2Bcottage","Powerglass")</f>
        <v>Powerglass</v>
      </c>
      <c r="D210" s="5" t="s">
        <v>130</v>
      </c>
      <c r="E210" s="5"/>
      <c r="F210" s="5"/>
      <c r="G210" s="5"/>
      <c r="H210" s="7"/>
    </row>
    <row r="211" customFormat="false" ht="30" hidden="false" customHeight="true" outlineLevel="0" collapsed="false">
      <c r="A211" s="4" t="s">
        <v>6</v>
      </c>
      <c r="B211" s="5" t="s">
        <v>78</v>
      </c>
      <c r="C211" s="5" t="s">
        <v>154</v>
      </c>
      <c r="D211" s="5" t="s">
        <v>137</v>
      </c>
      <c r="E211" s="5"/>
      <c r="F211" s="5" t="str">
        <f aca="false">HYPERLINK("https://www.ebay.com/sch/i.html?_nkw=Powerglass+Pokemon+TCG+Gym+Shrouded+Fable+63+pokemon+card&amp;_sacat=0&amp;_from=R40&amp;_trksid=p4624852.m570.l1313&amp;mkcid=1&amp;mkrid=711-53200-19255-0&amp;siteid=0&amp;campid=5339158445&amp;customid=pokecottage&amp;toolid=10001&amp;mkevt=1","FIND ON EBAY")</f>
        <v>FIND ON EBAY</v>
      </c>
      <c r="G211" s="5"/>
      <c r="H211" s="7"/>
    </row>
    <row r="212" customFormat="false" ht="30" hidden="false" customHeight="true" outlineLevel="0" collapsed="false">
      <c r="A212" s="4" t="s">
        <v>6</v>
      </c>
      <c r="B212" s="5" t="s">
        <v>155</v>
      </c>
      <c r="C212" s="6" t="str">
        <f aca="false">HYPERLINK("https://partner.tcgplayer.com/c/6278691/1780961/21018?u=https%3A%2F%2Fwww.tcgplayer.com%2Fproduct%2F562155%3Futm_source%3Dimpact%26utm_medium%3Daffiliate%26utm_campaign%3Dpoke%2Bcottage","Basic Grass Energy")</f>
        <v>Basic Grass Energy</v>
      </c>
      <c r="D212" s="5" t="s">
        <v>156</v>
      </c>
      <c r="E212" s="5"/>
      <c r="F212" s="5"/>
      <c r="G212" s="5"/>
      <c r="H212" s="7"/>
    </row>
    <row r="213" customFormat="false" ht="30" hidden="false" customHeight="true" outlineLevel="0" collapsed="false">
      <c r="A213" s="4" t="s">
        <v>6</v>
      </c>
      <c r="B213" s="5" t="s">
        <v>157</v>
      </c>
      <c r="C213" s="6" t="str">
        <f aca="false">HYPERLINK("https://partner.tcgplayer.com/c/6278691/1780961/21018?u=https%3A%2F%2Fwww.tcgplayer.com%2Fproduct%2F562160%3Futm_source%3Dimpact%26utm_medium%3Daffiliate%26utm_campaign%3Dpoke%2Bcottage","Basic Fire Energy")</f>
        <v>Basic Fire Energy</v>
      </c>
      <c r="D213" s="5" t="s">
        <v>156</v>
      </c>
      <c r="E213" s="5"/>
      <c r="F213" s="5"/>
      <c r="G213" s="5"/>
      <c r="H213" s="7"/>
    </row>
    <row r="214" customFormat="false" ht="30" hidden="false" customHeight="true" outlineLevel="0" collapsed="false">
      <c r="A214" s="4" t="s">
        <v>6</v>
      </c>
      <c r="B214" s="5" t="s">
        <v>158</v>
      </c>
      <c r="C214" s="6" t="str">
        <f aca="false">HYPERLINK("https://partner.tcgplayer.com/c/6278691/1780961/21018?u=https%3A%2F%2Fwww.tcgplayer.com%2Fproduct%2F563014%3Futm_source%3Dimpact%26utm_medium%3Daffiliate%26utm_campaign%3Dpoke%2Bcottage","Basic Water Energy")</f>
        <v>Basic Water Energy</v>
      </c>
      <c r="D214" s="5" t="s">
        <v>156</v>
      </c>
      <c r="E214" s="5"/>
      <c r="F214" s="5"/>
      <c r="G214" s="5"/>
      <c r="H214" s="7"/>
    </row>
    <row r="215" customFormat="false" ht="30" hidden="false" customHeight="true" outlineLevel="0" collapsed="false">
      <c r="A215" s="4" t="s">
        <v>6</v>
      </c>
      <c r="B215" s="5" t="s">
        <v>159</v>
      </c>
      <c r="C215" s="6" t="str">
        <f aca="false">HYPERLINK("https://partner.tcgplayer.com/c/6278691/1780961/21018?u=https%3A%2F%2Fwww.tcgplayer.com%2Fproduct%2F562152%3Futm_source%3Dimpact%26utm_medium%3Daffiliate%26utm_campaign%3Dpoke%2Bcottage","Basic Lightning Energy")</f>
        <v>Basic Lightning Energy</v>
      </c>
      <c r="D215" s="5" t="s">
        <v>156</v>
      </c>
      <c r="E215" s="5"/>
      <c r="F215" s="5"/>
      <c r="G215" s="5"/>
      <c r="H215" s="7"/>
    </row>
    <row r="216" customFormat="false" ht="30" hidden="false" customHeight="true" outlineLevel="0" collapsed="false">
      <c r="A216" s="4" t="s">
        <v>6</v>
      </c>
      <c r="B216" s="5" t="s">
        <v>160</v>
      </c>
      <c r="C216" s="6" t="str">
        <f aca="false">HYPERLINK("https://partner.tcgplayer.com/c/6278691/1780961/21018?u=https%3A%2F%2Fwww.tcgplayer.com%2Fproduct%2F562157%3Futm_source%3Dimpact%26utm_medium%3Daffiliate%26utm_campaign%3Dpoke%2Bcottage","Basic Psychic Energy")</f>
        <v>Basic Psychic Energy</v>
      </c>
      <c r="D216" s="5" t="s">
        <v>156</v>
      </c>
      <c r="E216" s="5"/>
      <c r="F216" s="5"/>
      <c r="G216" s="5"/>
      <c r="H216" s="7"/>
    </row>
    <row r="217" customFormat="false" ht="30" hidden="false" customHeight="true" outlineLevel="0" collapsed="false">
      <c r="A217" s="4" t="s">
        <v>6</v>
      </c>
      <c r="B217" s="5" t="s">
        <v>161</v>
      </c>
      <c r="C217" s="6" t="str">
        <f aca="false">HYPERLINK("https://partner.tcgplayer.com/c/6278691/1780961/21018?u=https%3A%2F%2Fwww.tcgplayer.com%2Fproduct%2F562158%3Futm_source%3Dimpact%26utm_medium%3Daffiliate%26utm_campaign%3Dpoke%2Bcottage","Basic Fighting Energy")</f>
        <v>Basic Fighting Energy</v>
      </c>
      <c r="D217" s="5" t="s">
        <v>156</v>
      </c>
      <c r="E217" s="5"/>
      <c r="F217" s="5"/>
      <c r="G217" s="5"/>
      <c r="H217" s="7"/>
    </row>
    <row r="218" customFormat="false" ht="30" hidden="false" customHeight="true" outlineLevel="0" collapsed="false">
      <c r="A218" s="4" t="s">
        <v>6</v>
      </c>
      <c r="B218" s="5" t="s">
        <v>162</v>
      </c>
      <c r="C218" s="6" t="str">
        <f aca="false">HYPERLINK("https://partner.tcgplayer.com/c/6278691/1780961/21018?u=https%3A%2F%2Fwww.tcgplayer.com%2Fproduct%2F562154%3Futm_source%3Dimpact%26utm_medium%3Daffiliate%26utm_campaign%3Dpoke%2Bcottage","Basic Darkness Energy")</f>
        <v>Basic Darkness Energy</v>
      </c>
      <c r="D218" s="5" t="s">
        <v>156</v>
      </c>
      <c r="E218" s="5"/>
      <c r="F218" s="5"/>
      <c r="G218" s="5"/>
      <c r="H218" s="7"/>
    </row>
    <row r="219" customFormat="false" ht="30" hidden="false" customHeight="true" outlineLevel="0" collapsed="false">
      <c r="A219" s="4" t="s">
        <v>6</v>
      </c>
      <c r="B219" s="5" t="s">
        <v>163</v>
      </c>
      <c r="C219" s="6" t="str">
        <f aca="false">HYPERLINK("https://partner.tcgplayer.com/c/6278691/1780961/21018?u=https%3A%2F%2Fwww.tcgplayer.com%2Fproduct%2F562159%3Futm_source%3Dimpact%26utm_medium%3Daffiliate%26utm_campaign%3Dpoke%2Bcottage","Basic Metal Energy")</f>
        <v>Basic Metal Energy</v>
      </c>
      <c r="D219" s="5" t="s">
        <v>156</v>
      </c>
      <c r="E219" s="5"/>
      <c r="F219" s="5"/>
      <c r="G219" s="5"/>
      <c r="H219" s="7"/>
    </row>
    <row r="221" customFormat="false" ht="24" hidden="false" customHeight="true" outlineLevel="0" collapsed="false">
      <c r="A221" s="8" t="s">
        <v>164</v>
      </c>
      <c r="B221" s="8"/>
      <c r="C221" s="8"/>
      <c r="D221" s="8"/>
      <c r="E221" s="8"/>
      <c r="F221" s="8"/>
      <c r="G221" s="8"/>
      <c r="H221" s="8"/>
    </row>
    <row r="222" customFormat="false" ht="24" hidden="false" customHeight="true" outlineLevel="0" collapsed="false">
      <c r="A222" s="8"/>
      <c r="B222" s="8"/>
      <c r="C222" s="8"/>
      <c r="D222" s="8"/>
      <c r="E222" s="8"/>
      <c r="F222" s="8"/>
      <c r="G222" s="8"/>
      <c r="H222" s="8"/>
    </row>
  </sheetData>
  <mergeCells count="2">
    <mergeCell ref="A156:H156"/>
    <mergeCell ref="A221:H222"/>
  </mergeCells>
  <dataValidations count="1">
    <dataValidation allowBlank="false" errorStyle="stop" operator="between" showDropDown="false" showErrorMessage="false" showInputMessage="false" sqref="A2:A219" type="list">
      <formula1>"☐,☑"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.89"/>
    <col collapsed="false" customWidth="true" hidden="false" outlineLevel="0" max="5" min="2" style="0" width="16.33"/>
  </cols>
  <sheetData>
    <row r="1" customFormat="false" ht="14" hidden="false" customHeight="true" outlineLevel="0" collapsed="false">
      <c r="A1" s="9"/>
      <c r="B1" s="10"/>
      <c r="C1" s="10"/>
      <c r="D1" s="10"/>
      <c r="E1" s="11"/>
    </row>
    <row r="2" customFormat="false" ht="14" hidden="false" customHeight="true" outlineLevel="0" collapsed="false">
      <c r="A2" s="12"/>
      <c r="B2" s="13"/>
      <c r="C2" s="13"/>
      <c r="D2" s="13"/>
      <c r="E2" s="14"/>
    </row>
    <row r="3" customFormat="false" ht="19" hidden="false" customHeight="true" outlineLevel="0" collapsed="false">
      <c r="A3" s="12" t="s">
        <v>165</v>
      </c>
      <c r="B3" s="13"/>
      <c r="C3" s="13"/>
      <c r="D3" s="13"/>
      <c r="E3" s="14"/>
    </row>
    <row r="4" customFormat="false" ht="14" hidden="false" customHeight="true" outlineLevel="0" collapsed="false">
      <c r="A4" s="12"/>
      <c r="B4" s="13"/>
      <c r="C4" s="13"/>
      <c r="D4" s="13"/>
      <c r="E4" s="14"/>
    </row>
    <row r="5" customFormat="false" ht="14" hidden="false" customHeight="true" outlineLevel="0" collapsed="false">
      <c r="A5" s="12"/>
      <c r="B5" s="13"/>
      <c r="C5" s="13"/>
      <c r="D5" s="13"/>
      <c r="E5" s="14"/>
    </row>
    <row r="6" customFormat="false" ht="23" hidden="false" customHeight="true" outlineLevel="0" collapsed="false">
      <c r="A6" s="15" t="str">
        <f aca="false">HYPERLINK("https://pokecottage.com/shrouded-fable-master-set-guide","Download Now")</f>
        <v>Download Now</v>
      </c>
      <c r="B6" s="13"/>
      <c r="C6" s="13"/>
      <c r="D6" s="13"/>
      <c r="E6" s="14"/>
    </row>
    <row r="7" customFormat="false" ht="14" hidden="false" customHeight="true" outlineLevel="0" collapsed="false">
      <c r="A7" s="12"/>
      <c r="B7" s="13"/>
      <c r="C7" s="13"/>
      <c r="D7" s="13"/>
      <c r="E7" s="14"/>
    </row>
    <row r="8" customFormat="false" ht="14" hidden="false" customHeight="true" outlineLevel="0" collapsed="false">
      <c r="A8" s="12"/>
      <c r="B8" s="13"/>
      <c r="C8" s="13"/>
      <c r="D8" s="13"/>
      <c r="E8" s="14"/>
    </row>
    <row r="9" customFormat="false" ht="14" hidden="false" customHeight="true" outlineLevel="0" collapsed="false">
      <c r="A9" s="12" t="s">
        <v>166</v>
      </c>
      <c r="B9" s="13"/>
      <c r="C9" s="13"/>
      <c r="D9" s="13"/>
      <c r="E9" s="14"/>
    </row>
    <row r="10" customFormat="false" ht="14" hidden="false" customHeight="true" outlineLevel="0" collapsed="false">
      <c r="A10" s="16" t="s">
        <v>167</v>
      </c>
      <c r="B10" s="17"/>
      <c r="C10" s="17"/>
      <c r="D10" s="17"/>
      <c r="E10" s="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.89"/>
    <col collapsed="false" customWidth="true" hidden="false" outlineLevel="0" max="5" min="2" style="0" width="16.33"/>
  </cols>
  <sheetData>
    <row r="1" customFormat="false" ht="14" hidden="false" customHeight="true" outlineLevel="0" collapsed="false">
      <c r="A1" s="19"/>
      <c r="B1" s="20"/>
      <c r="C1" s="20"/>
      <c r="D1" s="20"/>
      <c r="E1" s="21"/>
    </row>
    <row r="2" customFormat="false" ht="14" hidden="false" customHeight="true" outlineLevel="0" collapsed="false">
      <c r="A2" s="22"/>
      <c r="B2" s="23"/>
      <c r="C2" s="23"/>
      <c r="D2" s="23"/>
      <c r="E2" s="24"/>
    </row>
    <row r="3" customFormat="false" ht="19" hidden="false" customHeight="true" outlineLevel="0" collapsed="false">
      <c r="A3" s="22" t="s">
        <v>168</v>
      </c>
      <c r="B3" s="23"/>
      <c r="C3" s="23"/>
      <c r="D3" s="23"/>
      <c r="E3" s="24"/>
    </row>
    <row r="4" customFormat="false" ht="14" hidden="false" customHeight="true" outlineLevel="0" collapsed="false">
      <c r="A4" s="22"/>
      <c r="B4" s="23"/>
      <c r="C4" s="23"/>
      <c r="D4" s="23"/>
      <c r="E4" s="24"/>
    </row>
    <row r="5" customFormat="false" ht="14" hidden="false" customHeight="true" outlineLevel="0" collapsed="false">
      <c r="A5" s="22"/>
      <c r="B5" s="23"/>
      <c r="C5" s="23"/>
      <c r="D5" s="23"/>
      <c r="E5" s="24"/>
    </row>
    <row r="6" customFormat="false" ht="23" hidden="false" customHeight="true" outlineLevel="0" collapsed="false">
      <c r="A6" s="15" t="str">
        <f aca="false">HYPERLINK("https://pokecottage.com/pokemon-master-set-guides","View All Master Set Guides")</f>
        <v>View All Master Set Guides</v>
      </c>
      <c r="B6" s="23"/>
      <c r="C6" s="23"/>
      <c r="D6" s="23"/>
      <c r="E6" s="24"/>
    </row>
    <row r="7" customFormat="false" ht="14" hidden="false" customHeight="true" outlineLevel="0" collapsed="false">
      <c r="A7" s="22"/>
      <c r="B7" s="23"/>
      <c r="C7" s="23"/>
      <c r="D7" s="23"/>
      <c r="E7" s="24"/>
    </row>
    <row r="8" customFormat="false" ht="14" hidden="false" customHeight="true" outlineLevel="0" collapsed="false">
      <c r="A8" s="22"/>
      <c r="B8" s="23"/>
      <c r="C8" s="23"/>
      <c r="D8" s="23"/>
      <c r="E8" s="24"/>
    </row>
    <row r="9" customFormat="false" ht="14" hidden="false" customHeight="true" outlineLevel="0" collapsed="false">
      <c r="A9" s="12" t="s">
        <v>166</v>
      </c>
      <c r="B9" s="23"/>
      <c r="C9" s="23"/>
      <c r="D9" s="23"/>
      <c r="E9" s="24"/>
    </row>
    <row r="10" customFormat="false" ht="14" hidden="false" customHeight="true" outlineLevel="0" collapsed="false">
      <c r="A10" s="25" t="s">
        <v>167</v>
      </c>
      <c r="B10" s="26"/>
      <c r="C10" s="26"/>
      <c r="D10" s="26"/>
      <c r="E10" s="2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cp:revision>0</cp:revision>
  <dc:subject/>
  <dc:title/>
</cp:coreProperties>
</file>