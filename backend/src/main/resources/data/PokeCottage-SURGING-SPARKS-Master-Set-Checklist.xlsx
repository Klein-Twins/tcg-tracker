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rging Sparks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<sst xmlns="http://schemas.openxmlformats.org/spreadsheetml/2006/main" count="1895" uniqueCount="319">
  <si>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</si>
  <si>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</si>
  <si>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</si>
  <si>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</si>
  <si>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</si>
  <si>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</si>
  <si>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</si>
  <si>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001/191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</si>
  <si>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</si>
  <si>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</si>
  <si>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</si>
  <si>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</si>
  <si>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002/191</t>
  </si>
  <si>
    <t xml:space="preserve">003/191</t>
  </si>
  <si>
    <t xml:space="preserve">Uncommon</t>
  </si>
  <si>
    <t xml:space="preserve">004/191</t>
  </si>
  <si>
    <t xml:space="preserve">Double Rare</t>
  </si>
  <si>
    <t xml:space="preserve">Holo</t>
  </si>
  <si>
    <t xml:space="preserve">005/191</t>
  </si>
  <si>
    <t xml:space="preserve">006/191</t>
  </si>
  <si>
    <t xml:space="preserve">007/191</t>
  </si>
  <si>
    <t xml:space="preserve">008/191</t>
  </si>
  <si>
    <t xml:space="preserve">009/191</t>
  </si>
  <si>
    <t xml:space="preserve">010/191</t>
  </si>
  <si>
    <t xml:space="preserve">011/191</t>
  </si>
  <si>
    <t xml:space="preserve">Rare</t>
  </si>
  <si>
    <t xml:space="preserve">012/191</t>
  </si>
  <si>
    <t xml:space="preserve">013/191</t>
  </si>
  <si>
    <t xml:space="preserve">014/191</t>
  </si>
  <si>
    <t xml:space="preserve">015/191</t>
  </si>
  <si>
    <t xml:space="preserve">016/191</t>
  </si>
  <si>
    <t xml:space="preserve">017/191</t>
  </si>
  <si>
    <t xml:space="preserve">018/191</t>
  </si>
  <si>
    <t xml:space="preserve">019/191</t>
  </si>
  <si>
    <t xml:space="preserve">020/191</t>
  </si>
  <si>
    <t xml:space="preserve">021/191</t>
  </si>
  <si>
    <t xml:space="preserve">022/191</t>
  </si>
  <si>
    <t xml:space="preserve">023/191</t>
  </si>
  <si>
    <t xml:space="preserve">024/191</t>
  </si>
  <si>
    <t xml:space="preserve">025/191</t>
  </si>
  <si>
    <t xml:space="preserve">026/191</t>
  </si>
  <si>
    <t xml:space="preserve">027/191</t>
  </si>
  <si>
    <t xml:space="preserve">028/191</t>
  </si>
  <si>
    <t xml:space="preserve">029/191</t>
  </si>
  <si>
    <t xml:space="preserve">030/191</t>
  </si>
  <si>
    <t xml:space="preserve">031/191</t>
  </si>
  <si>
    <t xml:space="preserve">032/191</t>
  </si>
  <si>
    <t xml:space="preserve">033/191</t>
  </si>
  <si>
    <t xml:space="preserve">034/191</t>
  </si>
  <si>
    <t xml:space="preserve">035/191</t>
  </si>
  <si>
    <t xml:space="preserve">036/191</t>
  </si>
  <si>
    <t xml:space="preserve">037/191</t>
  </si>
  <si>
    <t xml:space="preserve">038/191</t>
  </si>
  <si>
    <t xml:space="preserve">039/191</t>
  </si>
  <si>
    <t xml:space="preserve">040/191</t>
  </si>
  <si>
    <t xml:space="preserve">041/191</t>
  </si>
  <si>
    <t xml:space="preserve">042/191</t>
  </si>
  <si>
    <t xml:space="preserve">043/191</t>
  </si>
  <si>
    <t xml:space="preserve">044/191</t>
  </si>
  <si>
    <t xml:space="preserve">045/191</t>
  </si>
  <si>
    <t xml:space="preserve">046/191</t>
  </si>
  <si>
    <t xml:space="preserve">047/191</t>
  </si>
  <si>
    <t xml:space="preserve">048/191</t>
  </si>
  <si>
    <t xml:space="preserve">049/191</t>
  </si>
  <si>
    <t xml:space="preserve">050/191</t>
  </si>
  <si>
    <t xml:space="preserve">051/191</t>
  </si>
  <si>
    <t xml:space="preserve">052/191</t>
  </si>
  <si>
    <t xml:space="preserve">053/191</t>
  </si>
  <si>
    <t xml:space="preserve">054/191</t>
  </si>
  <si>
    <t xml:space="preserve">055/191</t>
  </si>
  <si>
    <t xml:space="preserve">056/191</t>
  </si>
  <si>
    <t xml:space="preserve">057/191</t>
  </si>
  <si>
    <t xml:space="preserve">058/191</t>
  </si>
  <si>
    <t xml:space="preserve">059/191</t>
  </si>
  <si>
    <t xml:space="preserve">060/191</t>
  </si>
  <si>
    <t xml:space="preserve">061/191</t>
  </si>
  <si>
    <t xml:space="preserve">062/191</t>
  </si>
  <si>
    <t xml:space="preserve">063/191</t>
  </si>
  <si>
    <t xml:space="preserve">064/191</t>
  </si>
  <si>
    <t xml:space="preserve">065/191</t>
  </si>
  <si>
    <t xml:space="preserve">066/191</t>
  </si>
  <si>
    <t xml:space="preserve">067/191</t>
  </si>
  <si>
    <t xml:space="preserve">068/191</t>
  </si>
  <si>
    <t xml:space="preserve">069/191</t>
  </si>
  <si>
    <t xml:space="preserve">070/191</t>
  </si>
  <si>
    <t xml:space="preserve">071/191</t>
  </si>
  <si>
    <t xml:space="preserve">072/191</t>
  </si>
  <si>
    <t xml:space="preserve">073/191</t>
  </si>
  <si>
    <t xml:space="preserve">074/191</t>
  </si>
  <si>
    <t xml:space="preserve">075/191</t>
  </si>
  <si>
    <t xml:space="preserve">076/191</t>
  </si>
  <si>
    <t xml:space="preserve">077/191</t>
  </si>
  <si>
    <t xml:space="preserve">078/191</t>
  </si>
  <si>
    <t xml:space="preserve">079/191</t>
  </si>
  <si>
    <t xml:space="preserve">080/191</t>
  </si>
  <si>
    <t xml:space="preserve">081/191</t>
  </si>
  <si>
    <t xml:space="preserve">082/191</t>
  </si>
  <si>
    <t xml:space="preserve">083/191</t>
  </si>
  <si>
    <t xml:space="preserve">084/191</t>
  </si>
  <si>
    <t xml:space="preserve">085/191</t>
  </si>
  <si>
    <t xml:space="preserve">086/191</t>
  </si>
  <si>
    <t xml:space="preserve">087/191</t>
  </si>
  <si>
    <t xml:space="preserve">088/191</t>
  </si>
  <si>
    <t xml:space="preserve">089/191</t>
  </si>
  <si>
    <t xml:space="preserve">090/191</t>
  </si>
  <si>
    <t xml:space="preserve">091/191</t>
  </si>
  <si>
    <t xml:space="preserve">092/191</t>
  </si>
  <si>
    <t xml:space="preserve">093/191</t>
  </si>
  <si>
    <t xml:space="preserve">094/191</t>
  </si>
  <si>
    <t xml:space="preserve">095/191</t>
  </si>
  <si>
    <t xml:space="preserve">096/191</t>
  </si>
  <si>
    <t xml:space="preserve">097/191</t>
  </si>
  <si>
    <t xml:space="preserve">098/191</t>
  </si>
  <si>
    <t xml:space="preserve">099/191</t>
  </si>
  <si>
    <t xml:space="preserve">100/191</t>
  </si>
  <si>
    <t xml:space="preserve">101/191</t>
  </si>
  <si>
    <t xml:space="preserve">102/191</t>
  </si>
  <si>
    <t xml:space="preserve">103/191</t>
  </si>
  <si>
    <t xml:space="preserve">104/191</t>
  </si>
  <si>
    <t xml:space="preserve">105/191</t>
  </si>
  <si>
    <t xml:space="preserve">106/191</t>
  </si>
  <si>
    <t xml:space="preserve">107/191</t>
  </si>
  <si>
    <t xml:space="preserve">108/191</t>
  </si>
  <si>
    <t xml:space="preserve">109/191</t>
  </si>
  <si>
    <t xml:space="preserve">110/191</t>
  </si>
  <si>
    <t xml:space="preserve">111/191</t>
  </si>
  <si>
    <t xml:space="preserve">112/191</t>
  </si>
  <si>
    <t xml:space="preserve">113/191</t>
  </si>
  <si>
    <t xml:space="preserve">114/191</t>
  </si>
  <si>
    <t xml:space="preserve">115/191</t>
  </si>
  <si>
    <t xml:space="preserve">116/191</t>
  </si>
  <si>
    <t xml:space="preserve">117/191</t>
  </si>
  <si>
    <t xml:space="preserve">118/191</t>
  </si>
  <si>
    <t xml:space="preserve">119/191</t>
  </si>
  <si>
    <t xml:space="preserve">120/191</t>
  </si>
  <si>
    <t xml:space="preserve">121/191</t>
  </si>
  <si>
    <t xml:space="preserve">122/191</t>
  </si>
  <si>
    <t xml:space="preserve">123/191</t>
  </si>
  <si>
    <t xml:space="preserve">124/191</t>
  </si>
  <si>
    <t xml:space="preserve">125/191</t>
  </si>
  <si>
    <t xml:space="preserve">126/191</t>
  </si>
  <si>
    <t xml:space="preserve">127/191</t>
  </si>
  <si>
    <t xml:space="preserve">128/191</t>
  </si>
  <si>
    <t xml:space="preserve">129/191</t>
  </si>
  <si>
    <t xml:space="preserve">130/191</t>
  </si>
  <si>
    <t xml:space="preserve">131/191</t>
  </si>
  <si>
    <t xml:space="preserve">132/191</t>
  </si>
  <si>
    <t xml:space="preserve">133/191</t>
  </si>
  <si>
    <t xml:space="preserve">134/191</t>
  </si>
  <si>
    <t xml:space="preserve">135/191</t>
  </si>
  <si>
    <t xml:space="preserve">136/191</t>
  </si>
  <si>
    <t xml:space="preserve">137/191</t>
  </si>
  <si>
    <t xml:space="preserve">138/191</t>
  </si>
  <si>
    <t xml:space="preserve">139/191</t>
  </si>
  <si>
    <t xml:space="preserve">140/191</t>
  </si>
  <si>
    <t xml:space="preserve">141/191</t>
  </si>
  <si>
    <t xml:space="preserve">142/191</t>
  </si>
  <si>
    <t xml:space="preserve">143/191</t>
  </si>
  <si>
    <t xml:space="preserve">144/191</t>
  </si>
  <si>
    <t xml:space="preserve">145/191</t>
  </si>
  <si>
    <t xml:space="preserve">146/191</t>
  </si>
  <si>
    <t xml:space="preserve">147/191</t>
  </si>
  <si>
    <t xml:space="preserve">148/191</t>
  </si>
  <si>
    <t xml:space="preserve">149/191</t>
  </si>
  <si>
    <t xml:space="preserve">150/191</t>
  </si>
  <si>
    <t xml:space="preserve">151/191</t>
  </si>
  <si>
    <t xml:space="preserve">152/191</t>
  </si>
  <si>
    <t xml:space="preserve">153/191</t>
  </si>
  <si>
    <t xml:space="preserve">154/191</t>
  </si>
  <si>
    <t xml:space="preserve">155/191</t>
  </si>
  <si>
    <t xml:space="preserve">156/191</t>
  </si>
  <si>
    <t xml:space="preserve">157/191</t>
  </si>
  <si>
    <t xml:space="preserve">158/191</t>
  </si>
  <si>
    <t xml:space="preserve">159/191</t>
  </si>
  <si>
    <t xml:space="preserve">160/191</t>
  </si>
  <si>
    <t xml:space="preserve">161/191</t>
  </si>
  <si>
    <t xml:space="preserve">162/191</t>
  </si>
  <si>
    <t xml:space="preserve">ACE SPEC Rare</t>
  </si>
  <si>
    <t xml:space="preserve">163/191</t>
  </si>
  <si>
    <t xml:space="preserve">164/191</t>
  </si>
  <si>
    <t xml:space="preserve">165/191</t>
  </si>
  <si>
    <t xml:space="preserve">166/191</t>
  </si>
  <si>
    <t xml:space="preserve">167/191</t>
  </si>
  <si>
    <t xml:space="preserve">168/191</t>
  </si>
  <si>
    <t xml:space="preserve">169/191</t>
  </si>
  <si>
    <t xml:space="preserve">170/191</t>
  </si>
  <si>
    <t xml:space="preserve">171/191</t>
  </si>
  <si>
    <t xml:space="preserve">172/191</t>
  </si>
  <si>
    <t xml:space="preserve">173/191</t>
  </si>
  <si>
    <t xml:space="preserve">174/191</t>
  </si>
  <si>
    <t xml:space="preserve">175/191</t>
  </si>
  <si>
    <t xml:space="preserve">176/191</t>
  </si>
  <si>
    <t xml:space="preserve">177/191</t>
  </si>
  <si>
    <t xml:space="preserve">178/191</t>
  </si>
  <si>
    <t xml:space="preserve">179/191</t>
  </si>
  <si>
    <t xml:space="preserve">180/191</t>
  </si>
  <si>
    <t xml:space="preserve">181/191</t>
  </si>
  <si>
    <t xml:space="preserve">182/191</t>
  </si>
  <si>
    <t xml:space="preserve">183/191</t>
  </si>
  <si>
    <t xml:space="preserve">184/191</t>
  </si>
  <si>
    <t xml:space="preserve">185/191</t>
  </si>
  <si>
    <t xml:space="preserve">186/191</t>
  </si>
  <si>
    <t xml:space="preserve">187/191</t>
  </si>
  <si>
    <t xml:space="preserve">188/191</t>
  </si>
  <si>
    <t xml:space="preserve">189/191</t>
  </si>
  <si>
    <t xml:space="preserve">190/191</t>
  </si>
  <si>
    <t xml:space="preserve">191/191</t>
  </si>
  <si>
    <t xml:space="preserve">192/191</t>
  </si>
  <si>
    <t xml:space="preserve">Illustration Rare</t>
  </si>
  <si>
    <t xml:space="preserve">193/191</t>
  </si>
  <si>
    <t xml:space="preserve">194/191</t>
  </si>
  <si>
    <t xml:space="preserve">195/191</t>
  </si>
  <si>
    <t xml:space="preserve">196/191</t>
  </si>
  <si>
    <t xml:space="preserve">197/191</t>
  </si>
  <si>
    <t xml:space="preserve">198/191</t>
  </si>
  <si>
    <t xml:space="preserve">199/191</t>
  </si>
  <si>
    <t xml:space="preserve">200/191</t>
  </si>
  <si>
    <t xml:space="preserve">201/191</t>
  </si>
  <si>
    <t xml:space="preserve">202/191</t>
  </si>
  <si>
    <t xml:space="preserve">203/191</t>
  </si>
  <si>
    <t xml:space="preserve">204/191</t>
  </si>
  <si>
    <t xml:space="preserve">205/191</t>
  </si>
  <si>
    <t xml:space="preserve">206/191</t>
  </si>
  <si>
    <t xml:space="preserve">207/191</t>
  </si>
  <si>
    <t xml:space="preserve">208/191</t>
  </si>
  <si>
    <t xml:space="preserve">209/191</t>
  </si>
  <si>
    <t xml:space="preserve">210/191</t>
  </si>
  <si>
    <t xml:space="preserve">211/191</t>
  </si>
  <si>
    <t xml:space="preserve">212/191</t>
  </si>
  <si>
    <t xml:space="preserve">213/191</t>
  </si>
  <si>
    <t xml:space="preserve">214/191</t>
  </si>
  <si>
    <t xml:space="preserve">215/191</t>
  </si>
  <si>
    <t xml:space="preserve">Ultra Rare</t>
  </si>
  <si>
    <t xml:space="preserve">216/191</t>
  </si>
  <si>
    <t xml:space="preserve">217/191</t>
  </si>
  <si>
    <t xml:space="preserve">218/191</t>
  </si>
  <si>
    <t xml:space="preserve">219/191</t>
  </si>
  <si>
    <t xml:space="preserve">220/191</t>
  </si>
  <si>
    <t xml:space="preserve">221/191</t>
  </si>
  <si>
    <t xml:space="preserve">222/191</t>
  </si>
  <si>
    <t xml:space="preserve">223/191</t>
  </si>
  <si>
    <t xml:space="preserve">224/191</t>
  </si>
  <si>
    <t xml:space="preserve">225/191</t>
  </si>
  <si>
    <t xml:space="preserve">226/191</t>
  </si>
  <si>
    <t xml:space="preserve">227/191</t>
  </si>
  <si>
    <t xml:space="preserve">228/191</t>
  </si>
  <si>
    <t xml:space="preserve">229/191</t>
  </si>
  <si>
    <t xml:space="preserve">230/191</t>
  </si>
  <si>
    <t xml:space="preserve">231/191</t>
  </si>
  <si>
    <t xml:space="preserve">232/191</t>
  </si>
  <si>
    <t xml:space="preserve">233/191</t>
  </si>
  <si>
    <t xml:space="preserve">234/191</t>
  </si>
  <si>
    <t xml:space="preserve">235/191</t>
  </si>
  <si>
    <t xml:space="preserve">236/191</t>
  </si>
  <si>
    <t xml:space="preserve">Special Illustration Rare</t>
  </si>
  <si>
    <t xml:space="preserve">237/191</t>
  </si>
  <si>
    <t xml:space="preserve">238/191</t>
  </si>
  <si>
    <t xml:space="preserve">239/191</t>
  </si>
  <si>
    <t xml:space="preserve">240/191</t>
  </si>
  <si>
    <t xml:space="preserve">241/191</t>
  </si>
  <si>
    <t xml:space="preserve">242/191</t>
  </si>
  <si>
    <t xml:space="preserve">243/191</t>
  </si>
  <si>
    <t xml:space="preserve">244/191</t>
  </si>
  <si>
    <t xml:space="preserve">245/191</t>
  </si>
  <si>
    <t xml:space="preserve">246/191</t>
  </si>
  <si>
    <t xml:space="preserve">247/191</t>
  </si>
  <si>
    <t xml:space="preserve">Hyper Rare</t>
  </si>
  <si>
    <t xml:space="preserve">248/191</t>
  </si>
  <si>
    <t xml:space="preserve">249/191</t>
  </si>
  <si>
    <t xml:space="preserve">250/191</t>
  </si>
  <si>
    <t xml:space="preserve">251/191</t>
  </si>
  <si>
    <t xml:space="preserve">252/191</t>
  </si>
  <si>
    <t xml:space="preserve">Promos &amp; Variants - Optional</t>
  </si>
  <si>
    <t xml:space="preserve">SVP 151</t>
  </si>
  <si>
    <t xml:space="preserve">Build &amp; Battle Deck Promo</t>
  </si>
  <si>
    <t xml:space="preserve">Staff Stamped</t>
  </si>
  <si>
    <t xml:space="preserve">SVP 152</t>
  </si>
  <si>
    <t xml:space="preserve">SVP 153</t>
  </si>
  <si>
    <t xml:space="preserve">SVP 154</t>
  </si>
  <si>
    <t xml:space="preserve">SVP 155</t>
  </si>
  <si>
    <t xml:space="preserve">Checklane Blister</t>
  </si>
  <si>
    <t xml:space="preserve">SVP 156</t>
  </si>
  <si>
    <t xml:space="preserve">3-Pack Blister</t>
  </si>
  <si>
    <t xml:space="preserve">SVP 157</t>
  </si>
  <si>
    <t xml:space="preserve">SVP 158</t>
  </si>
  <si>
    <t xml:space="preserve">SVP 159</t>
  </si>
  <si>
    <t xml:space="preserve">Elite Trainer Box Promo</t>
  </si>
  <si>
    <t xml:space="preserve">Pokemon Center ETB Promo</t>
  </si>
  <si>
    <t xml:space="preserve">Build &amp; Battle Deck Non-Holo</t>
  </si>
  <si>
    <t xml:space="preserve">Cosmos Holo</t>
  </si>
  <si>
    <t xml:space="preserve">Play! Pokémon</t>
  </si>
  <si>
    <t xml:space="preserve">Fuecoco</t>
  </si>
  <si>
    <t xml:space="preserve">Pokémon Horizons</t>
  </si>
  <si>
    <t xml:space="preserve">Holiday Calendar 2025</t>
  </si>
  <si>
    <t xml:space="preserve">Expansion Stamp</t>
  </si>
  <si>
    <t xml:space="preserve">Jumbo (Expansion Stamp)</t>
  </si>
  <si>
    <t xml:space="preserve">Quaxly</t>
  </si>
  <si>
    <t xml:space="preserve">Pikachu ex</t>
  </si>
  <si>
    <t xml:space="preserve">World Championships Deck 2025: Joltdengo by Liao Fu Guan</t>
  </si>
  <si>
    <t xml:space="preserve">Magneton</t>
  </si>
  <si>
    <t xml:space="preserve">Pokémon TCG Gym</t>
  </si>
  <si>
    <t xml:space="preserve">Latias ex</t>
  </si>
  <si>
    <t xml:space="preserve">World Championships Deck 2025: JP Raging Bolt by Yuya Okita</t>
  </si>
  <si>
    <t xml:space="preserve">Gimmighoul</t>
  </si>
  <si>
    <t xml:space="preserve">Koraidon</t>
  </si>
  <si>
    <t xml:space="preserve">Play! Pokémon (Cosmos Holo)</t>
  </si>
  <si>
    <t xml:space="preserve">Eevee</t>
  </si>
  <si>
    <t xml:space="preserve">Terapagos</t>
  </si>
  <si>
    <t xml:space="preserve">Counter Gain</t>
  </si>
  <si>
    <t xml:space="preserve">Gravity Mountain</t>
  </si>
  <si>
    <t xml:space="preserve">Regional Championships</t>
  </si>
  <si>
    <t xml:space="preserve">Regional Championships (Staff)</t>
  </si>
  <si>
    <t xml:space="preserve">Tera Orb</t>
  </si>
  <si>
    <t xml:space="preserve">Great Ball League</t>
  </si>
  <si>
    <t xml:space="preserve">This checklist contains affiliate links for which I may be compensated.</t>
  </si>
  <si>
    <t xml:space="preserve">Want free Surging Sparks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</si>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</sst>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IFERROR((COUNTIF(A2:A418,"☑"))/((COUNTIF(A2:A418,"☑"))+(COUNTIF(A2:A418,"☐"))),0)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HYPERLINK("https://partner.tcgplayer.com/c/6278691/1780961/21018?u=https%3A%2F%2Fwww.tcgplayer.com%2Fproduct%2F589939%3Futm_source%3Dimpact%26utm_medium%3Daffiliate%26utm_campaign%3Dpoke%2Bcottage","Exeggcute")</f>
        <v>Exeggcute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IFERROR(COUNTIF(A2:A484,"☑")/(COUNTIF(A2:A484,"☑")+COUNTIF(A2:A484,"☐")),0)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HYPERLINK("https://partner.tcgplayer.com/c/6278691/1780961/21018?u=https%3A%2F%2Fwww.tcgplayer.com%2Fproduct%2F589939%3Futm_source%3Dimpact%26utm_medium%3Daffiliate%26utm_campaign%3Dpoke%2Bcottage","Exeggcute")</f>
        <v>Exeggcute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HYPERLINK("https://partner.tcgplayer.com/c/6278691/1780961/21018?u=https%3A%2F%2Fwww.tcgplayer.com%2Fproduct%2F589940%3Futm_source%3Dimpact%26utm_medium%3Daffiliate%26utm_campaign%3Dpoke%2Bcottage","Exeggcute")</f>
        <v>Exeggcute</v>
      </c>
      <c r="D4" s="5" t="s">
        <v>8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HYPERLINK("https://partner.tcgplayer.com/c/6278691/1780961/21018?u=https%3A%2F%2Fwww.tcgplayer.com%2Fproduct%2F589940%3Futm_source%3Dimpact%26utm_medium%3Daffiliate%26utm_campaign%3Dpoke%2Bcottage","Exeggcute")</f>
        <v>Exeggcute</v>
      </c>
      <c r="D5" s="5" t="s">
        <v>8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13</v>
      </c>
      <c r="C6" s="6" t="str">
        <f aca="false">HYPERLINK("https://partner.tcgplayer.com/c/6278691/1780961/21018?u=https%3A%2F%2Fwww.tcgplayer.com%2Fproduct%2F589942%3Futm_source%3Dimpact%26utm_medium%3Daffiliate%26utm_campaign%3Dpoke%2Bcottage","Exeggutor")</f>
        <v>Exeggutor</v>
      </c>
      <c r="D6" s="5" t="s">
        <v>14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13</v>
      </c>
      <c r="C7" s="6" t="str">
        <f aca="false">HYPERLINK("https://partner.tcgplayer.com/c/6278691/1780961/21018?u=https%3A%2F%2Fwww.tcgplayer.com%2Fproduct%2F589942%3Futm_source%3Dimpact%26utm_medium%3Daffiliate%26utm_campaign%3Dpoke%2Bcottage","Exeggutor")</f>
        <v>Exeggutor</v>
      </c>
      <c r="D7" s="5" t="s">
        <v>14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15</v>
      </c>
      <c r="C8" s="6" t="str">
        <f aca="false">HYPERLINK("https://partner.tcgplayer.com/c/6278691/1780961/21018?u=https%3A%2F%2Fwww.tcgplayer.com%2Fproduct%2F589928%3Futm_source%3Dimpact%26utm_medium%3Daffiliate%26utm_campaign%3Dpoke%2Bcottage","Durant ex")</f>
        <v>Durant ex</v>
      </c>
      <c r="D8" s="5" t="s">
        <v>16</v>
      </c>
      <c r="E8" s="5" t="s">
        <v>17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18</v>
      </c>
      <c r="C9" s="6" t="str">
        <f aca="false">HYPERLINK("https://partner.tcgplayer.com/c/6278691/1780961/21018?u=https%3A%2F%2Fwww.tcgplayer.com%2Fproduct%2F590039%3Futm_source%3Dimpact%26utm_medium%3Daffiliate%26utm_campaign%3Dpoke%2Bcottage","Scatterbug")</f>
        <v>Scatterbug</v>
      </c>
      <c r="D9" s="5" t="s">
        <v>8</v>
      </c>
      <c r="E9" s="5" t="s">
        <v>9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18</v>
      </c>
      <c r="C10" s="6" t="str">
        <f aca="false">HYPERLINK("https://partner.tcgplayer.com/c/6278691/1780961/21018?u=https%3A%2F%2Fwww.tcgplayer.com%2Fproduct%2F590039%3Futm_source%3Dimpact%26utm_medium%3Daffiliate%26utm_campaign%3Dpoke%2Bcottage","Scatterbug")</f>
        <v>Scatterbug</v>
      </c>
      <c r="D10" s="5" t="s">
        <v>8</v>
      </c>
      <c r="E10" s="5" t="s">
        <v>11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19</v>
      </c>
      <c r="C11" s="6" t="str">
        <f aca="false">HYPERLINK("https://partner.tcgplayer.com/c/6278691/1780961/21018?u=https%3A%2F%2Fwww.tcgplayer.com%2Fproduct%2F590061%3Futm_source%3Dimpact%26utm_medium%3Daffiliate%26utm_campaign%3Dpoke%2Bcottage","Spewpa")</f>
        <v>Spewpa</v>
      </c>
      <c r="D11" s="5" t="s">
        <v>8</v>
      </c>
      <c r="E11" s="5" t="s">
        <v>9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19</v>
      </c>
      <c r="C12" s="6" t="str">
        <f aca="false">HYPERLINK("https://partner.tcgplayer.com/c/6278691/1780961/21018?u=https%3A%2F%2Fwww.tcgplayer.com%2Fproduct%2F590061%3Futm_source%3Dimpact%26utm_medium%3Daffiliate%26utm_campaign%3Dpoke%2Bcottage","Spewpa")</f>
        <v>Spewpa</v>
      </c>
      <c r="D12" s="5" t="s">
        <v>8</v>
      </c>
      <c r="E12" s="5" t="s">
        <v>11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20</v>
      </c>
      <c r="C13" s="6" t="str">
        <f aca="false">HYPERLINK("https://partner.tcgplayer.com/c/6278691/1780961/21018?u=https%3A%2F%2Fwww.tcgplayer.com%2Fproduct%2F590089%3Futm_source%3Dimpact%26utm_medium%3Daffiliate%26utm_campaign%3Dpoke%2Bcottage","Vivillon")</f>
        <v>Vivillon</v>
      </c>
      <c r="D13" s="5" t="s">
        <v>14</v>
      </c>
      <c r="E13" s="5" t="s">
        <v>9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20</v>
      </c>
      <c r="C14" s="6" t="str">
        <f aca="false">HYPERLINK("https://partner.tcgplayer.com/c/6278691/1780961/21018?u=https%3A%2F%2Fwww.tcgplayer.com%2Fproduct%2F590089%3Futm_source%3Dimpact%26utm_medium%3Daffiliate%26utm_campaign%3Dpoke%2Bcottage","Vivillon")</f>
        <v>Vivillon</v>
      </c>
      <c r="D14" s="5" t="s">
        <v>14</v>
      </c>
      <c r="E14" s="5" t="s">
        <v>11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21</v>
      </c>
      <c r="C15" s="6" t="str">
        <f aca="false">HYPERLINK("https://partner.tcgplayer.com/c/6278691/1780961/21018?u=https%3A%2F%2Fwww.tcgplayer.com%2Fproduct%2F590009%3Futm_source%3Dimpact%26utm_medium%3Daffiliate%26utm_campaign%3Dpoke%2Bcottage","Morelull")</f>
        <v>Morelull</v>
      </c>
      <c r="D15" s="5" t="s">
        <v>8</v>
      </c>
      <c r="E15" s="5" t="s">
        <v>9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21</v>
      </c>
      <c r="C16" s="6" t="str">
        <f aca="false">HYPERLINK("https://partner.tcgplayer.com/c/6278691/1780961/21018?u=https%3A%2F%2Fwww.tcgplayer.com%2Fproduct%2F590009%3Futm_source%3Dimpact%26utm_medium%3Daffiliate%26utm_campaign%3Dpoke%2Bcottage","Morelull")</f>
        <v>Morelull</v>
      </c>
      <c r="D16" s="5" t="s">
        <v>8</v>
      </c>
      <c r="E16" s="5" t="s">
        <v>11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22</v>
      </c>
      <c r="C17" s="6" t="str">
        <f aca="false">HYPERLINK("https://partner.tcgplayer.com/c/6278691/1780961/21018?u=https%3A%2F%2Fwww.tcgplayer.com%2Fproduct%2F590045%3Futm_source%3Dimpact%26utm_medium%3Daffiliate%26utm_campaign%3Dpoke%2Bcottage","Shiinotic")</f>
        <v>Shiinotic</v>
      </c>
      <c r="D17" s="5" t="s">
        <v>14</v>
      </c>
      <c r="E17" s="5" t="s">
        <v>9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22</v>
      </c>
      <c r="C18" s="6" t="str">
        <f aca="false">HYPERLINK("https://partner.tcgplayer.com/c/6278691/1780961/21018?u=https%3A%2F%2Fwww.tcgplayer.com%2Fproduct%2F590045%3Futm_source%3Dimpact%26utm_medium%3Daffiliate%26utm_campaign%3Dpoke%2Bcottage","Shiinotic")</f>
        <v>Shiinotic</v>
      </c>
      <c r="D18" s="5" t="s">
        <v>14</v>
      </c>
      <c r="E18" s="5" t="s">
        <v>11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23</v>
      </c>
      <c r="C19" s="6" t="str">
        <f aca="false">HYPERLINK("https://partner.tcgplayer.com/c/6278691/1780961/21018?u=https%3A%2F%2Fwww.tcgplayer.com%2Fproduct%2F589917%3Futm_source%3Dimpact%26utm_medium%3Daffiliate%26utm_campaign%3Dpoke%2Bcottage","Dhelmise")</f>
        <v>Dhelmise</v>
      </c>
      <c r="D19" s="5" t="s">
        <v>8</v>
      </c>
      <c r="E19" s="5" t="s">
        <v>9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23</v>
      </c>
      <c r="C20" s="6" t="str">
        <f aca="false">HYPERLINK("https://partner.tcgplayer.com/c/6278691/1780961/21018?u=https%3A%2F%2Fwww.tcgplayer.com%2Fproduct%2F589917%3Futm_source%3Dimpact%26utm_medium%3Daffiliate%26utm_campaign%3Dpoke%2Bcottage","Dhelmise")</f>
        <v>Dhelmise</v>
      </c>
      <c r="D20" s="5" t="s">
        <v>8</v>
      </c>
      <c r="E20" s="5" t="s">
        <v>11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24</v>
      </c>
      <c r="C21" s="6" t="str">
        <f aca="false">HYPERLINK("https://partner.tcgplayer.com/c/6278691/1780961/21018?u=https%3A%2F%2Fwww.tcgplayer.com%2Fproduct%2F590099%3Futm_source%3Dimpact%26utm_medium%3Daffiliate%26utm_campaign%3Dpoke%2Bcottage","Zarude")</f>
        <v>Zarude</v>
      </c>
      <c r="D21" s="5" t="s">
        <v>25</v>
      </c>
      <c r="E21" s="5" t="s">
        <v>17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24</v>
      </c>
      <c r="C22" s="6" t="str">
        <f aca="false">HYPERLINK("https://partner.tcgplayer.com/c/6278691/1780961/21018?u=https%3A%2F%2Fwww.tcgplayer.com%2Fproduct%2F590099%3Futm_source%3Dimpact%26utm_medium%3Daffiliate%26utm_campaign%3Dpoke%2Bcottage","Zarude")</f>
        <v>Zarude</v>
      </c>
      <c r="D22" s="5" t="s">
        <v>25</v>
      </c>
      <c r="E22" s="5" t="s">
        <v>11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26</v>
      </c>
      <c r="C23" s="6" t="str">
        <f aca="false">HYPERLINK("https://partner.tcgplayer.com/c/6278691/1780961/21018?u=https%3A%2F%2Fwww.tcgplayer.com%2Fproduct%2F589886%3Futm_source%3Dimpact%26utm_medium%3Daffiliate%26utm_campaign%3Dpoke%2Bcottage","Capsakid")</f>
        <v>Capsakid</v>
      </c>
      <c r="D23" s="5" t="s">
        <v>8</v>
      </c>
      <c r="E23" s="5" t="s">
        <v>9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26</v>
      </c>
      <c r="C24" s="6" t="str">
        <f aca="false">HYPERLINK("https://partner.tcgplayer.com/c/6278691/1780961/21018?u=https%3A%2F%2Fwww.tcgplayer.com%2Fproduct%2F589886%3Futm_source%3Dimpact%26utm_medium%3Daffiliate%26utm_campaign%3Dpoke%2Bcottage","Capsakid")</f>
        <v>Capsakid</v>
      </c>
      <c r="D24" s="5" t="s">
        <v>8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27</v>
      </c>
      <c r="C25" s="6" t="str">
        <f aca="false">HYPERLINK("https://partner.tcgplayer.com/c/6278691/1780961/21018?u=https%3A%2F%2Fwww.tcgplayer.com%2Fproduct%2F590035%3Futm_source%3Dimpact%26utm_medium%3Daffiliate%26utm_campaign%3Dpoke%2Bcottage","Rellor")</f>
        <v>Rellor</v>
      </c>
      <c r="D25" s="5" t="s">
        <v>8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27</v>
      </c>
      <c r="C26" s="6" t="str">
        <f aca="false">HYPERLINK("https://partner.tcgplayer.com/c/6278691/1780961/21018?u=https%3A%2F%2Fwww.tcgplayer.com%2Fproduct%2F590035%3Futm_source%3Dimpact%26utm_medium%3Daffiliate%26utm_campaign%3Dpoke%2Bcottage","Rellor")</f>
        <v>Rellor</v>
      </c>
      <c r="D26" s="5" t="s">
        <v>8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28</v>
      </c>
      <c r="C27" s="6" t="str">
        <f aca="false">HYPERLINK("https://partner.tcgplayer.com/c/6278691/1780961/21018?u=https%3A%2F%2Fwww.tcgplayer.com%2Fproduct%2F590033%3Futm_source%3Dimpact%26utm_medium%3Daffiliate%26utm_campaign%3Dpoke%2Bcottage","Rabsca")</f>
        <v>Rabsca</v>
      </c>
      <c r="D27" s="5" t="s">
        <v>25</v>
      </c>
      <c r="E27" s="5" t="s">
        <v>17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28</v>
      </c>
      <c r="C28" s="6" t="str">
        <f aca="false">HYPERLINK("https://partner.tcgplayer.com/c/6278691/1780961/21018?u=https%3A%2F%2Fwww.tcgplayer.com%2Fproduct%2F590033%3Futm_source%3Dimpact%26utm_medium%3Daffiliate%26utm_campaign%3Dpoke%2Bcottage","Rabsca")</f>
        <v>Rabsca</v>
      </c>
      <c r="D28" s="5" t="s">
        <v>25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29</v>
      </c>
      <c r="C29" s="6" t="str">
        <f aca="false">HYPERLINK("https://partner.tcgplayer.com/c/6278691/1780961/21018?u=https%3A%2F%2Fwww.tcgplayer.com%2Fproduct%2F590095%3Futm_source%3Dimpact%26utm_medium%3Daffiliate%26utm_campaign%3Dpoke%2Bcottage","Wo-Chien")</f>
        <v>Wo-Chien</v>
      </c>
      <c r="D29" s="5" t="s">
        <v>14</v>
      </c>
      <c r="E29" s="5" t="s">
        <v>9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29</v>
      </c>
      <c r="C30" s="6" t="str">
        <f aca="false">HYPERLINK("https://partner.tcgplayer.com/c/6278691/1780961/21018?u=https%3A%2F%2Fwww.tcgplayer.com%2Fproduct%2F590095%3Futm_source%3Dimpact%26utm_medium%3Daffiliate%26utm_campaign%3Dpoke%2Bcottage","Wo-Chien")</f>
        <v>Wo-Chien</v>
      </c>
      <c r="D30" s="5" t="s">
        <v>14</v>
      </c>
      <c r="E30" s="5" t="s">
        <v>11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30</v>
      </c>
      <c r="C31" s="6" t="str">
        <f aca="false">HYPERLINK("https://partner.tcgplayer.com/c/6278691/1780961/21018?u=https%3A%2F%2Fwww.tcgplayer.com%2Fproduct%2F590092%3Futm_source%3Dimpact%26utm_medium%3Daffiliate%26utm_campaign%3Dpoke%2Bcottage","Vulpix")</f>
        <v>Vulpix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30</v>
      </c>
      <c r="C32" s="6" t="str">
        <f aca="false">HYPERLINK("https://partner.tcgplayer.com/c/6278691/1780961/21018?u=https%3A%2F%2Fwww.tcgplayer.com%2Fproduct%2F590092%3Futm_source%3Dimpact%26utm_medium%3Daffiliate%26utm_campaign%3Dpoke%2Bcottage","Vulpix")</f>
        <v>Vulpix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31</v>
      </c>
      <c r="C33" s="6" t="str">
        <f aca="false">HYPERLINK("https://partner.tcgplayer.com/c/6278691/1780961/21018?u=https%3A%2F%2Fwww.tcgplayer.com%2Fproduct%2F590010%3Futm_source%3Dimpact%26utm_medium%3Daffiliate%26utm_campaign%3Dpoke%2Bcottage","Ninetales")</f>
        <v>Ninetales</v>
      </c>
      <c r="D33" s="5" t="s">
        <v>14</v>
      </c>
      <c r="E33" s="5" t="s">
        <v>9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31</v>
      </c>
      <c r="C34" s="6" t="str">
        <f aca="false">HYPERLINK("https://partner.tcgplayer.com/c/6278691/1780961/21018?u=https%3A%2F%2Fwww.tcgplayer.com%2Fproduct%2F590010%3Futm_source%3Dimpact%26utm_medium%3Daffiliate%26utm_campaign%3Dpoke%2Bcottage","Ninetales")</f>
        <v>Ninetales</v>
      </c>
      <c r="D34" s="5" t="s">
        <v>14</v>
      </c>
      <c r="E34" s="5" t="s">
        <v>11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32</v>
      </c>
      <c r="C35" s="6" t="str">
        <f aca="false">HYPERLINK("https://partner.tcgplayer.com/c/6278691/1780961/21018?u=https%3A%2F%2Fwww.tcgplayer.com%2Fproduct%2F590014%3Futm_source%3Dimpact%26utm_medium%3Daffiliate%26utm_campaign%3Dpoke%2Bcottage","Paldean Tauros")</f>
        <v>Paldean Tauros</v>
      </c>
      <c r="D35" s="5" t="s">
        <v>14</v>
      </c>
      <c r="E35" s="5" t="s">
        <v>9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32</v>
      </c>
      <c r="C36" s="6" t="str">
        <f aca="false">HYPERLINK("https://partner.tcgplayer.com/c/6278691/1780961/21018?u=https%3A%2F%2Fwww.tcgplayer.com%2Fproduct%2F590014%3Futm_source%3Dimpact%26utm_medium%3Daffiliate%26utm_campaign%3Dpoke%2Bcottage","Paldean Tauros")</f>
        <v>Paldean Tauros</v>
      </c>
      <c r="D36" s="5" t="s">
        <v>14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33</v>
      </c>
      <c r="C37" s="6" t="str">
        <f aca="false">HYPERLINK("https://partner.tcgplayer.com/c/6278691/1780961/21018?u=https%3A%2F%2Fwww.tcgplayer.com%2Fproduct%2F589964%3Futm_source%3Dimpact%26utm_medium%3Daffiliate%26utm_campaign%3Dpoke%2Bcottage","Ho-Oh")</f>
        <v>Ho-Oh</v>
      </c>
      <c r="D37" s="5" t="s">
        <v>14</v>
      </c>
      <c r="E37" s="5" t="s">
        <v>9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33</v>
      </c>
      <c r="C38" s="6" t="str">
        <f aca="false">HYPERLINK("https://partner.tcgplayer.com/c/6278691/1780961/21018?u=https%3A%2F%2Fwww.tcgplayer.com%2Fproduct%2F589964%3Futm_source%3Dimpact%26utm_medium%3Daffiliate%26utm_campaign%3Dpoke%2Bcottage","Ho-Oh")</f>
        <v>Ho-Oh</v>
      </c>
      <c r="D38" s="5" t="s">
        <v>14</v>
      </c>
      <c r="E38" s="5" t="s">
        <v>11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HYPERLINK("https://partner.tcgplayer.com/c/6278691/1780961/21018?u=https%3A%2F%2Fwww.tcgplayer.com%2Fproduct%2F589887%3Futm_source%3Dimpact%26utm_medium%3Daffiliate%26utm_campaign%3Dpoke%2Bcottage","Castform Sunny Form")</f>
        <v>Castform Sunny Form</v>
      </c>
      <c r="D39" s="5" t="s">
        <v>8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34</v>
      </c>
      <c r="C40" s="6" t="str">
        <f aca="false">HYPERLINK("https://partner.tcgplayer.com/c/6278691/1780961/21018?u=https%3A%2F%2Fwww.tcgplayer.com%2Fproduct%2F589887%3Futm_source%3Dimpact%26utm_medium%3Daffiliate%26utm_campaign%3Dpoke%2Bcottage","Castform Sunny Form")</f>
        <v>Castform Sunny Form</v>
      </c>
      <c r="D40" s="5" t="s">
        <v>8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HYPERLINK("https://partner.tcgplayer.com/c/6278691/1780961/21018?u=https%3A%2F%2Fwww.tcgplayer.com%2Fproduct%2F590087%3Futm_source%3Dimpact%26utm_medium%3Daffiliate%26utm_campaign%3Dpoke%2Bcottage","Victini")</f>
        <v>Victini</v>
      </c>
      <c r="D41" s="5" t="s">
        <v>14</v>
      </c>
      <c r="E41" s="5" t="s">
        <v>9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35</v>
      </c>
      <c r="C42" s="6" t="str">
        <f aca="false">HYPERLINK("https://partner.tcgplayer.com/c/6278691/1780961/21018?u=https%3A%2F%2Fwww.tcgplayer.com%2Fproduct%2F590087%3Futm_source%3Dimpact%26utm_medium%3Daffiliate%26utm_campaign%3Dpoke%2Bcottage","Victini")</f>
        <v>Victini</v>
      </c>
      <c r="D42" s="5" t="s">
        <v>14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HYPERLINK("https://partner.tcgplayer.com/c/6278691/1780961/21018?u=https%3A%2F%2Fwww.tcgplayer.com%2Fproduct%2F590020%3Futm_source%3Dimpact%26utm_medium%3Daffiliate%26utm_campaign%3Dpoke%2Bcottage","Pansear")</f>
        <v>Pansear</v>
      </c>
      <c r="D43" s="5" t="s">
        <v>8</v>
      </c>
      <c r="E43" s="5" t="s">
        <v>9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36</v>
      </c>
      <c r="C44" s="6" t="str">
        <f aca="false">HYPERLINK("https://partner.tcgplayer.com/c/6278691/1780961/21018?u=https%3A%2F%2Fwww.tcgplayer.com%2Fproduct%2F590020%3Futm_source%3Dimpact%26utm_medium%3Daffiliate%26utm_campaign%3Dpoke%2Bcottage","Pansear")</f>
        <v>Pansear</v>
      </c>
      <c r="D44" s="5" t="s">
        <v>8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HYPERLINK("https://partner.tcgplayer.com/c/6278691/1780961/21018?u=https%3A%2F%2Fwww.tcgplayer.com%2Fproduct%2F590049%3Futm_source%3Dimpact%26utm_medium%3Daffiliate%26utm_campaign%3Dpoke%2Bcottage","Simisear")</f>
        <v>Simisear</v>
      </c>
      <c r="D45" s="5" t="s">
        <v>8</v>
      </c>
      <c r="E45" s="5" t="s">
        <v>9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37</v>
      </c>
      <c r="C46" s="6" t="str">
        <f aca="false">HYPERLINK("https://partner.tcgplayer.com/c/6278691/1780961/21018?u=https%3A%2F%2Fwww.tcgplayer.com%2Fproduct%2F590049%3Futm_source%3Dimpact%26utm_medium%3Daffiliate%26utm_campaign%3Dpoke%2Bcottage","Simisear")</f>
        <v>Simisear</v>
      </c>
      <c r="D46" s="5" t="s">
        <v>8</v>
      </c>
      <c r="E46" s="5" t="s">
        <v>11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HYPERLINK("https://partner.tcgplayer.com/c/6278691/1780961/21018?u=https%3A%2F%2Fwww.tcgplayer.com%2Fproduct%2F589981%3Futm_source%3Dimpact%26utm_medium%3Daffiliate%26utm_campaign%3Dpoke%2Bcottage","Larvesta")</f>
        <v>Larvesta</v>
      </c>
      <c r="D47" s="5" t="s">
        <v>8</v>
      </c>
      <c r="E47" s="5" t="s">
        <v>9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38</v>
      </c>
      <c r="C48" s="6" t="str">
        <f aca="false">HYPERLINK("https://partner.tcgplayer.com/c/6278691/1780961/21018?u=https%3A%2F%2Fwww.tcgplayer.com%2Fproduct%2F589981%3Futm_source%3Dimpact%26utm_medium%3Daffiliate%26utm_campaign%3Dpoke%2Bcottage","Larvesta")</f>
        <v>Larvesta</v>
      </c>
      <c r="D48" s="5" t="s">
        <v>8</v>
      </c>
      <c r="E48" s="5" t="s">
        <v>11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39</v>
      </c>
      <c r="C49" s="6" t="str">
        <f aca="false">HYPERLINK("https://partner.tcgplayer.com/c/6278691/1780961/21018?u=https%3A%2F%2Fwww.tcgplayer.com%2Fproduct%2F590091%3Futm_source%3Dimpact%26utm_medium%3Daffiliate%26utm_campaign%3Dpoke%2Bcottage","Volcarona")</f>
        <v>Volcarona</v>
      </c>
      <c r="D49" s="5" t="s">
        <v>8</v>
      </c>
      <c r="E49" s="5" t="s">
        <v>9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39</v>
      </c>
      <c r="C50" s="6" t="str">
        <f aca="false">HYPERLINK("https://partner.tcgplayer.com/c/6278691/1780961/21018?u=https%3A%2F%2Fwww.tcgplayer.com%2Fproduct%2F590091%3Futm_source%3Dimpact%26utm_medium%3Daffiliate%26utm_campaign%3Dpoke%2Bcottage","Volcarona")</f>
        <v>Volcarona</v>
      </c>
      <c r="D50" s="5" t="s">
        <v>8</v>
      </c>
      <c r="E50" s="5" t="s">
        <v>11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HYPERLINK("https://partner.tcgplayer.com/c/6278691/1780961/21018?u=https%3A%2F%2Fwww.tcgplayer.com%2Fproduct%2F590012%3Futm_source%3Dimpact%26utm_medium%3Daffiliate%26utm_campaign%3Dpoke%2Bcottage","Oricorio")</f>
        <v>Oricorio</v>
      </c>
      <c r="D51" s="5" t="s">
        <v>8</v>
      </c>
      <c r="E51" s="5" t="s">
        <v>9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40</v>
      </c>
      <c r="C52" s="6" t="str">
        <f aca="false">HYPERLINK("https://partner.tcgplayer.com/c/6278691/1780961/21018?u=https%3A%2F%2Fwww.tcgplayer.com%2Fproduct%2F590012%3Futm_source%3Dimpact%26utm_medium%3Daffiliate%26utm_campaign%3Dpoke%2Bcottage","Oricorio")</f>
        <v>Oricorio</v>
      </c>
      <c r="D52" s="5" t="s">
        <v>8</v>
      </c>
      <c r="E52" s="5" t="s">
        <v>11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41</v>
      </c>
      <c r="C53" s="6" t="str">
        <f aca="false">HYPERLINK("https://partner.tcgplayer.com/c/6278691/1780961/21018?u=https%3A%2F%2Fwww.tcgplayer.com%2Fproduct%2F590050%3Futm_source%3Dimpact%26utm_medium%3Daffiliate%26utm_campaign%3Dpoke%2Bcottage","Sizzlipede")</f>
        <v>Sizzlipede</v>
      </c>
      <c r="D53" s="5" t="s">
        <v>8</v>
      </c>
      <c r="E53" s="5" t="s">
        <v>9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41</v>
      </c>
      <c r="C54" s="6" t="str">
        <f aca="false">HYPERLINK("https://partner.tcgplayer.com/c/6278691/1780961/21018?u=https%3A%2F%2Fwww.tcgplayer.com%2Fproduct%2F590050%3Futm_source%3Dimpact%26utm_medium%3Daffiliate%26utm_campaign%3Dpoke%2Bcottage","Sizzlipede")</f>
        <v>Sizzlipede</v>
      </c>
      <c r="D54" s="5" t="s">
        <v>8</v>
      </c>
      <c r="E54" s="5" t="s">
        <v>11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42</v>
      </c>
      <c r="C55" s="6" t="str">
        <f aca="false">HYPERLINK("https://partner.tcgplayer.com/c/6278691/1780961/21018?u=https%3A%2F%2Fwww.tcgplayer.com%2Fproduct%2F589889%3Futm_source%3Dimpact%26utm_medium%3Daffiliate%26utm_campaign%3Dpoke%2Bcottage","Centiskorch")</f>
        <v>Centiskorch</v>
      </c>
      <c r="D55" s="5" t="s">
        <v>8</v>
      </c>
      <c r="E55" s="5" t="s">
        <v>9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42</v>
      </c>
      <c r="C56" s="6" t="str">
        <f aca="false">HYPERLINK("https://partner.tcgplayer.com/c/6278691/1780961/21018?u=https%3A%2F%2Fwww.tcgplayer.com%2Fproduct%2F589889%3Futm_source%3Dimpact%26utm_medium%3Daffiliate%26utm_campaign%3Dpoke%2Bcottage","Centiskorch")</f>
        <v>Centiskorch</v>
      </c>
      <c r="D56" s="5" t="s">
        <v>8</v>
      </c>
      <c r="E56" s="5" t="s">
        <v>11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43</v>
      </c>
      <c r="C57" s="6" t="str">
        <f aca="false">HYPERLINK("https://partner.tcgplayer.com/c/6278691/1780961/21018?u=https%3A%2F%2Fwww.tcgplayer.com%2Fproduct%2F589952%3Futm_source%3Dimpact%26utm_medium%3Daffiliate%26utm_campaign%3Dpoke%2Bcottage","Fuecoco")</f>
        <v>Fuecoco</v>
      </c>
      <c r="D57" s="5" t="s">
        <v>8</v>
      </c>
      <c r="E57" s="5" t="s">
        <v>9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43</v>
      </c>
      <c r="C58" s="6" t="str">
        <f aca="false">HYPERLINK("https://partner.tcgplayer.com/c/6278691/1780961/21018?u=https%3A%2F%2Fwww.tcgplayer.com%2Fproduct%2F589952%3Futm_source%3Dimpact%26utm_medium%3Daffiliate%26utm_campaign%3Dpoke%2Bcottage","Fuecoco")</f>
        <v>Fuecoco</v>
      </c>
      <c r="D58" s="5" t="s">
        <v>8</v>
      </c>
      <c r="E58" s="5" t="s">
        <v>11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44</v>
      </c>
      <c r="C59" s="6" t="str">
        <f aca="false">HYPERLINK("https://partner.tcgplayer.com/c/6278691/1780961/21018?u=https%3A%2F%2Fwww.tcgplayer.com%2Fproduct%2F589908%3Futm_source%3Dimpact%26utm_medium%3Daffiliate%26utm_campaign%3Dpoke%2Bcottage","Crocalor")</f>
        <v>Crocalor</v>
      </c>
      <c r="D59" s="5" t="s">
        <v>8</v>
      </c>
      <c r="E59" s="5" t="s">
        <v>9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44</v>
      </c>
      <c r="C60" s="6" t="str">
        <f aca="false">HYPERLINK("https://partner.tcgplayer.com/c/6278691/1780961/21018?u=https%3A%2F%2Fwww.tcgplayer.com%2Fproduct%2F589908%3Futm_source%3Dimpact%26utm_medium%3Daffiliate%26utm_campaign%3Dpoke%2Bcottage","Crocalor")</f>
        <v>Crocalor</v>
      </c>
      <c r="D60" s="5" t="s">
        <v>8</v>
      </c>
      <c r="E60" s="5" t="s">
        <v>11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45</v>
      </c>
      <c r="C61" s="6" t="str">
        <f aca="false">HYPERLINK("https://partner.tcgplayer.com/c/6278691/1780961/21018?u=https%3A%2F%2Fwww.tcgplayer.com%2Fproduct%2F590053%3Futm_source%3Dimpact%26utm_medium%3Daffiliate%26utm_campaign%3Dpoke%2Bcottage","Skeledirge")</f>
        <v>Skeledirge</v>
      </c>
      <c r="D61" s="5" t="s">
        <v>25</v>
      </c>
      <c r="E61" s="5" t="s">
        <v>17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45</v>
      </c>
      <c r="C62" s="6" t="str">
        <f aca="false">HYPERLINK("https://partner.tcgplayer.com/c/6278691/1780961/21018?u=https%3A%2F%2Fwww.tcgplayer.com%2Fproduct%2F590053%3Futm_source%3Dimpact%26utm_medium%3Daffiliate%26utm_campaign%3Dpoke%2Bcottage","Skeledirge")</f>
        <v>Skeledirge</v>
      </c>
      <c r="D62" s="5" t="s">
        <v>25</v>
      </c>
      <c r="E62" s="5" t="s">
        <v>11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46</v>
      </c>
      <c r="C63" s="6" t="str">
        <f aca="false">HYPERLINK("https://partner.tcgplayer.com/c/6278691/1780961/21018?u=https%3A%2F%2Fwww.tcgplayer.com%2Fproduct%2F589896%3Futm_source%3Dimpact%26utm_medium%3Daffiliate%26utm_campaign%3Dpoke%2Bcottage","Charcadet")</f>
        <v>Charcadet</v>
      </c>
      <c r="D63" s="5" t="s">
        <v>8</v>
      </c>
      <c r="E63" s="5" t="s">
        <v>9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46</v>
      </c>
      <c r="C64" s="6" t="str">
        <f aca="false">HYPERLINK("https://partner.tcgplayer.com/c/6278691/1780961/21018?u=https%3A%2F%2Fwww.tcgplayer.com%2Fproduct%2F589896%3Futm_source%3Dimpact%26utm_medium%3Daffiliate%26utm_campaign%3Dpoke%2Bcottage","Charcadet")</f>
        <v>Charcadet</v>
      </c>
      <c r="D64" s="5" t="s">
        <v>8</v>
      </c>
      <c r="E64" s="5" t="s">
        <v>11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47</v>
      </c>
      <c r="C65" s="6" t="str">
        <f aca="false">HYPERLINK("https://partner.tcgplayer.com/c/6278691/1780961/21018?u=https%3A%2F%2Fwww.tcgplayer.com%2Fproduct%2F589897%3Futm_source%3Dimpact%26utm_medium%3Daffiliate%26utm_campaign%3Dpoke%2Bcottage","Charcadet")</f>
        <v>Charcadet</v>
      </c>
      <c r="D65" s="5" t="s">
        <v>8</v>
      </c>
      <c r="E65" s="5" t="s">
        <v>9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47</v>
      </c>
      <c r="C66" s="6" t="str">
        <f aca="false">HYPERLINK("https://partner.tcgplayer.com/c/6278691/1780961/21018?u=https%3A%2F%2Fwww.tcgplayer.com%2Fproduct%2F589897%3Futm_source%3Dimpact%26utm_medium%3Daffiliate%26utm_campaign%3Dpoke%2Bcottage","Charcadet")</f>
        <v>Charcadet</v>
      </c>
      <c r="D66" s="5" t="s">
        <v>8</v>
      </c>
      <c r="E66" s="5" t="s">
        <v>11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48</v>
      </c>
      <c r="C67" s="6" t="str">
        <f aca="false">HYPERLINK("https://partner.tcgplayer.com/c/6278691/1780961/21018?u=https%3A%2F%2Fwww.tcgplayer.com%2Fproduct%2F589870%3Futm_source%3Dimpact%26utm_medium%3Daffiliate%26utm_campaign%3Dpoke%2Bcottage","Armarouge")</f>
        <v>Armarouge</v>
      </c>
      <c r="D67" s="5" t="s">
        <v>14</v>
      </c>
      <c r="E67" s="5" t="s">
        <v>9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48</v>
      </c>
      <c r="C68" s="6" t="str">
        <f aca="false">HYPERLINK("https://partner.tcgplayer.com/c/6278691/1780961/21018?u=https%3A%2F%2Fwww.tcgplayer.com%2Fproduct%2F589870%3Futm_source%3Dimpact%26utm_medium%3Daffiliate%26utm_campaign%3Dpoke%2Bcottage","Armarouge")</f>
        <v>Armarouge</v>
      </c>
      <c r="D68" s="5" t="s">
        <v>14</v>
      </c>
      <c r="E68" s="5" t="s">
        <v>11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49</v>
      </c>
      <c r="C69" s="6" t="str">
        <f aca="false">HYPERLINK("https://partner.tcgplayer.com/c/6278691/1780961/21018?u=https%3A%2F%2Fwww.tcgplayer.com%2Fproduct%2F589890%3Futm_source%3Dimpact%26utm_medium%3Daffiliate%26utm_campaign%3Dpoke%2Bcottage","Ceruledge")</f>
        <v>Ceruledge</v>
      </c>
      <c r="D69" s="5" t="s">
        <v>14</v>
      </c>
      <c r="E69" s="5" t="s">
        <v>9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49</v>
      </c>
      <c r="C70" s="6" t="str">
        <f aca="false">HYPERLINK("https://partner.tcgplayer.com/c/6278691/1780961/21018?u=https%3A%2F%2Fwww.tcgplayer.com%2Fproduct%2F589890%3Futm_source%3Dimpact%26utm_medium%3Daffiliate%26utm_campaign%3Dpoke%2Bcottage","Ceruledge")</f>
        <v>Ceruledge</v>
      </c>
      <c r="D70" s="5" t="s">
        <v>14</v>
      </c>
      <c r="E70" s="5" t="s">
        <v>11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50</v>
      </c>
      <c r="C71" s="6" t="str">
        <f aca="false">HYPERLINK("https://partner.tcgplayer.com/c/6278691/1780961/21018?u=https%3A%2F%2Fwww.tcgplayer.com%2Fproduct%2F589892%3Futm_source%3Dimpact%26utm_medium%3Daffiliate%26utm_campaign%3Dpoke%2Bcottage","Ceruledge ex")</f>
        <v>Ceruledge ex</v>
      </c>
      <c r="D71" s="5" t="s">
        <v>16</v>
      </c>
      <c r="E71" s="5" t="s">
        <v>17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51</v>
      </c>
      <c r="C72" s="6" t="str">
        <f aca="false">HYPERLINK("https://partner.tcgplayer.com/c/6278691/1780961/21018?u=https%3A%2F%2Fwww.tcgplayer.com%2Fproduct%2F590040%3Futm_source%3Dimpact%26utm_medium%3Daffiliate%26utm_campaign%3Dpoke%2Bcottage","Scovillain ex")</f>
        <v>Scovillain ex</v>
      </c>
      <c r="D72" s="5" t="s">
        <v>16</v>
      </c>
      <c r="E72" s="5" t="s">
        <v>17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52</v>
      </c>
      <c r="C73" s="6" t="str">
        <f aca="false">HYPERLINK("https://partner.tcgplayer.com/c/6278691/1780961/21018?u=https%3A%2F%2Fwww.tcgplayer.com%2Fproduct%2F589958%3Futm_source%3Dimpact%26utm_medium%3Daffiliate%26utm_campaign%3Dpoke%2Bcottage","Gouging Fire")</f>
        <v>Gouging Fire</v>
      </c>
      <c r="D73" s="5" t="s">
        <v>25</v>
      </c>
      <c r="E73" s="5" t="s">
        <v>17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52</v>
      </c>
      <c r="C74" s="6" t="str">
        <f aca="false">HYPERLINK("https://partner.tcgplayer.com/c/6278691/1780961/21018?u=https%3A%2F%2Fwww.tcgplayer.com%2Fproduct%2F589958%3Futm_source%3Dimpact%26utm_medium%3Daffiliate%26utm_campaign%3Dpoke%2Bcottage","Gouging Fire")</f>
        <v>Gouging Fire</v>
      </c>
      <c r="D74" s="5" t="s">
        <v>25</v>
      </c>
      <c r="E74" s="5" t="s">
        <v>11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53</v>
      </c>
      <c r="C75" s="6" t="str">
        <f aca="false">HYPERLINK("https://partner.tcgplayer.com/c/6278691/1780961/21018?u=https%3A%2F%2Fwww.tcgplayer.com%2Fproduct%2F590015%3Futm_source%3Dimpact%26utm_medium%3Daffiliate%26utm_campaign%3Dpoke%2Bcottage","Paldean Tauros")</f>
        <v>Paldean Tauros</v>
      </c>
      <c r="D75" s="5" t="s">
        <v>14</v>
      </c>
      <c r="E75" s="5" t="s">
        <v>9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53</v>
      </c>
      <c r="C76" s="6" t="str">
        <f aca="false">HYPERLINK("https://partner.tcgplayer.com/c/6278691/1780961/21018?u=https%3A%2F%2Fwww.tcgplayer.com%2Fproduct%2F590015%3Futm_source%3Dimpact%26utm_medium%3Daffiliate%26utm_campaign%3Dpoke%2Bcottage","Paldean Tauros")</f>
        <v>Paldean Tauros</v>
      </c>
      <c r="D76" s="5" t="s">
        <v>14</v>
      </c>
      <c r="E76" s="5" t="s">
        <v>11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54</v>
      </c>
      <c r="C77" s="6" t="str">
        <f aca="false">HYPERLINK("https://partner.tcgplayer.com/c/6278691/1780961/21018?u=https%3A%2F%2Fwww.tcgplayer.com%2Fproduct%2F589996%3Futm_source%3Dimpact%26utm_medium%3Daffiliate%26utm_campaign%3Dpoke%2Bcottage","Mantine")</f>
        <v>Mantine</v>
      </c>
      <c r="D77" s="5" t="s">
        <v>8</v>
      </c>
      <c r="E77" s="5" t="s">
        <v>9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54</v>
      </c>
      <c r="C78" s="6" t="str">
        <f aca="false">HYPERLINK("https://partner.tcgplayer.com/c/6278691/1780961/21018?u=https%3A%2F%2Fwww.tcgplayer.com%2Fproduct%2F589996%3Futm_source%3Dimpact%26utm_medium%3Daffiliate%26utm_campaign%3Dpoke%2Bcottage","Mantine")</f>
        <v>Mantine</v>
      </c>
      <c r="D78" s="5" t="s">
        <v>8</v>
      </c>
      <c r="E78" s="5" t="s">
        <v>11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55</v>
      </c>
      <c r="C79" s="6" t="str">
        <f aca="false">HYPERLINK("https://partner.tcgplayer.com/c/6278691/1780961/21018?u=https%3A%2F%2Fwww.tcgplayer.com%2Fproduct%2F589943%3Futm_source%3Dimpact%26utm_medium%3Daffiliate%26utm_campaign%3Dpoke%2Bcottage","Feebas")</f>
        <v>Feebas</v>
      </c>
      <c r="D79" s="5" t="s">
        <v>8</v>
      </c>
      <c r="E79" s="5" t="s">
        <v>9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55</v>
      </c>
      <c r="C80" s="6" t="str">
        <f aca="false">HYPERLINK("https://partner.tcgplayer.com/c/6278691/1780961/21018?u=https%3A%2F%2Fwww.tcgplayer.com%2Fproduct%2F589943%3Futm_source%3Dimpact%26utm_medium%3Daffiliate%26utm_campaign%3Dpoke%2Bcottage","Feebas")</f>
        <v>Feebas</v>
      </c>
      <c r="D80" s="5" t="s">
        <v>8</v>
      </c>
      <c r="E80" s="5" t="s">
        <v>11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56</v>
      </c>
      <c r="C81" s="6" t="str">
        <f aca="false">HYPERLINK("https://partner.tcgplayer.com/c/6278691/1780961/21018?u=https%3A%2F%2Fwww.tcgplayer.com%2Fproduct%2F590004%3Futm_source%3Dimpact%26utm_medium%3Daffiliate%26utm_campaign%3Dpoke%2Bcottage","Milotic ex")</f>
        <v>Milotic ex</v>
      </c>
      <c r="D81" s="5" t="s">
        <v>16</v>
      </c>
      <c r="E81" s="5" t="s">
        <v>17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57</v>
      </c>
      <c r="C82" s="6" t="str">
        <f aca="false">HYPERLINK("https://partner.tcgplayer.com/c/6278691/1780961/21018?u=https%3A%2F%2Fwww.tcgplayer.com%2Fproduct%2F590062%3Futm_source%3Dimpact%26utm_medium%3Daffiliate%26utm_campaign%3Dpoke%2Bcottage","Spheal")</f>
        <v>Spheal</v>
      </c>
      <c r="D82" s="5" t="s">
        <v>8</v>
      </c>
      <c r="E82" s="5" t="s">
        <v>9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57</v>
      </c>
      <c r="C83" s="6" t="str">
        <f aca="false">HYPERLINK("https://partner.tcgplayer.com/c/6278691/1780961/21018?u=https%3A%2F%2Fwww.tcgplayer.com%2Fproduct%2F590062%3Futm_source%3Dimpact%26utm_medium%3Daffiliate%26utm_campaign%3Dpoke%2Bcottage","Spheal")</f>
        <v>Spheal</v>
      </c>
      <c r="D83" s="5" t="s">
        <v>8</v>
      </c>
      <c r="E83" s="5" t="s">
        <v>11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58</v>
      </c>
      <c r="C84" s="6" t="str">
        <f aca="false">HYPERLINK("https://partner.tcgplayer.com/c/6278691/1780961/21018?u=https%3A%2F%2Fwww.tcgplayer.com%2Fproduct%2F590043%3Futm_source%3Dimpact%26utm_medium%3Daffiliate%26utm_campaign%3Dpoke%2Bcottage","Sealeo")</f>
        <v>Sealeo</v>
      </c>
      <c r="D84" s="5" t="s">
        <v>8</v>
      </c>
      <c r="E84" s="5" t="s">
        <v>9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58</v>
      </c>
      <c r="C85" s="6" t="str">
        <f aca="false">HYPERLINK("https://partner.tcgplayer.com/c/6278691/1780961/21018?u=https%3A%2F%2Fwww.tcgplayer.com%2Fproduct%2F590043%3Futm_source%3Dimpact%26utm_medium%3Daffiliate%26utm_campaign%3Dpoke%2Bcottage","Sealeo")</f>
        <v>Sealeo</v>
      </c>
      <c r="D85" s="5" t="s">
        <v>8</v>
      </c>
      <c r="E85" s="5" t="s">
        <v>11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59</v>
      </c>
      <c r="C86" s="6" t="str">
        <f aca="false">HYPERLINK("https://partner.tcgplayer.com/c/6278691/1780961/21018?u=https%3A%2F%2Fwww.tcgplayer.com%2Fproduct%2F590093%3Futm_source%3Dimpact%26utm_medium%3Daffiliate%26utm_campaign%3Dpoke%2Bcottage","Walrein")</f>
        <v>Walrein</v>
      </c>
      <c r="D86" s="5" t="s">
        <v>14</v>
      </c>
      <c r="E86" s="5" t="s">
        <v>9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59</v>
      </c>
      <c r="C87" s="6" t="str">
        <f aca="false">HYPERLINK("https://partner.tcgplayer.com/c/6278691/1780961/21018?u=https%3A%2F%2Fwww.tcgplayer.com%2Fproduct%2F590093%3Futm_source%3Dimpact%26utm_medium%3Daffiliate%26utm_campaign%3Dpoke%2Bcottage","Walrein")</f>
        <v>Walrein</v>
      </c>
      <c r="D87" s="5" t="s">
        <v>14</v>
      </c>
      <c r="E87" s="5" t="s">
        <v>11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60</v>
      </c>
      <c r="C88" s="6" t="str">
        <f aca="false">HYPERLINK("https://partner.tcgplayer.com/c/6278691/1780961/21018?u=https%3A%2F%2Fwww.tcgplayer.com%2Fproduct%2F590044%3Futm_source%3Dimpact%26utm_medium%3Daffiliate%26utm_campaign%3Dpoke%2Bcottage","Shellos")</f>
        <v>Shellos</v>
      </c>
      <c r="D88" s="5" t="s">
        <v>8</v>
      </c>
      <c r="E88" s="5" t="s">
        <v>9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60</v>
      </c>
      <c r="C89" s="6" t="str">
        <f aca="false">HYPERLINK("https://partner.tcgplayer.com/c/6278691/1780961/21018?u=https%3A%2F%2Fwww.tcgplayer.com%2Fproduct%2F590044%3Futm_source%3Dimpact%26utm_medium%3Daffiliate%26utm_campaign%3Dpoke%2Bcottage","Shellos")</f>
        <v>Shellos</v>
      </c>
      <c r="D89" s="5" t="s">
        <v>8</v>
      </c>
      <c r="E89" s="5" t="s">
        <v>11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HYPERLINK("https://partner.tcgplayer.com/c/6278691/1780961/21018?u=https%3A%2F%2Fwww.tcgplayer.com%2Fproduct%2F589909%3Futm_source%3Dimpact%26utm_medium%3Daffiliate%26utm_campaign%3Dpoke%2Bcottage","Cryogonal")</f>
        <v>Cryogonal</v>
      </c>
      <c r="D90" s="5" t="s">
        <v>8</v>
      </c>
      <c r="E90" s="5" t="s">
        <v>9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61</v>
      </c>
      <c r="C91" s="6" t="str">
        <f aca="false">HYPERLINK("https://partner.tcgplayer.com/c/6278691/1780961/21018?u=https%3A%2F%2Fwww.tcgplayer.com%2Fproduct%2F589909%3Futm_source%3Dimpact%26utm_medium%3Daffiliate%26utm_campaign%3Dpoke%2Bcottage","Cryogonal")</f>
        <v>Cryogonal</v>
      </c>
      <c r="D91" s="5" t="s">
        <v>8</v>
      </c>
      <c r="E91" s="5" t="s">
        <v>11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HYPERLINK("https://partner.tcgplayer.com/c/6278691/1780961/21018?u=https%3A%2F%2Fwww.tcgplayer.com%2Fproduct%2F589874%3Futm_source%3Dimpact%26utm_medium%3Daffiliate%26utm_campaign%3Dpoke%2Bcottage","Black Kyurem ex")</f>
        <v>Black Kyurem ex</v>
      </c>
      <c r="D92" s="5" t="s">
        <v>16</v>
      </c>
      <c r="E92" s="5" t="s">
        <v>17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63</v>
      </c>
      <c r="C93" s="6" t="str">
        <f aca="false">HYPERLINK("https://partner.tcgplayer.com/c/6278691/1780961/21018?u=https%3A%2F%2Fwww.tcgplayer.com%2Fproduct%2F589883%3Futm_source%3Dimpact%26utm_medium%3Daffiliate%26utm_campaign%3Dpoke%2Bcottage","Bruxish")</f>
        <v>Bruxish</v>
      </c>
      <c r="D93" s="5" t="s">
        <v>14</v>
      </c>
      <c r="E93" s="5" t="s">
        <v>9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HYPERLINK("https://partner.tcgplayer.com/c/6278691/1780961/21018?u=https%3A%2F%2Fwww.tcgplayer.com%2Fproduct%2F589883%3Futm_source%3Dimpact%26utm_medium%3Daffiliate%26utm_campaign%3Dpoke%2Bcottage","Bruxish")</f>
        <v>Bruxish</v>
      </c>
      <c r="D94" s="5" t="s">
        <v>14</v>
      </c>
      <c r="E94" s="5" t="s">
        <v>11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64</v>
      </c>
      <c r="C95" s="6" t="str">
        <f aca="false">HYPERLINK("https://partner.tcgplayer.com/c/6278691/1780961/21018?u=https%3A%2F%2Fwww.tcgplayer.com%2Fproduct%2F590031%3Futm_source%3Dimpact%26utm_medium%3Daffiliate%26utm_campaign%3Dpoke%2Bcottage","Quaxly")</f>
        <v>Quaxly</v>
      </c>
      <c r="D95" s="5" t="s">
        <v>8</v>
      </c>
      <c r="E95" s="5" t="s">
        <v>9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64</v>
      </c>
      <c r="C96" s="6" t="str">
        <f aca="false">HYPERLINK("https://partner.tcgplayer.com/c/6278691/1780961/21018?u=https%3A%2F%2Fwww.tcgplayer.com%2Fproduct%2F590031%3Futm_source%3Dimpact%26utm_medium%3Daffiliate%26utm_campaign%3Dpoke%2Bcottage","Quaxly")</f>
        <v>Quaxly</v>
      </c>
      <c r="D96" s="5" t="s">
        <v>8</v>
      </c>
      <c r="E96" s="5" t="s">
        <v>11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65</v>
      </c>
      <c r="C97" s="6" t="str">
        <f aca="false">HYPERLINK("https://partner.tcgplayer.com/c/6278691/1780961/21018?u=https%3A%2F%2Fwww.tcgplayer.com%2Fproduct%2F590032%3Futm_source%3Dimpact%26utm_medium%3Daffiliate%26utm_campaign%3Dpoke%2Bcottage","Quaxwell")</f>
        <v>Quaxwell</v>
      </c>
      <c r="D97" s="5" t="s">
        <v>8</v>
      </c>
      <c r="E97" s="5" t="s">
        <v>9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65</v>
      </c>
      <c r="C98" s="6" t="str">
        <f aca="false">HYPERLINK("https://partner.tcgplayer.com/c/6278691/1780961/21018?u=https%3A%2F%2Fwww.tcgplayer.com%2Fproduct%2F590032%3Futm_source%3Dimpact%26utm_medium%3Daffiliate%26utm_campaign%3Dpoke%2Bcottage","Quaxwell")</f>
        <v>Quaxwell</v>
      </c>
      <c r="D98" s="5" t="s">
        <v>8</v>
      </c>
      <c r="E98" s="5" t="s">
        <v>11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66</v>
      </c>
      <c r="C99" s="6" t="str">
        <f aca="false">HYPERLINK("https://partner.tcgplayer.com/c/6278691/1780961/21018?u=https%3A%2F%2Fwww.tcgplayer.com%2Fproduct%2F590030%3Futm_source%3Dimpact%26utm_medium%3Daffiliate%26utm_campaign%3Dpoke%2Bcottage","Quaquaval")</f>
        <v>Quaquaval</v>
      </c>
      <c r="D99" s="5" t="s">
        <v>14</v>
      </c>
      <c r="E99" s="5" t="s">
        <v>9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66</v>
      </c>
      <c r="C100" s="6" t="str">
        <f aca="false">HYPERLINK("https://partner.tcgplayer.com/c/6278691/1780961/21018?u=https%3A%2F%2Fwww.tcgplayer.com%2Fproduct%2F590030%3Futm_source%3Dimpact%26utm_medium%3Daffiliate%26utm_campaign%3Dpoke%2Bcottage","Quaquaval")</f>
        <v>Quaquaval</v>
      </c>
      <c r="D100" s="5" t="s">
        <v>14</v>
      </c>
      <c r="E100" s="5" t="s">
        <v>11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67</v>
      </c>
      <c r="C101" s="6" t="str">
        <f aca="false">HYPERLINK("https://partner.tcgplayer.com/c/6278691/1780961/21018?u=https%3A%2F%2Fwww.tcgplayer.com%2Fproduct%2F589895%3Futm_source%3Dimpact%26utm_medium%3Daffiliate%26utm_campaign%3Dpoke%2Bcottage","Cetoddle")</f>
        <v>Cetoddle</v>
      </c>
      <c r="D101" s="5" t="s">
        <v>8</v>
      </c>
      <c r="E101" s="5" t="s">
        <v>9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67</v>
      </c>
      <c r="C102" s="6" t="str">
        <f aca="false">HYPERLINK("https://partner.tcgplayer.com/c/6278691/1780961/21018?u=https%3A%2F%2Fwww.tcgplayer.com%2Fproduct%2F589895%3Futm_source%3Dimpact%26utm_medium%3Daffiliate%26utm_campaign%3Dpoke%2Bcottage","Cetoddle")</f>
        <v>Cetoddle</v>
      </c>
      <c r="D102" s="5" t="s">
        <v>8</v>
      </c>
      <c r="E102" s="5" t="s">
        <v>11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68</v>
      </c>
      <c r="C103" s="6" t="str">
        <f aca="false">HYPERLINK("https://partner.tcgplayer.com/c/6278691/1780961/21018?u=https%3A%2F%2Fwww.tcgplayer.com%2Fproduct%2F589893%3Futm_source%3Dimpact%26utm_medium%3Daffiliate%26utm_campaign%3Dpoke%2Bcottage","Cetitan")</f>
        <v>Cetitan</v>
      </c>
      <c r="D103" s="5" t="s">
        <v>8</v>
      </c>
      <c r="E103" s="5" t="s">
        <v>9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68</v>
      </c>
      <c r="C104" s="6" t="str">
        <f aca="false">HYPERLINK("https://partner.tcgplayer.com/c/6278691/1780961/21018?u=https%3A%2F%2Fwww.tcgplayer.com%2Fproduct%2F589893%3Futm_source%3Dimpact%26utm_medium%3Daffiliate%26utm_campaign%3Dpoke%2Bcottage","Cetitan")</f>
        <v>Cetitan</v>
      </c>
      <c r="D104" s="5" t="s">
        <v>8</v>
      </c>
      <c r="E104" s="5" t="s">
        <v>11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69</v>
      </c>
      <c r="C105" s="6" t="str">
        <f aca="false">HYPERLINK("https://partner.tcgplayer.com/c/6278691/1780961/21018?u=https%3A%2F%2Fwww.tcgplayer.com%2Fproduct%2F589969%3Futm_source%3Dimpact%26utm_medium%3Daffiliate%26utm_campaign%3Dpoke%2Bcottage","Iron Bundle")</f>
        <v>Iron Bundle</v>
      </c>
      <c r="D105" s="5" t="s">
        <v>14</v>
      </c>
      <c r="E105" s="5" t="s">
        <v>9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69</v>
      </c>
      <c r="C106" s="6" t="str">
        <f aca="false">HYPERLINK("https://partner.tcgplayer.com/c/6278691/1780961/21018?u=https%3A%2F%2Fwww.tcgplayer.com%2Fproduct%2F589969%3Futm_source%3Dimpact%26utm_medium%3Daffiliate%26utm_campaign%3Dpoke%2Bcottage","Iron Bundle")</f>
        <v>Iron Bundle</v>
      </c>
      <c r="D106" s="5" t="s">
        <v>14</v>
      </c>
      <c r="E106" s="5" t="s">
        <v>11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70</v>
      </c>
      <c r="C107" s="6" t="str">
        <f aca="false">HYPERLINK("https://partner.tcgplayer.com/c/6278691/1780961/21018?u=https%3A%2F%2Fwww.tcgplayer.com%2Fproduct%2F589898%3Futm_source%3Dimpact%26utm_medium%3Daffiliate%26utm_campaign%3Dpoke%2Bcottage","Chien-Pao")</f>
        <v>Chien-Pao</v>
      </c>
      <c r="D107" s="5" t="s">
        <v>25</v>
      </c>
      <c r="E107" s="5" t="s">
        <v>17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70</v>
      </c>
      <c r="C108" s="6" t="str">
        <f aca="false">HYPERLINK("https://partner.tcgplayer.com/c/6278691/1780961/21018?u=https%3A%2F%2Fwww.tcgplayer.com%2Fproduct%2F589898%3Futm_source%3Dimpact%26utm_medium%3Daffiliate%26utm_campaign%3Dpoke%2Bcottage","Chien-Pao")</f>
        <v>Chien-Pao</v>
      </c>
      <c r="D108" s="5" t="s">
        <v>25</v>
      </c>
      <c r="E108" s="5" t="s">
        <v>11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71</v>
      </c>
      <c r="C109" s="6" t="str">
        <f aca="false">HYPERLINK("https://partner.tcgplayer.com/c/6278691/1780961/21018?u=https%3A%2F%2Fwww.tcgplayer.com%2Fproduct%2F590025%3Futm_source%3Dimpact%26utm_medium%3Daffiliate%26utm_campaign%3Dpoke%2Bcottage","Pikachu ex")</f>
        <v>Pikachu ex</v>
      </c>
      <c r="D109" s="5" t="s">
        <v>16</v>
      </c>
      <c r="E109" s="5" t="s">
        <v>17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72</v>
      </c>
      <c r="C110" s="6" t="str">
        <f aca="false">HYPERLINK("https://partner.tcgplayer.com/c/6278691/1780961/21018?u=https%3A%2F%2Fwww.tcgplayer.com%2Fproduct%2F589992%3Futm_source%3Dimpact%26utm_medium%3Daffiliate%26utm_campaign%3Dpoke%2Bcottage","Magnemite")</f>
        <v>Magnemite</v>
      </c>
      <c r="D110" s="5" t="s">
        <v>8</v>
      </c>
      <c r="E110" s="5" t="s">
        <v>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72</v>
      </c>
      <c r="C111" s="6" t="str">
        <f aca="false">HYPERLINK("https://partner.tcgplayer.com/c/6278691/1780961/21018?u=https%3A%2F%2Fwww.tcgplayer.com%2Fproduct%2F589992%3Futm_source%3Dimpact%26utm_medium%3Daffiliate%26utm_campaign%3Dpoke%2Bcottage","Magnemite")</f>
        <v>Magnemite</v>
      </c>
      <c r="D111" s="5" t="s">
        <v>8</v>
      </c>
      <c r="E111" s="5" t="s">
        <v>11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73</v>
      </c>
      <c r="C112" s="6" t="str">
        <f aca="false">HYPERLINK("https://partner.tcgplayer.com/c/6278691/1780961/21018?u=https%3A%2F%2Fwww.tcgplayer.com%2Fproduct%2F589993%3Futm_source%3Dimpact%26utm_medium%3Daffiliate%26utm_campaign%3Dpoke%2Bcottage","Magneton")</f>
        <v>Magneton</v>
      </c>
      <c r="D112" s="5" t="s">
        <v>14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73</v>
      </c>
      <c r="C113" s="6" t="str">
        <f aca="false">HYPERLINK("https://partner.tcgplayer.com/c/6278691/1780961/21018?u=https%3A%2F%2Fwww.tcgplayer.com%2Fproduct%2F589993%3Futm_source%3Dimpact%26utm_medium%3Daffiliate%26utm_campaign%3Dpoke%2Bcottage","Magneton")</f>
        <v>Magneton</v>
      </c>
      <c r="D113" s="5" t="s">
        <v>14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74</v>
      </c>
      <c r="C114" s="6" t="str">
        <f aca="false">HYPERLINK("https://partner.tcgplayer.com/c/6278691/1780961/21018?u=https%3A%2F%2Fwww.tcgplayer.com%2Fproduct%2F589994%3Futm_source%3Dimpact%26utm_medium%3Daffiliate%26utm_campaign%3Dpoke%2Bcottage","Magnezone")</f>
        <v>Magnezone</v>
      </c>
      <c r="D114" s="5" t="s">
        <v>14</v>
      </c>
      <c r="E114" s="5" t="s">
        <v>9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74</v>
      </c>
      <c r="C115" s="6" t="str">
        <f aca="false">HYPERLINK("https://partner.tcgplayer.com/c/6278691/1780961/21018?u=https%3A%2F%2Fwww.tcgplayer.com%2Fproduct%2F589994%3Futm_source%3Dimpact%26utm_medium%3Daffiliate%26utm_campaign%3Dpoke%2Bcottage","Magnezone")</f>
        <v>Magnezone</v>
      </c>
      <c r="D115" s="5" t="s">
        <v>14</v>
      </c>
      <c r="E115" s="5" t="s">
        <v>11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75</v>
      </c>
      <c r="C116" s="6" t="str">
        <f aca="false">HYPERLINK("https://partner.tcgplayer.com/c/6278691/1780961/21018?u=https%3A%2F%2Fwww.tcgplayer.com%2Fproduct%2F590036%3Futm_source%3Dimpact%26utm_medium%3Daffiliate%26utm_campaign%3Dpoke%2Bcottage","Rotom")</f>
        <v>Rotom</v>
      </c>
      <c r="D116" s="5" t="s">
        <v>8</v>
      </c>
      <c r="E116" s="5" t="s">
        <v>9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75</v>
      </c>
      <c r="C117" s="6" t="str">
        <f aca="false">HYPERLINK("https://partner.tcgplayer.com/c/6278691/1780961/21018?u=https%3A%2F%2Fwww.tcgplayer.com%2Fproduct%2F590036%3Futm_source%3Dimpact%26utm_medium%3Daffiliate%26utm_campaign%3Dpoke%2Bcottage","Rotom")</f>
        <v>Rotom</v>
      </c>
      <c r="D117" s="5" t="s">
        <v>8</v>
      </c>
      <c r="E117" s="5" t="s">
        <v>11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76</v>
      </c>
      <c r="C118" s="6" t="str">
        <f aca="false">HYPERLINK("https://partner.tcgplayer.com/c/6278691/1780961/21018?u=https%3A%2F%2Fwww.tcgplayer.com%2Fproduct%2F589876%3Futm_source%3Dimpact%26utm_medium%3Daffiliate%26utm_campaign%3Dpoke%2Bcottage","Blitzle")</f>
        <v>Blitzle</v>
      </c>
      <c r="D118" s="5" t="s">
        <v>8</v>
      </c>
      <c r="E118" s="5" t="s">
        <v>9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76</v>
      </c>
      <c r="C119" s="6" t="str">
        <f aca="false">HYPERLINK("https://partner.tcgplayer.com/c/6278691/1780961/21018?u=https%3A%2F%2Fwww.tcgplayer.com%2Fproduct%2F589876%3Futm_source%3Dimpact%26utm_medium%3Daffiliate%26utm_campaign%3Dpoke%2Bcottage","Blitzle")</f>
        <v>Blitzle</v>
      </c>
      <c r="D119" s="5" t="s">
        <v>8</v>
      </c>
      <c r="E119" s="5" t="s">
        <v>11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77</v>
      </c>
      <c r="C120" s="6" t="str">
        <f aca="false">HYPERLINK("https://partner.tcgplayer.com/c/6278691/1780961/21018?u=https%3A%2F%2Fwww.tcgplayer.com%2Fproduct%2F590100%3Futm_source%3Dimpact%26utm_medium%3Daffiliate%26utm_campaign%3Dpoke%2Bcottage","Zebstrika")</f>
        <v>Zebstrika</v>
      </c>
      <c r="D120" s="5" t="s">
        <v>8</v>
      </c>
      <c r="E120" s="5" t="s">
        <v>9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77</v>
      </c>
      <c r="C121" s="6" t="str">
        <f aca="false">HYPERLINK("https://partner.tcgplayer.com/c/6278691/1780961/21018?u=https%3A%2F%2Fwww.tcgplayer.com%2Fproduct%2F590100%3Futm_source%3Dimpact%26utm_medium%3Daffiliate%26utm_campaign%3Dpoke%2Bcottage","Zebstrika")</f>
        <v>Zebstrika</v>
      </c>
      <c r="D121" s="5" t="s">
        <v>8</v>
      </c>
      <c r="E121" s="5" t="s">
        <v>11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78</v>
      </c>
      <c r="C122" s="6" t="str">
        <f aca="false">HYPERLINK("https://partner.tcgplayer.com/c/6278691/1780961/21018?u=https%3A%2F%2Fwww.tcgplayer.com%2Fproduct%2F590064%3Futm_source%3Dimpact%26utm_medium%3Daffiliate%26utm_campaign%3Dpoke%2Bcottage","Stunfisk")</f>
        <v>Stunfisk</v>
      </c>
      <c r="D122" s="5" t="s">
        <v>8</v>
      </c>
      <c r="E122" s="5" t="s">
        <v>9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78</v>
      </c>
      <c r="C123" s="6" t="str">
        <f aca="false">HYPERLINK("https://partner.tcgplayer.com/c/6278691/1780961/21018?u=https%3A%2F%2Fwww.tcgplayer.com%2Fproduct%2F590064%3Futm_source%3Dimpact%26utm_medium%3Daffiliate%26utm_campaign%3Dpoke%2Bcottage","Stunfisk")</f>
        <v>Stunfisk</v>
      </c>
      <c r="D123" s="5" t="s">
        <v>8</v>
      </c>
      <c r="E123" s="5" t="s">
        <v>11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79</v>
      </c>
      <c r="C124" s="6" t="str">
        <f aca="false">HYPERLINK("https://partner.tcgplayer.com/c/6278691/1780961/21018?u=https%3A%2F%2Fwww.tcgplayer.com%2Fproduct%2F590071%3Futm_source%3Dimpact%26utm_medium%3Daffiliate%26utm_campaign%3Dpoke%2Bcottage","Tapu Koko")</f>
        <v>Tapu Koko</v>
      </c>
      <c r="D124" s="5" t="s">
        <v>25</v>
      </c>
      <c r="E124" s="5" t="s">
        <v>17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79</v>
      </c>
      <c r="C125" s="6" t="str">
        <f aca="false">HYPERLINK("https://partner.tcgplayer.com/c/6278691/1780961/21018?u=https%3A%2F%2Fwww.tcgplayer.com%2Fproduct%2F590071%3Futm_source%3Dimpact%26utm_medium%3Daffiliate%26utm_campaign%3Dpoke%2Bcottage","Tapu Koko")</f>
        <v>Tapu Koko</v>
      </c>
      <c r="D125" s="5" t="s">
        <v>25</v>
      </c>
      <c r="E125" s="5" t="s">
        <v>11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80</v>
      </c>
      <c r="C126" s="6" t="str">
        <f aca="false">HYPERLINK("https://partner.tcgplayer.com/c/6278691/1780961/21018?u=https%3A%2F%2Fwww.tcgplayer.com%2Fproduct%2F590094%3Futm_source%3Dimpact%26utm_medium%3Daffiliate%26utm_campaign%3Dpoke%2Bcottage","Wattrel")</f>
        <v>Wattrel</v>
      </c>
      <c r="D126" s="5" t="s">
        <v>8</v>
      </c>
      <c r="E126" s="5" t="s">
        <v>9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80</v>
      </c>
      <c r="C127" s="6" t="str">
        <f aca="false">HYPERLINK("https://partner.tcgplayer.com/c/6278691/1780961/21018?u=https%3A%2F%2Fwww.tcgplayer.com%2Fproduct%2F590094%3Futm_source%3Dimpact%26utm_medium%3Daffiliate%26utm_campaign%3Dpoke%2Bcottage","Wattrel")</f>
        <v>Wattrel</v>
      </c>
      <c r="D127" s="5" t="s">
        <v>8</v>
      </c>
      <c r="E127" s="5" t="s">
        <v>11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81</v>
      </c>
      <c r="C128" s="6" t="str">
        <f aca="false">HYPERLINK("https://partner.tcgplayer.com/c/6278691/1780961/21018?u=https%3A%2F%2Fwww.tcgplayer.com%2Fproduct%2F589976%3Futm_source%3Dimpact%26utm_medium%3Daffiliate%26utm_campaign%3Dpoke%2Bcottage","Kilowattrel")</f>
        <v>Kilowattrel</v>
      </c>
      <c r="D128" s="5" t="s">
        <v>14</v>
      </c>
      <c r="E128" s="5" t="s">
        <v>9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81</v>
      </c>
      <c r="C129" s="6" t="str">
        <f aca="false">HYPERLINK("https://partner.tcgplayer.com/c/6278691/1780961/21018?u=https%3A%2F%2Fwww.tcgplayer.com%2Fproduct%2F589976%3Futm_source%3Dimpact%26utm_medium%3Daffiliate%26utm_campaign%3Dpoke%2Bcottage","Kilowattrel")</f>
        <v>Kilowattrel</v>
      </c>
      <c r="D129" s="5" t="s">
        <v>14</v>
      </c>
      <c r="E129" s="5" t="s">
        <v>11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82</v>
      </c>
      <c r="C130" s="6" t="str">
        <f aca="false">HYPERLINK("https://partner.tcgplayer.com/c/6278691/1780961/21018?u=https%3A%2F%2Fwww.tcgplayer.com%2Fproduct%2F589977%3Futm_source%3Dimpact%26utm_medium%3Daffiliate%26utm_campaign%3Dpoke%2Bcottage","Kilowattrel ex")</f>
        <v>Kilowattrel ex</v>
      </c>
      <c r="D130" s="5" t="s">
        <v>16</v>
      </c>
      <c r="E130" s="5" t="s">
        <v>17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83</v>
      </c>
      <c r="C131" s="6" t="str">
        <f aca="false">HYPERLINK("https://partner.tcgplayer.com/c/6278691/1780961/21018?u=https%3A%2F%2Fwww.tcgplayer.com%2Fproduct%2F590008%3Futm_source%3Dimpact%26utm_medium%3Daffiliate%26utm_campaign%3Dpoke%2Bcottage","Miraidon")</f>
        <v>Miraidon</v>
      </c>
      <c r="D131" s="5" t="s">
        <v>14</v>
      </c>
      <c r="E131" s="5" t="s">
        <v>9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83</v>
      </c>
      <c r="C132" s="6" t="str">
        <f aca="false">HYPERLINK("https://partner.tcgplayer.com/c/6278691/1780961/21018?u=https%3A%2F%2Fwww.tcgplayer.com%2Fproduct%2F590008%3Futm_source%3Dimpact%26utm_medium%3Daffiliate%26utm_campaign%3Dpoke%2Bcottage","Miraidon")</f>
        <v>Miraidon</v>
      </c>
      <c r="D132" s="5" t="s">
        <v>14</v>
      </c>
      <c r="E132" s="5" t="s">
        <v>11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84</v>
      </c>
      <c r="C133" s="6" t="str">
        <f aca="false">HYPERLINK("https://partner.tcgplayer.com/c/6278691/1780961/21018?u=https%3A%2F%2Fwww.tcgplayer.com%2Fproduct%2F590079%3Futm_source%3Dimpact%26utm_medium%3Daffiliate%26utm_campaign%3Dpoke%2Bcottage","Togepi")</f>
        <v>Togepi</v>
      </c>
      <c r="D133" s="5" t="s">
        <v>8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84</v>
      </c>
      <c r="C134" s="6" t="str">
        <f aca="false">HYPERLINK("https://partner.tcgplayer.com/c/6278691/1780961/21018?u=https%3A%2F%2Fwww.tcgplayer.com%2Fproduct%2F590079%3Futm_source%3Dimpact%26utm_medium%3Daffiliate%26utm_campaign%3Dpoke%2Bcottage","Togepi")</f>
        <v>Togepi</v>
      </c>
      <c r="D134" s="5" t="s">
        <v>8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85</v>
      </c>
      <c r="C135" s="6" t="str">
        <f aca="false">HYPERLINK("https://partner.tcgplayer.com/c/6278691/1780961/21018?u=https%3A%2F%2Fwww.tcgplayer.com%2Fproduct%2F590080%3Futm_source%3Dimpact%26utm_medium%3Daffiliate%26utm_campaign%3Dpoke%2Bcottage","Togetic")</f>
        <v>Togetic</v>
      </c>
      <c r="D135" s="5" t="s">
        <v>8</v>
      </c>
      <c r="E135" s="5" t="s">
        <v>9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85</v>
      </c>
      <c r="C136" s="6" t="str">
        <f aca="false">HYPERLINK("https://partner.tcgplayer.com/c/6278691/1780961/21018?u=https%3A%2F%2Fwww.tcgplayer.com%2Fproduct%2F590080%3Futm_source%3Dimpact%26utm_medium%3Daffiliate%26utm_campaign%3Dpoke%2Bcottage","Togetic")</f>
        <v>Togetic</v>
      </c>
      <c r="D136" s="5" t="s">
        <v>8</v>
      </c>
      <c r="E136" s="5" t="s">
        <v>11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86</v>
      </c>
      <c r="C137" s="6" t="str">
        <f aca="false">HYPERLINK("https://partner.tcgplayer.com/c/6278691/1780961/21018?u=https%3A%2F%2Fwww.tcgplayer.com%2Fproduct%2F590078%3Futm_source%3Dimpact%26utm_medium%3Daffiliate%26utm_campaign%3Dpoke%2Bcottage","Togekiss")</f>
        <v>Togekiss</v>
      </c>
      <c r="D137" s="5" t="s">
        <v>25</v>
      </c>
      <c r="E137" s="5" t="s">
        <v>17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86</v>
      </c>
      <c r="C138" s="6" t="str">
        <f aca="false">HYPERLINK("https://partner.tcgplayer.com/c/6278691/1780961/21018?u=https%3A%2F%2Fwww.tcgplayer.com%2Fproduct%2F590078%3Futm_source%3Dimpact%26utm_medium%3Daffiliate%26utm_campaign%3Dpoke%2Bcottage","Togekiss")</f>
        <v>Togekiss</v>
      </c>
      <c r="D138" s="5" t="s">
        <v>25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87</v>
      </c>
      <c r="C139" s="6" t="str">
        <f aca="false">HYPERLINK("https://partner.tcgplayer.com/c/6278691/1780961/21018?u=https%3A%2F%2Fwww.tcgplayer.com%2Fproduct%2F589997%3Futm_source%3Dimpact%26utm_medium%3Daffiliate%26utm_campaign%3Dpoke%2Bcottage","Marill")</f>
        <v>Marill</v>
      </c>
      <c r="D139" s="5" t="s">
        <v>8</v>
      </c>
      <c r="E139" s="5" t="s">
        <v>9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87</v>
      </c>
      <c r="C140" s="6" t="str">
        <f aca="false">HYPERLINK("https://partner.tcgplayer.com/c/6278691/1780961/21018?u=https%3A%2F%2Fwww.tcgplayer.com%2Fproduct%2F589997%3Futm_source%3Dimpact%26utm_medium%3Daffiliate%26utm_campaign%3Dpoke%2Bcottage","Marill")</f>
        <v>Marill</v>
      </c>
      <c r="D140" s="5" t="s">
        <v>8</v>
      </c>
      <c r="E140" s="5" t="s">
        <v>11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88</v>
      </c>
      <c r="C141" s="6" t="str">
        <f aca="false">HYPERLINK("https://partner.tcgplayer.com/c/6278691/1780961/21018?u=https%3A%2F%2Fwww.tcgplayer.com%2Fproduct%2F589872%3Futm_source%3Dimpact%26utm_medium%3Daffiliate%26utm_campaign%3Dpoke%2Bcottage","Azumarill")</f>
        <v>Azumarill</v>
      </c>
      <c r="D141" s="5" t="s">
        <v>14</v>
      </c>
      <c r="E141" s="5" t="s">
        <v>9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88</v>
      </c>
      <c r="C142" s="6" t="str">
        <f aca="false">HYPERLINK("https://partner.tcgplayer.com/c/6278691/1780961/21018?u=https%3A%2F%2Fwww.tcgplayer.com%2Fproduct%2F589872%3Futm_source%3Dimpact%26utm_medium%3Daffiliate%26utm_campaign%3Dpoke%2Bcottage","Azumarill")</f>
        <v>Azumarill</v>
      </c>
      <c r="D142" s="5" t="s">
        <v>14</v>
      </c>
      <c r="E142" s="5" t="s">
        <v>11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89</v>
      </c>
      <c r="C143" s="6" t="str">
        <f aca="false">HYPERLINK("https://partner.tcgplayer.com/c/6278691/1780961/21018?u=https%3A%2F%2Fwww.tcgplayer.com%2Fproduct%2F590059%3Futm_source%3Dimpact%26utm_medium%3Daffiliate%26utm_campaign%3Dpoke%2Bcottage","Smoochum")</f>
        <v>Smoochum</v>
      </c>
      <c r="D143" s="5" t="s">
        <v>8</v>
      </c>
      <c r="E143" s="5" t="s">
        <v>9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89</v>
      </c>
      <c r="C144" s="6" t="str">
        <f aca="false">HYPERLINK("https://partner.tcgplayer.com/c/6278691/1780961/21018?u=https%3A%2F%2Fwww.tcgplayer.com%2Fproduct%2F590059%3Futm_source%3Dimpact%26utm_medium%3Daffiliate%26utm_campaign%3Dpoke%2Bcottage","Smoochum")</f>
        <v>Smoochum</v>
      </c>
      <c r="D144" s="5" t="s">
        <v>8</v>
      </c>
      <c r="E144" s="5" t="s">
        <v>11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90</v>
      </c>
      <c r="C145" s="6" t="str">
        <f aca="false">HYPERLINK("https://partner.tcgplayer.com/c/6278691/1780961/21018?u=https%3A%2F%2Fwww.tcgplayer.com%2Fproduct%2F589983%3Futm_source%3Dimpact%26utm_medium%3Daffiliate%26utm_campaign%3Dpoke%2Bcottage","Latias ex")</f>
        <v>Latias ex</v>
      </c>
      <c r="D145" s="5" t="s">
        <v>16</v>
      </c>
      <c r="E145" s="5" t="s">
        <v>17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91</v>
      </c>
      <c r="C146" s="6" t="str">
        <f aca="false">HYPERLINK("https://partner.tcgplayer.com/c/6278691/1780961/21018?u=https%3A%2F%2Fwww.tcgplayer.com%2Fproduct%2F589986%3Futm_source%3Dimpact%26utm_medium%3Daffiliate%26utm_campaign%3Dpoke%2Bcottage","Latios")</f>
        <v>Latios</v>
      </c>
      <c r="D146" s="5" t="s">
        <v>14</v>
      </c>
      <c r="E146" s="5" t="s">
        <v>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91</v>
      </c>
      <c r="C147" s="6" t="str">
        <f aca="false">HYPERLINK("https://partner.tcgplayer.com/c/6278691/1780961/21018?u=https%3A%2F%2Fwww.tcgplayer.com%2Fproduct%2F589986%3Futm_source%3Dimpact%26utm_medium%3Daffiliate%26utm_campaign%3Dpoke%2Bcottage","Latios")</f>
        <v>Latios</v>
      </c>
      <c r="D147" s="5" t="s">
        <v>14</v>
      </c>
      <c r="E147" s="5" t="s">
        <v>11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92</v>
      </c>
      <c r="C148" s="6" t="str">
        <f aca="false">HYPERLINK("https://partner.tcgplayer.com/c/6278691/1780961/21018?u=https%3A%2F%2Fwww.tcgplayer.com%2Fproduct%2F590084%3Futm_source%3Dimpact%26utm_medium%3Daffiliate%26utm_campaign%3Dpoke%2Bcottage","Uxie")</f>
        <v>Uxie</v>
      </c>
      <c r="D148" s="5" t="s">
        <v>8</v>
      </c>
      <c r="E148" s="5" t="s">
        <v>9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92</v>
      </c>
      <c r="C149" s="6" t="str">
        <f aca="false">HYPERLINK("https://partner.tcgplayer.com/c/6278691/1780961/21018?u=https%3A%2F%2Fwww.tcgplayer.com%2Fproduct%2F590084%3Futm_source%3Dimpact%26utm_medium%3Daffiliate%26utm_campaign%3Dpoke%2Bcottage","Uxie")</f>
        <v>Uxie</v>
      </c>
      <c r="D149" s="5" t="s">
        <v>8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93</v>
      </c>
      <c r="C150" s="6" t="str">
        <f aca="false">HYPERLINK("https://partner.tcgplayer.com/c/6278691/1780961/21018?u=https%3A%2F%2Fwww.tcgplayer.com%2Fproduct%2F590002%3Futm_source%3Dimpact%26utm_medium%3Daffiliate%26utm_campaign%3Dpoke%2Bcottage","Mesprit")</f>
        <v>Mesprit</v>
      </c>
      <c r="D150" s="5" t="s">
        <v>8</v>
      </c>
      <c r="E150" s="5" t="s">
        <v>9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93</v>
      </c>
      <c r="C151" s="6" t="str">
        <f aca="false">HYPERLINK("https://partner.tcgplayer.com/c/6278691/1780961/21018?u=https%3A%2F%2Fwww.tcgplayer.com%2Fproduct%2F590002%3Futm_source%3Dimpact%26utm_medium%3Daffiliate%26utm_campaign%3Dpoke%2Bcottage","Mesprit")</f>
        <v>Mesprit</v>
      </c>
      <c r="D151" s="5" t="s">
        <v>8</v>
      </c>
      <c r="E151" s="5" t="s">
        <v>11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94</v>
      </c>
      <c r="C152" s="6" t="str">
        <f aca="false">HYPERLINK("https://partner.tcgplayer.com/c/6278691/1780961/21018?u=https%3A%2F%2Fwww.tcgplayer.com%2Fproduct%2F589871%3Futm_source%3Dimpact%26utm_medium%3Daffiliate%26utm_campaign%3Dpoke%2Bcottage","Azelf")</f>
        <v>Azelf</v>
      </c>
      <c r="D152" s="5" t="s">
        <v>8</v>
      </c>
      <c r="E152" s="5" t="s">
        <v>9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94</v>
      </c>
      <c r="C153" s="6" t="str">
        <f aca="false">HYPERLINK("https://partner.tcgplayer.com/c/6278691/1780961/21018?u=https%3A%2F%2Fwww.tcgplayer.com%2Fproduct%2F589871%3Futm_source%3Dimpact%26utm_medium%3Daffiliate%26utm_campaign%3Dpoke%2Bcottage","Azelf")</f>
        <v>Azelf</v>
      </c>
      <c r="D153" s="5" t="s">
        <v>8</v>
      </c>
      <c r="E153" s="5" t="s">
        <v>11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95</v>
      </c>
      <c r="C154" s="6" t="str">
        <f aca="false">HYPERLINK("https://partner.tcgplayer.com/c/6278691/1780961/21018?u=https%3A%2F%2Fwww.tcgplayer.com%2Fproduct%2F590048%3Futm_source%3Dimpact%26utm_medium%3Daffiliate%26utm_campaign%3Dpoke%2Bcottage","Sigilyph")</f>
        <v>Sigilyph</v>
      </c>
      <c r="D154" s="5" t="s">
        <v>8</v>
      </c>
      <c r="E154" s="5" t="s">
        <v>9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95</v>
      </c>
      <c r="C155" s="6" t="str">
        <f aca="false">HYPERLINK("https://partner.tcgplayer.com/c/6278691/1780961/21018?u=https%3A%2F%2Fwww.tcgplayer.com%2Fproduct%2F590048%3Futm_source%3Dimpact%26utm_medium%3Daffiliate%26utm_campaign%3Dpoke%2Bcottage","Sigilyph")</f>
        <v>Sigilyph</v>
      </c>
      <c r="D155" s="5" t="s">
        <v>8</v>
      </c>
      <c r="E155" s="5" t="s">
        <v>11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96</v>
      </c>
      <c r="C156" s="6" t="str">
        <f aca="false">HYPERLINK("https://partner.tcgplayer.com/c/6278691/1780961/21018?u=https%3A%2F%2Fwww.tcgplayer.com%2Fproduct%2F590097%3Futm_source%3Dimpact%26utm_medium%3Daffiliate%26utm_campaign%3Dpoke%2Bcottage","Yamask")</f>
        <v>Yamask</v>
      </c>
      <c r="D156" s="5" t="s">
        <v>8</v>
      </c>
      <c r="E156" s="5" t="s">
        <v>9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96</v>
      </c>
      <c r="C157" s="6" t="str">
        <f aca="false">HYPERLINK("https://partner.tcgplayer.com/c/6278691/1780961/21018?u=https%3A%2F%2Fwww.tcgplayer.com%2Fproduct%2F590097%3Futm_source%3Dimpact%26utm_medium%3Daffiliate%26utm_campaign%3Dpoke%2Bcottage","Yamask")</f>
        <v>Yamask</v>
      </c>
      <c r="D157" s="5" t="s">
        <v>8</v>
      </c>
      <c r="E157" s="5" t="s">
        <v>11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97</v>
      </c>
      <c r="C158" s="6" t="str">
        <f aca="false">HYPERLINK("https://partner.tcgplayer.com/c/6278691/1780961/21018?u=https%3A%2F%2Fwww.tcgplayer.com%2Fproduct%2F589905%3Futm_source%3Dimpact%26utm_medium%3Daffiliate%26utm_campaign%3Dpoke%2Bcottage","Cofagrigus")</f>
        <v>Cofagrigus</v>
      </c>
      <c r="D158" s="5" t="s">
        <v>25</v>
      </c>
      <c r="E158" s="5" t="s">
        <v>17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97</v>
      </c>
      <c r="C159" s="6" t="str">
        <f aca="false">HYPERLINK("https://partner.tcgplayer.com/c/6278691/1780961/21018?u=https%3A%2F%2Fwww.tcgplayer.com%2Fproduct%2F589905%3Futm_source%3Dimpact%26utm_medium%3Daffiliate%26utm_campaign%3Dpoke%2Bcottage","Cofagrigus")</f>
        <v>Cofagrigus</v>
      </c>
      <c r="D159" s="5" t="s">
        <v>25</v>
      </c>
      <c r="E159" s="5" t="s">
        <v>11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98</v>
      </c>
      <c r="C160" s="6" t="str">
        <f aca="false">HYPERLINK("https://partner.tcgplayer.com/c/6278691/1780961/21018?u=https%3A%2F%2Fwww.tcgplayer.com%2Fproduct%2F589936%3Futm_source%3Dimpact%26utm_medium%3Daffiliate%26utm_campaign%3Dpoke%2Bcottage","Espurr")</f>
        <v>Espurr</v>
      </c>
      <c r="D160" s="5" t="s">
        <v>8</v>
      </c>
      <c r="E160" s="5" t="s">
        <v>9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98</v>
      </c>
      <c r="C161" s="6" t="str">
        <f aca="false">HYPERLINK("https://partner.tcgplayer.com/c/6278691/1780961/21018?u=https%3A%2F%2Fwww.tcgplayer.com%2Fproduct%2F589936%3Futm_source%3Dimpact%26utm_medium%3Daffiliate%26utm_campaign%3Dpoke%2Bcottage","Espurr")</f>
        <v>Espurr</v>
      </c>
      <c r="D161" s="5" t="s">
        <v>8</v>
      </c>
      <c r="E161" s="5" t="s">
        <v>11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99</v>
      </c>
      <c r="C162" s="6" t="str">
        <f aca="false">HYPERLINK("https://partner.tcgplayer.com/c/6278691/1780961/21018?u=https%3A%2F%2Fwww.tcgplayer.com%2Fproduct%2F590001%3Futm_source%3Dimpact%26utm_medium%3Daffiliate%26utm_campaign%3Dpoke%2Bcottage","Meowstic")</f>
        <v>Meowstic</v>
      </c>
      <c r="D162" s="5" t="s">
        <v>14</v>
      </c>
      <c r="E162" s="5" t="s">
        <v>9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99</v>
      </c>
      <c r="C163" s="6" t="str">
        <f aca="false">HYPERLINK("https://partner.tcgplayer.com/c/6278691/1780961/21018?u=https%3A%2F%2Fwww.tcgplayer.com%2Fproduct%2F590001%3Futm_source%3Dimpact%26utm_medium%3Daffiliate%26utm_campaign%3Dpoke%2Bcottage","Meowstic")</f>
        <v>Meowstic</v>
      </c>
      <c r="D163" s="5" t="s">
        <v>14</v>
      </c>
      <c r="E163" s="5" t="s">
        <v>11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100</v>
      </c>
      <c r="C164" s="6" t="str">
        <f aca="false">HYPERLINK("https://partner.tcgplayer.com/c/6278691/1780961/21018?u=https%3A%2F%2Fwww.tcgplayer.com%2Fproduct%2F590069%3Futm_source%3Dimpact%26utm_medium%3Daffiliate%26utm_campaign%3Dpoke%2Bcottage","Sylveon ex")</f>
        <v>Sylveon ex</v>
      </c>
      <c r="D164" s="5" t="s">
        <v>16</v>
      </c>
      <c r="E164" s="5" t="s">
        <v>17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101</v>
      </c>
      <c r="C165" s="6" t="str">
        <f aca="false">HYPERLINK("https://partner.tcgplayer.com/c/6278691/1780961/21018?u=https%3A%2F%2Fwww.tcgplayer.com%2Fproduct%2F589914%3Futm_source%3Dimpact%26utm_medium%3Daffiliate%26utm_campaign%3Dpoke%2Bcottage","Dedenne")</f>
        <v>Dedenne</v>
      </c>
      <c r="D165" s="5" t="s">
        <v>8</v>
      </c>
      <c r="E165" s="5" t="s">
        <v>9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101</v>
      </c>
      <c r="C166" s="6" t="str">
        <f aca="false">HYPERLINK("https://partner.tcgplayer.com/c/6278691/1780961/21018?u=https%3A%2F%2Fwww.tcgplayer.com%2Fproduct%2F589914%3Futm_source%3Dimpact%26utm_medium%3Daffiliate%26utm_campaign%3Dpoke%2Bcottage","Dedenne")</f>
        <v>Dedenne</v>
      </c>
      <c r="D166" s="5" t="s">
        <v>8</v>
      </c>
      <c r="E166" s="5" t="s">
        <v>11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102</v>
      </c>
      <c r="C167" s="6" t="str">
        <f aca="false">HYPERLINK("https://partner.tcgplayer.com/c/6278691/1780961/21018?u=https%3A%2F%2Fwww.tcgplayer.com%2Fproduct%2F590096%3Futm_source%3Dimpact%26utm_medium%3Daffiliate%26utm_campaign%3Dpoke%2Bcottage","Xerneas")</f>
        <v>Xerneas</v>
      </c>
      <c r="D167" s="5" t="s">
        <v>14</v>
      </c>
      <c r="E167" s="5" t="s">
        <v>9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102</v>
      </c>
      <c r="C168" s="6" t="str">
        <f aca="false">HYPERLINK("https://partner.tcgplayer.com/c/6278691/1780961/21018?u=https%3A%2F%2Fwww.tcgplayer.com%2Fproduct%2F590096%3Futm_source%3Dimpact%26utm_medium%3Daffiliate%26utm_campaign%3Dpoke%2Bcottage","Xerneas")</f>
        <v>Xerneas</v>
      </c>
      <c r="D168" s="5" t="s">
        <v>14</v>
      </c>
      <c r="E168" s="5" t="s">
        <v>11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103</v>
      </c>
      <c r="C169" s="6" t="str">
        <f aca="false">HYPERLINK("https://partner.tcgplayer.com/c/6278691/1780961/21018?u=https%3A%2F%2Fwww.tcgplayer.com%2Fproduct%2F590013%3Futm_source%3Dimpact%26utm_medium%3Daffiliate%26utm_campaign%3Dpoke%2Bcottage","Oricorio")</f>
        <v>Oricorio</v>
      </c>
      <c r="D169" s="5" t="s">
        <v>8</v>
      </c>
      <c r="E169" s="5" t="s">
        <v>9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103</v>
      </c>
      <c r="C170" s="6" t="str">
        <f aca="false">HYPERLINK("https://partner.tcgplayer.com/c/6278691/1780961/21018?u=https%3A%2F%2Fwww.tcgplayer.com%2Fproduct%2F590013%3Futm_source%3Dimpact%26utm_medium%3Daffiliate%26utm_campaign%3Dpoke%2Bcottage","Oricorio")</f>
        <v>Oricorio</v>
      </c>
      <c r="D170" s="5" t="s">
        <v>8</v>
      </c>
      <c r="E170" s="5" t="s">
        <v>11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104</v>
      </c>
      <c r="C171" s="6" t="str">
        <f aca="false">HYPERLINK("https://partner.tcgplayer.com/c/6278691/1780961/21018?u=https%3A%2F%2Fwww.tcgplayer.com%2Fproduct%2F590038%3Futm_source%3Dimpact%26utm_medium%3Daffiliate%26utm_campaign%3Dpoke%2Bcottage","Sandygast")</f>
        <v>Sandygast</v>
      </c>
      <c r="D171" s="5" t="s">
        <v>8</v>
      </c>
      <c r="E171" s="5" t="s">
        <v>9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104</v>
      </c>
      <c r="C172" s="6" t="str">
        <f aca="false">HYPERLINK("https://partner.tcgplayer.com/c/6278691/1780961/21018?u=https%3A%2F%2Fwww.tcgplayer.com%2Fproduct%2F590038%3Futm_source%3Dimpact%26utm_medium%3Daffiliate%26utm_campaign%3Dpoke%2Bcottage","Sandygast")</f>
        <v>Sandygast</v>
      </c>
      <c r="D172" s="5" t="s">
        <v>8</v>
      </c>
      <c r="E172" s="5" t="s">
        <v>11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105</v>
      </c>
      <c r="C173" s="6" t="str">
        <f aca="false">HYPERLINK("https://partner.tcgplayer.com/c/6278691/1780961/21018?u=https%3A%2F%2Fwww.tcgplayer.com%2Fproduct%2F590018%3Futm_source%3Dimpact%26utm_medium%3Daffiliate%26utm_campaign%3Dpoke%2Bcottage","Palossand ex")</f>
        <v>Palossand ex</v>
      </c>
      <c r="D173" s="5" t="s">
        <v>16</v>
      </c>
      <c r="E173" s="5" t="s">
        <v>17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106</v>
      </c>
      <c r="C174" s="6" t="str">
        <f aca="false">HYPERLINK("https://partner.tcgplayer.com/c/6278691/1780961/21018?u=https%3A%2F%2Fwww.tcgplayer.com%2Fproduct%2F590072%3Futm_source%3Dimpact%26utm_medium%3Daffiliate%26utm_campaign%3Dpoke%2Bcottage","Tapu Lele")</f>
        <v>Tapu Lele</v>
      </c>
      <c r="D174" s="5" t="s">
        <v>25</v>
      </c>
      <c r="E174" s="5" t="s">
        <v>17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106</v>
      </c>
      <c r="C175" s="6" t="str">
        <f aca="false">HYPERLINK("https://partner.tcgplayer.com/c/6278691/1780961/21018?u=https%3A%2F%2Fwww.tcgplayer.com%2Fproduct%2F590072%3Futm_source%3Dimpact%26utm_medium%3Daffiliate%26utm_campaign%3Dpoke%2Bcottage","Tapu Lele")</f>
        <v>Tapu Lele</v>
      </c>
      <c r="D175" s="5" t="s">
        <v>25</v>
      </c>
      <c r="E175" s="5" t="s">
        <v>11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107</v>
      </c>
      <c r="C176" s="6" t="str">
        <f aca="false">HYPERLINK("https://partner.tcgplayer.com/c/6278691/1780961/21018?u=https%3A%2F%2Fwww.tcgplayer.com%2Fproduct%2F589968%3Futm_source%3Dimpact%26utm_medium%3Daffiliate%26utm_campaign%3Dpoke%2Bcottage","Indeedee")</f>
        <v>Indeedee</v>
      </c>
      <c r="D176" s="5" t="s">
        <v>14</v>
      </c>
      <c r="E176" s="5" t="s">
        <v>9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107</v>
      </c>
      <c r="C177" s="6" t="str">
        <f aca="false">HYPERLINK("https://partner.tcgplayer.com/c/6278691/1780961/21018?u=https%3A%2F%2Fwww.tcgplayer.com%2Fproduct%2F589968%3Futm_source%3Dimpact%26utm_medium%3Daffiliate%26utm_campaign%3Dpoke%2Bcottage","Indeedee")</f>
        <v>Indeedee</v>
      </c>
      <c r="D177" s="5" t="s">
        <v>14</v>
      </c>
      <c r="E177" s="5" t="s">
        <v>11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108</v>
      </c>
      <c r="C178" s="6" t="str">
        <f aca="false">HYPERLINK("https://partner.tcgplayer.com/c/6278691/1780961/21018?u=https%3A%2F%2Fwww.tcgplayer.com%2Fproduct%2F589948%3Futm_source%3Dimpact%26utm_medium%3Daffiliate%26utm_campaign%3Dpoke%2Bcottage","Flittle")</f>
        <v>Flittle</v>
      </c>
      <c r="D178" s="5" t="s">
        <v>8</v>
      </c>
      <c r="E178" s="5" t="s">
        <v>9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108</v>
      </c>
      <c r="C179" s="6" t="str">
        <f aca="false">HYPERLINK("https://partner.tcgplayer.com/c/6278691/1780961/21018?u=https%3A%2F%2Fwww.tcgplayer.com%2Fproduct%2F589948%3Futm_source%3Dimpact%26utm_medium%3Daffiliate%26utm_campaign%3Dpoke%2Bcottage","Flittle")</f>
        <v>Flittle</v>
      </c>
      <c r="D179" s="5" t="s">
        <v>8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109</v>
      </c>
      <c r="C180" s="6" t="str">
        <f aca="false">HYPERLINK("https://partner.tcgplayer.com/c/6278691/1780961/21018?u=https%3A%2F%2Fwww.tcgplayer.com%2Fproduct%2F589935%3Futm_source%3Dimpact%26utm_medium%3Daffiliate%26utm_campaign%3Dpoke%2Bcottage","Espathra")</f>
        <v>Espathra</v>
      </c>
      <c r="D180" s="5" t="s">
        <v>14</v>
      </c>
      <c r="E180" s="5" t="s">
        <v>9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109</v>
      </c>
      <c r="C181" s="6" t="str">
        <f aca="false">HYPERLINK("https://partner.tcgplayer.com/c/6278691/1780961/21018?u=https%3A%2F%2Fwww.tcgplayer.com%2Fproduct%2F589935%3Futm_source%3Dimpact%26utm_medium%3Daffiliate%26utm_campaign%3Dpoke%2Bcottage","Espathra")</f>
        <v>Espathra</v>
      </c>
      <c r="D181" s="5" t="s">
        <v>14</v>
      </c>
      <c r="E181" s="5" t="s">
        <v>11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110</v>
      </c>
      <c r="C182" s="6" t="str">
        <f aca="false">HYPERLINK("https://partner.tcgplayer.com/c/6278691/1780961/21018?u=https%3A%2F%2Fwww.tcgplayer.com%2Fproduct%2F589949%3Futm_source%3Dimpact%26utm_medium%3Daffiliate%26utm_campaign%3Dpoke%2Bcottage","Flutter Mane")</f>
        <v>Flutter Mane</v>
      </c>
      <c r="D182" s="5" t="s">
        <v>14</v>
      </c>
      <c r="E182" s="5" t="s">
        <v>9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110</v>
      </c>
      <c r="C183" s="6" t="str">
        <f aca="false">HYPERLINK("https://partner.tcgplayer.com/c/6278691/1780961/21018?u=https%3A%2F%2Fwww.tcgplayer.com%2Fproduct%2F589949%3Futm_source%3Dimpact%26utm_medium%3Daffiliate%26utm_campaign%3Dpoke%2Bcottage","Flutter Mane")</f>
        <v>Flutter Mane</v>
      </c>
      <c r="D183" s="5" t="s">
        <v>14</v>
      </c>
      <c r="E183" s="5" t="s">
        <v>11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111</v>
      </c>
      <c r="C184" s="6" t="str">
        <f aca="false">HYPERLINK("https://partner.tcgplayer.com/c/6278691/1780961/21018?u=https%3A%2F%2Fwww.tcgplayer.com%2Fproduct%2F589955%3Futm_source%3Dimpact%26utm_medium%3Daffiliate%26utm_campaign%3Dpoke%2Bcottage","Gimmighoul")</f>
        <v>Gimmighoul</v>
      </c>
      <c r="D184" s="5" t="s">
        <v>8</v>
      </c>
      <c r="E184" s="5" t="s">
        <v>9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111</v>
      </c>
      <c r="C185" s="6" t="str">
        <f aca="false">HYPERLINK("https://partner.tcgplayer.com/c/6278691/1780961/21018?u=https%3A%2F%2Fwww.tcgplayer.com%2Fproduct%2F589955%3Futm_source%3Dimpact%26utm_medium%3Daffiliate%26utm_campaign%3Dpoke%2Bcottage","Gimmighoul")</f>
        <v>Gimmighoul</v>
      </c>
      <c r="D185" s="5" t="s">
        <v>8</v>
      </c>
      <c r="E185" s="5" t="s">
        <v>11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112</v>
      </c>
      <c r="C186" s="6" t="str">
        <f aca="false">HYPERLINK("https://partner.tcgplayer.com/c/6278691/1780961/21018?u=https%3A%2F%2Fwww.tcgplayer.com%2Fproduct%2F589995%3Futm_source%3Dimpact%26utm_medium%3Daffiliate%26utm_campaign%3Dpoke%2Bcottage","Mankey")</f>
        <v>Mankey</v>
      </c>
      <c r="D186" s="5" t="s">
        <v>8</v>
      </c>
      <c r="E186" s="5" t="s">
        <v>9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112</v>
      </c>
      <c r="C187" s="6" t="str">
        <f aca="false">HYPERLINK("https://partner.tcgplayer.com/c/6278691/1780961/21018?u=https%3A%2F%2Fwww.tcgplayer.com%2Fproduct%2F589995%3Futm_source%3Dimpact%26utm_medium%3Daffiliate%26utm_campaign%3Dpoke%2Bcottage","Mankey")</f>
        <v>Mankey</v>
      </c>
      <c r="D187" s="5" t="s">
        <v>8</v>
      </c>
      <c r="E187" s="5" t="s">
        <v>11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113</v>
      </c>
      <c r="C188" s="6" t="str">
        <f aca="false">HYPERLINK("https://partner.tcgplayer.com/c/6278691/1780961/21018?u=https%3A%2F%2Fwww.tcgplayer.com%2Fproduct%2F590029%3Futm_source%3Dimpact%26utm_medium%3Daffiliate%26utm_campaign%3Dpoke%2Bcottage","Primeape")</f>
        <v>Primeape</v>
      </c>
      <c r="D188" s="5" t="s">
        <v>8</v>
      </c>
      <c r="E188" s="5" t="s">
        <v>9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113</v>
      </c>
      <c r="C189" s="6" t="str">
        <f aca="false">HYPERLINK("https://partner.tcgplayer.com/c/6278691/1780961/21018?u=https%3A%2F%2Fwww.tcgplayer.com%2Fproduct%2F590029%3Futm_source%3Dimpact%26utm_medium%3Daffiliate%26utm_campaign%3Dpoke%2Bcottage","Primeape")</f>
        <v>Primeape</v>
      </c>
      <c r="D189" s="5" t="s">
        <v>8</v>
      </c>
      <c r="E189" s="5" t="s">
        <v>11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114</v>
      </c>
      <c r="C190" s="6" t="str">
        <f aca="false">HYPERLINK("https://partner.tcgplayer.com/c/6278691/1780961/21018?u=https%3A%2F%2Fwww.tcgplayer.com%2Fproduct%2F589863%3Futm_source%3Dimpact%26utm_medium%3Daffiliate%26utm_campaign%3Dpoke%2Bcottage","Annihilape")</f>
        <v>Annihilape</v>
      </c>
      <c r="D190" s="5" t="s">
        <v>14</v>
      </c>
      <c r="E190" s="5" t="s">
        <v>9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114</v>
      </c>
      <c r="C191" s="6" t="str">
        <f aca="false">HYPERLINK("https://partner.tcgplayer.com/c/6278691/1780961/21018?u=https%3A%2F%2Fwww.tcgplayer.com%2Fproduct%2F589863%3Futm_source%3Dimpact%26utm_medium%3Daffiliate%26utm_campaign%3Dpoke%2Bcottage","Annihilape")</f>
        <v>Annihilape</v>
      </c>
      <c r="D191" s="5" t="s">
        <v>14</v>
      </c>
      <c r="E191" s="5" t="s">
        <v>11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115</v>
      </c>
      <c r="C192" s="6" t="str">
        <f aca="false">HYPERLINK("https://partner.tcgplayer.com/c/6278691/1780961/21018?u=https%3A%2F%2Fwww.tcgplayer.com%2Fproduct%2F590016%3Futm_source%3Dimpact%26utm_medium%3Daffiliate%26utm_campaign%3Dpoke%2Bcottage","Paldean Tauros")</f>
        <v>Paldean Tauros</v>
      </c>
      <c r="D192" s="5" t="s">
        <v>14</v>
      </c>
      <c r="E192" s="5" t="s">
        <v>9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115</v>
      </c>
      <c r="C193" s="6" t="str">
        <f aca="false">HYPERLINK("https://partner.tcgplayer.com/c/6278691/1780961/21018?u=https%3A%2F%2Fwww.tcgplayer.com%2Fproduct%2F590016%3Futm_source%3Dimpact%26utm_medium%3Daffiliate%26utm_campaign%3Dpoke%2Bcottage","Paldean Tauros")</f>
        <v>Paldean Tauros</v>
      </c>
      <c r="D193" s="5" t="s">
        <v>14</v>
      </c>
      <c r="E193" s="5" t="s">
        <v>11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116</v>
      </c>
      <c r="C194" s="6" t="str">
        <f aca="false">HYPERLINK("https://partner.tcgplayer.com/c/6278691/1780961/21018?u=https%3A%2F%2Fwww.tcgplayer.com%2Fproduct%2F590023%3Futm_source%3Dimpact%26utm_medium%3Daffiliate%26utm_campaign%3Dpoke%2Bcottage","Phanpy")</f>
        <v>Phanpy</v>
      </c>
      <c r="D194" s="5" t="s">
        <v>8</v>
      </c>
      <c r="E194" s="5" t="s">
        <v>9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116</v>
      </c>
      <c r="C195" s="6" t="str">
        <f aca="false">HYPERLINK("https://partner.tcgplayer.com/c/6278691/1780961/21018?u=https%3A%2F%2Fwww.tcgplayer.com%2Fproduct%2F590023%3Futm_source%3Dimpact%26utm_medium%3Daffiliate%26utm_campaign%3Dpoke%2Bcottage","Phanpy")</f>
        <v>Phanpy</v>
      </c>
      <c r="D195" s="5" t="s">
        <v>8</v>
      </c>
      <c r="E195" s="5" t="s">
        <v>11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117</v>
      </c>
      <c r="C196" s="6" t="str">
        <f aca="false">HYPERLINK("https://partner.tcgplayer.com/c/6278691/1780961/21018?u=https%3A%2F%2Fwww.tcgplayer.com%2Fproduct%2F589919%3Futm_source%3Dimpact%26utm_medium%3Daffiliate%26utm_campaign%3Dpoke%2Bcottage","Donphan")</f>
        <v>Donphan</v>
      </c>
      <c r="D196" s="5" t="s">
        <v>8</v>
      </c>
      <c r="E196" s="5" t="s">
        <v>9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117</v>
      </c>
      <c r="C197" s="6" t="str">
        <f aca="false">HYPERLINK("https://partner.tcgplayer.com/c/6278691/1780961/21018?u=https%3A%2F%2Fwww.tcgplayer.com%2Fproduct%2F589919%3Futm_source%3Dimpact%26utm_medium%3Daffiliate%26utm_campaign%3Dpoke%2Bcottage","Donphan")</f>
        <v>Donphan</v>
      </c>
      <c r="D197" s="5" t="s">
        <v>8</v>
      </c>
      <c r="E197" s="5" t="s">
        <v>11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118</v>
      </c>
      <c r="C198" s="6" t="str">
        <f aca="false">HYPERLINK("https://partner.tcgplayer.com/c/6278691/1780961/21018?u=https%3A%2F%2Fwww.tcgplayer.com%2Fproduct%2F590081%3Futm_source%3Dimpact%26utm_medium%3Daffiliate%26utm_campaign%3Dpoke%2Bcottage","Trapinch")</f>
        <v>Trapinch</v>
      </c>
      <c r="D198" s="5" t="s">
        <v>8</v>
      </c>
      <c r="E198" s="5" t="s">
        <v>9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118</v>
      </c>
      <c r="C199" s="6" t="str">
        <f aca="false">HYPERLINK("https://partner.tcgplayer.com/c/6278691/1780961/21018?u=https%3A%2F%2Fwww.tcgplayer.com%2Fproduct%2F590081%3Futm_source%3Dimpact%26utm_medium%3Daffiliate%26utm_campaign%3Dpoke%2Bcottage","Trapinch")</f>
        <v>Trapinch</v>
      </c>
      <c r="D199" s="5" t="s">
        <v>8</v>
      </c>
      <c r="E199" s="5" t="s">
        <v>11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119</v>
      </c>
      <c r="C200" s="6" t="str">
        <f aca="false">HYPERLINK("https://partner.tcgplayer.com/c/6278691/1780961/21018?u=https%3A%2F%2Fwww.tcgplayer.com%2Fproduct%2F590085%3Futm_source%3Dimpact%26utm_medium%3Daffiliate%26utm_campaign%3Dpoke%2Bcottage","Vibrava")</f>
        <v>Vibrava</v>
      </c>
      <c r="D200" s="5" t="s">
        <v>8</v>
      </c>
      <c r="E200" s="5" t="s">
        <v>9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119</v>
      </c>
      <c r="C201" s="6" t="str">
        <f aca="false">HYPERLINK("https://partner.tcgplayer.com/c/6278691/1780961/21018?u=https%3A%2F%2Fwww.tcgplayer.com%2Fproduct%2F590085%3Futm_source%3Dimpact%26utm_medium%3Daffiliate%26utm_campaign%3Dpoke%2Bcottage","Vibrava")</f>
        <v>Vibrava</v>
      </c>
      <c r="D201" s="5" t="s">
        <v>8</v>
      </c>
      <c r="E201" s="5" t="s">
        <v>11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120</v>
      </c>
      <c r="C202" s="6" t="str">
        <f aca="false">HYPERLINK("https://partner.tcgplayer.com/c/6278691/1780961/21018?u=https%3A%2F%2Fwww.tcgplayer.com%2Fproduct%2F589950%3Futm_source%3Dimpact%26utm_medium%3Daffiliate%26utm_campaign%3Dpoke%2Bcottage","Flygon ex")</f>
        <v>Flygon ex</v>
      </c>
      <c r="D202" s="5" t="s">
        <v>16</v>
      </c>
      <c r="E202" s="5" t="s">
        <v>17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121</v>
      </c>
      <c r="C203" s="6" t="str">
        <f aca="false">HYPERLINK("https://partner.tcgplayer.com/c/6278691/1780961/21018?u=https%3A%2F%2Fwww.tcgplayer.com%2Fproduct%2F589953%3Futm_source%3Dimpact%26utm_medium%3Daffiliate%26utm_campaign%3Dpoke%2Bcottage","Gastrodon")</f>
        <v>Gastrodon</v>
      </c>
      <c r="D203" s="5" t="s">
        <v>25</v>
      </c>
      <c r="E203" s="5" t="s">
        <v>17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121</v>
      </c>
      <c r="C204" s="6" t="str">
        <f aca="false">HYPERLINK("https://partner.tcgplayer.com/c/6278691/1780961/21018?u=https%3A%2F%2Fwww.tcgplayer.com%2Fproduct%2F589953%3Futm_source%3Dimpact%26utm_medium%3Daffiliate%26utm_campaign%3Dpoke%2Bcottage","Gastrodon")</f>
        <v>Gastrodon</v>
      </c>
      <c r="D204" s="5" t="s">
        <v>25</v>
      </c>
      <c r="E204" s="5" t="s">
        <v>11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122</v>
      </c>
      <c r="C205" s="6" t="str">
        <f aca="false">HYPERLINK("https://partner.tcgplayer.com/c/6278691/1780961/21018?u=https%3A%2F%2Fwww.tcgplayer.com%2Fproduct%2F589926%3Futm_source%3Dimpact%26utm_medium%3Daffiliate%26utm_campaign%3Dpoke%2Bcottage","Drilbur")</f>
        <v>Drilbur</v>
      </c>
      <c r="D205" s="5" t="s">
        <v>8</v>
      </c>
      <c r="E205" s="5" t="s">
        <v>9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122</v>
      </c>
      <c r="C206" s="6" t="str">
        <f aca="false">HYPERLINK("https://partner.tcgplayer.com/c/6278691/1780961/21018?u=https%3A%2F%2Fwww.tcgplayer.com%2Fproduct%2F589926%3Futm_source%3Dimpact%26utm_medium%3Daffiliate%26utm_campaign%3Dpoke%2Bcottage","Drilbur")</f>
        <v>Drilbur</v>
      </c>
      <c r="D206" s="5" t="s">
        <v>8</v>
      </c>
      <c r="E206" s="5" t="s">
        <v>11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123</v>
      </c>
      <c r="C207" s="6" t="str">
        <f aca="false">HYPERLINK("https://partner.tcgplayer.com/c/6278691/1780961/21018?u=https%3A%2F%2Fwww.tcgplayer.com%2Fproduct%2F589938%3Futm_source%3Dimpact%26utm_medium%3Daffiliate%26utm_campaign%3Dpoke%2Bcottage","Excadrill")</f>
        <v>Excadrill</v>
      </c>
      <c r="D207" s="5" t="s">
        <v>8</v>
      </c>
      <c r="E207" s="5" t="s">
        <v>9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123</v>
      </c>
      <c r="C208" s="6" t="str">
        <f aca="false">HYPERLINK("https://partner.tcgplayer.com/c/6278691/1780961/21018?u=https%3A%2F%2Fwww.tcgplayer.com%2Fproduct%2F589938%3Futm_source%3Dimpact%26utm_medium%3Daffiliate%26utm_campaign%3Dpoke%2Bcottage","Excadrill")</f>
        <v>Excadrill</v>
      </c>
      <c r="D208" s="5" t="s">
        <v>8</v>
      </c>
      <c r="E208" s="5" t="s">
        <v>11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124</v>
      </c>
      <c r="C209" s="6" t="str">
        <f aca="false">HYPERLINK("https://partner.tcgplayer.com/c/6278691/1780961/21018?u=https%3A%2F%2Fwww.tcgplayer.com%2Fproduct%2F589980%3Futm_source%3Dimpact%26utm_medium%3Daffiliate%26utm_campaign%3Dpoke%2Bcottage","Landorus")</f>
        <v>Landorus</v>
      </c>
      <c r="D209" s="5" t="s">
        <v>25</v>
      </c>
      <c r="E209" s="5" t="s">
        <v>17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124</v>
      </c>
      <c r="C210" s="6" t="str">
        <f aca="false">HYPERLINK("https://partner.tcgplayer.com/c/6278691/1780961/21018?u=https%3A%2F%2Fwww.tcgplayer.com%2Fproduct%2F589980%3Futm_source%3Dimpact%26utm_medium%3Daffiliate%26utm_campaign%3Dpoke%2Bcottage","Landorus")</f>
        <v>Landorus</v>
      </c>
      <c r="D210" s="5" t="s">
        <v>25</v>
      </c>
      <c r="E210" s="5" t="s">
        <v>11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125</v>
      </c>
      <c r="C211" s="6" t="str">
        <f aca="false">HYPERLINK("https://partner.tcgplayer.com/c/6278691/1780961/21018?u=https%3A%2F%2Fwww.tcgplayer.com%2Fproduct%2F590022%3Futm_source%3Dimpact%26utm_medium%3Daffiliate%26utm_campaign%3Dpoke%2Bcottage","Passimian")</f>
        <v>Passimian</v>
      </c>
      <c r="D211" s="5" t="s">
        <v>14</v>
      </c>
      <c r="E211" s="5" t="s">
        <v>9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125</v>
      </c>
      <c r="C212" s="6" t="str">
        <f aca="false">HYPERLINK("https://partner.tcgplayer.com/c/6278691/1780961/21018?u=https%3A%2F%2Fwww.tcgplayer.com%2Fproduct%2F590022%3Futm_source%3Dimpact%26utm_medium%3Daffiliate%26utm_campaign%3Dpoke%2Bcottage","Passimian")</f>
        <v>Passimian</v>
      </c>
      <c r="D212" s="5" t="s">
        <v>14</v>
      </c>
      <c r="E212" s="5" t="s">
        <v>11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126</v>
      </c>
      <c r="C213" s="6" t="str">
        <f aca="false">HYPERLINK("https://partner.tcgplayer.com/c/6278691/1780961/21018?u=https%3A%2F%2Fwww.tcgplayer.com%2Fproduct%2F589903%3Futm_source%3Dimpact%26utm_medium%3Daffiliate%26utm_campaign%3Dpoke%2Bcottage","Clobbopus")</f>
        <v>Clobbopus</v>
      </c>
      <c r="D213" s="5" t="s">
        <v>8</v>
      </c>
      <c r="E213" s="5" t="s">
        <v>9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126</v>
      </c>
      <c r="C214" s="6" t="str">
        <f aca="false">HYPERLINK("https://partner.tcgplayer.com/c/6278691/1780961/21018?u=https%3A%2F%2Fwww.tcgplayer.com%2Fproduct%2F589903%3Futm_source%3Dimpact%26utm_medium%3Daffiliate%26utm_campaign%3Dpoke%2Bcottage","Clobbopus")</f>
        <v>Clobbopus</v>
      </c>
      <c r="D214" s="5" t="s">
        <v>8</v>
      </c>
      <c r="E214" s="5" t="s">
        <v>11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127</v>
      </c>
      <c r="C215" s="6" t="str">
        <f aca="false">HYPERLINK("https://partner.tcgplayer.com/c/6278691/1780961/21018?u=https%3A%2F%2Fwww.tcgplayer.com%2Fproduct%2F589960%3Futm_source%3Dimpact%26utm_medium%3Daffiliate%26utm_campaign%3Dpoke%2Bcottage","Grapploct")</f>
        <v>Grapploct</v>
      </c>
      <c r="D215" s="5" t="s">
        <v>8</v>
      </c>
      <c r="E215" s="5" t="s">
        <v>9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127</v>
      </c>
      <c r="C216" s="6" t="str">
        <f aca="false">HYPERLINK("https://partner.tcgplayer.com/c/6278691/1780961/21018?u=https%3A%2F%2Fwww.tcgplayer.com%2Fproduct%2F589960%3Futm_source%3Dimpact%26utm_medium%3Daffiliate%26utm_campaign%3Dpoke%2Bcottage","Grapploct")</f>
        <v>Grapploct</v>
      </c>
      <c r="D216" s="5" t="s">
        <v>8</v>
      </c>
      <c r="E216" s="5" t="s">
        <v>11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128</v>
      </c>
      <c r="C217" s="6" t="str">
        <f aca="false">HYPERLINK("https://partner.tcgplayer.com/c/6278691/1780961/21018?u=https%3A%2F%2Fwww.tcgplayer.com%2Fproduct%2F589956%3Futm_source%3Dimpact%26utm_medium%3Daffiliate%26utm_campaign%3Dpoke%2Bcottage","Glimmet")</f>
        <v>Glimmet</v>
      </c>
      <c r="D217" s="5" t="s">
        <v>8</v>
      </c>
      <c r="E217" s="5" t="s">
        <v>9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128</v>
      </c>
      <c r="C218" s="6" t="str">
        <f aca="false">HYPERLINK("https://partner.tcgplayer.com/c/6278691/1780961/21018?u=https%3A%2F%2Fwww.tcgplayer.com%2Fproduct%2F589956%3Futm_source%3Dimpact%26utm_medium%3Daffiliate%26utm_campaign%3Dpoke%2Bcottage","Glimmet")</f>
        <v>Glimmet</v>
      </c>
      <c r="D218" s="5" t="s">
        <v>8</v>
      </c>
      <c r="E218" s="5" t="s">
        <v>11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129</v>
      </c>
      <c r="C219" s="6" t="str">
        <f aca="false">HYPERLINK("https://partner.tcgplayer.com/c/6278691/1780961/21018?u=https%3A%2F%2Fwww.tcgplayer.com%2Fproduct%2F589957%3Futm_source%3Dimpact%26utm_medium%3Daffiliate%26utm_campaign%3Dpoke%2Bcottage","Glimmora")</f>
        <v>Glimmora</v>
      </c>
      <c r="D219" s="5" t="s">
        <v>8</v>
      </c>
      <c r="E219" s="5" t="s">
        <v>9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129</v>
      </c>
      <c r="C220" s="6" t="str">
        <f aca="false">HYPERLINK("https://partner.tcgplayer.com/c/6278691/1780961/21018?u=https%3A%2F%2Fwww.tcgplayer.com%2Fproduct%2F589957%3Futm_source%3Dimpact%26utm_medium%3Daffiliate%26utm_campaign%3Dpoke%2Bcottage","Glimmora")</f>
        <v>Glimmora</v>
      </c>
      <c r="D220" s="5" t="s">
        <v>8</v>
      </c>
      <c r="E220" s="5" t="s">
        <v>11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130</v>
      </c>
      <c r="C221" s="6" t="str">
        <f aca="false">HYPERLINK("https://partner.tcgplayer.com/c/6278691/1780961/21018?u=https%3A%2F%2Fwww.tcgplayer.com%2Fproduct%2F589979%3Futm_source%3Dimpact%26utm_medium%3Daffiliate%26utm_campaign%3Dpoke%2Bcottage","Koraidon")</f>
        <v>Koraidon</v>
      </c>
      <c r="D221" s="5" t="s">
        <v>14</v>
      </c>
      <c r="E221" s="5" t="s">
        <v>9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130</v>
      </c>
      <c r="C222" s="6" t="str">
        <f aca="false">HYPERLINK("https://partner.tcgplayer.com/c/6278691/1780961/21018?u=https%3A%2F%2Fwww.tcgplayer.com%2Fproduct%2F589979%3Futm_source%3Dimpact%26utm_medium%3Daffiliate%26utm_campaign%3Dpoke%2Bcottage","Koraidon")</f>
        <v>Koraidon</v>
      </c>
      <c r="D222" s="5" t="s">
        <v>14</v>
      </c>
      <c r="E222" s="5" t="s">
        <v>11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131</v>
      </c>
      <c r="C223" s="6" t="str">
        <f aca="false">HYPERLINK("https://partner.tcgplayer.com/c/6278691/1780961/21018?u=https%3A%2F%2Fwww.tcgplayer.com%2Fproduct%2F589916%3Futm_source%3Dimpact%26utm_medium%3Daffiliate%26utm_campaign%3Dpoke%2Bcottage","Deino")</f>
        <v>Deino</v>
      </c>
      <c r="D223" s="5" t="s">
        <v>8</v>
      </c>
      <c r="E223" s="5" t="s">
        <v>9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131</v>
      </c>
      <c r="C224" s="6" t="str">
        <f aca="false">HYPERLINK("https://partner.tcgplayer.com/c/6278691/1780961/21018?u=https%3A%2F%2Fwww.tcgplayer.com%2Fproduct%2F589916%3Futm_source%3Dimpact%26utm_medium%3Daffiliate%26utm_campaign%3Dpoke%2Bcottage","Deino")</f>
        <v>Deino</v>
      </c>
      <c r="D224" s="5" t="s">
        <v>8</v>
      </c>
      <c r="E224" s="5" t="s">
        <v>11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132</v>
      </c>
      <c r="C225" s="6" t="str">
        <f aca="false">HYPERLINK("https://partner.tcgplayer.com/c/6278691/1780961/21018?u=https%3A%2F%2Fwww.tcgplayer.com%2Fproduct%2F590101%3Futm_source%3Dimpact%26utm_medium%3Daffiliate%26utm_campaign%3Dpoke%2Bcottage","Zweilous")</f>
        <v>Zweilous</v>
      </c>
      <c r="D225" s="5" t="s">
        <v>8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132</v>
      </c>
      <c r="C226" s="6" t="str">
        <f aca="false">HYPERLINK("https://partner.tcgplayer.com/c/6278691/1780961/21018?u=https%3A%2F%2Fwww.tcgplayer.com%2Fproduct%2F590101%3Futm_source%3Dimpact%26utm_medium%3Daffiliate%26utm_campaign%3Dpoke%2Bcottage","Zweilous")</f>
        <v>Zweilous</v>
      </c>
      <c r="D226" s="5" t="s">
        <v>8</v>
      </c>
      <c r="E226" s="5" t="s">
        <v>11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133</v>
      </c>
      <c r="C227" s="6" t="str">
        <f aca="false">HYPERLINK("https://partner.tcgplayer.com/c/6278691/1780961/21018?u=https%3A%2F%2Fwww.tcgplayer.com%2Fproduct%2F589965%3Futm_source%3Dimpact%26utm_medium%3Daffiliate%26utm_campaign%3Dpoke%2Bcottage","Hydreigon ex")</f>
        <v>Hydreigon ex</v>
      </c>
      <c r="D227" s="5" t="s">
        <v>16</v>
      </c>
      <c r="E227" s="5" t="s">
        <v>17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134</v>
      </c>
      <c r="C228" s="6" t="str">
        <f aca="false">HYPERLINK("https://partner.tcgplayer.com/c/6278691/1780961/21018?u=https%3A%2F%2Fwww.tcgplayer.com%2Fproduct%2F590047%3Futm_source%3Dimpact%26utm_medium%3Daffiliate%26utm_campaign%3Dpoke%2Bcottage","Shroodle")</f>
        <v>Shroodle</v>
      </c>
      <c r="D228" s="5" t="s">
        <v>8</v>
      </c>
      <c r="E228" s="5" t="s">
        <v>9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134</v>
      </c>
      <c r="C229" s="6" t="str">
        <f aca="false">HYPERLINK("https://partner.tcgplayer.com/c/6278691/1780961/21018?u=https%3A%2F%2Fwww.tcgplayer.com%2Fproduct%2F590047%3Futm_source%3Dimpact%26utm_medium%3Daffiliate%26utm_campaign%3Dpoke%2Bcottage","Shroodle")</f>
        <v>Shroodle</v>
      </c>
      <c r="D229" s="5" t="s">
        <v>8</v>
      </c>
      <c r="E229" s="5" t="s">
        <v>11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135</v>
      </c>
      <c r="C230" s="6" t="str">
        <f aca="false">HYPERLINK("https://partner.tcgplayer.com/c/6278691/1780961/21018?u=https%3A%2F%2Fwww.tcgplayer.com%2Fproduct%2F589959%3Futm_source%3Dimpact%26utm_medium%3Daffiliate%26utm_campaign%3Dpoke%2Bcottage","Grafaiai")</f>
        <v>Grafaiai</v>
      </c>
      <c r="D230" s="5" t="s">
        <v>14</v>
      </c>
      <c r="E230" s="5" t="s">
        <v>9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135</v>
      </c>
      <c r="C231" s="6" t="str">
        <f aca="false">HYPERLINK("https://partner.tcgplayer.com/c/6278691/1780961/21018?u=https%3A%2F%2Fwww.tcgplayer.com%2Fproduct%2F589959%3Futm_source%3Dimpact%26utm_medium%3Daffiliate%26utm_campaign%3Dpoke%2Bcottage","Grafaiai")</f>
        <v>Grafaiai</v>
      </c>
      <c r="D231" s="5" t="s">
        <v>14</v>
      </c>
      <c r="E231" s="5" t="s">
        <v>11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136</v>
      </c>
      <c r="C232" s="6" t="str">
        <f aca="false">HYPERLINK("https://partner.tcgplayer.com/c/6278691/1780961/21018?u=https%3A%2F%2Fwww.tcgplayer.com%2Fproduct%2F589855%3Futm_source%3Dimpact%26utm_medium%3Daffiliate%26utm_campaign%3Dpoke%2Bcottage","Alolan Diglett")</f>
        <v>Alolan Diglett</v>
      </c>
      <c r="D232" s="5" t="s">
        <v>8</v>
      </c>
      <c r="E232" s="5" t="s">
        <v>9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136</v>
      </c>
      <c r="C233" s="6" t="str">
        <f aca="false">HYPERLINK("https://partner.tcgplayer.com/c/6278691/1780961/21018?u=https%3A%2F%2Fwww.tcgplayer.com%2Fproduct%2F589855%3Futm_source%3Dimpact%26utm_medium%3Daffiliate%26utm_campaign%3Dpoke%2Bcottage","Alolan Diglett")</f>
        <v>Alolan Diglett</v>
      </c>
      <c r="D233" s="5" t="s">
        <v>8</v>
      </c>
      <c r="E233" s="5" t="s">
        <v>11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137</v>
      </c>
      <c r="C234" s="6" t="str">
        <f aca="false">HYPERLINK("https://partner.tcgplayer.com/c/6278691/1780961/21018?u=https%3A%2F%2Fwww.tcgplayer.com%2Fproduct%2F589856%3Futm_source%3Dimpact%26utm_medium%3Daffiliate%26utm_campaign%3Dpoke%2Bcottage","Alolan Dugtrio")</f>
        <v>Alolan Dugtrio</v>
      </c>
      <c r="D234" s="5" t="s">
        <v>14</v>
      </c>
      <c r="E234" s="5" t="s">
        <v>9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137</v>
      </c>
      <c r="C235" s="6" t="str">
        <f aca="false">HYPERLINK("https://partner.tcgplayer.com/c/6278691/1780961/21018?u=https%3A%2F%2Fwww.tcgplayer.com%2Fproduct%2F589856%3Futm_source%3Dimpact%26utm_medium%3Daffiliate%26utm_campaign%3Dpoke%2Bcottage","Alolan Dugtrio")</f>
        <v>Alolan Dugtrio</v>
      </c>
      <c r="D235" s="5" t="s">
        <v>14</v>
      </c>
      <c r="E235" s="5" t="s">
        <v>11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138</v>
      </c>
      <c r="C236" s="6" t="str">
        <f aca="false">HYPERLINK("https://partner.tcgplayer.com/c/6278691/1780961/21018?u=https%3A%2F%2Fwww.tcgplayer.com%2Fproduct%2F590051%3Futm_source%3Dimpact%26utm_medium%3Daffiliate%26utm_campaign%3Dpoke%2Bcottage","Skarmory")</f>
        <v>Skarmory</v>
      </c>
      <c r="D236" s="5" t="s">
        <v>8</v>
      </c>
      <c r="E236" s="5" t="s">
        <v>9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138</v>
      </c>
      <c r="C237" s="6" t="str">
        <f aca="false">HYPERLINK("https://partner.tcgplayer.com/c/6278691/1780961/21018?u=https%3A%2F%2Fwww.tcgplayer.com%2Fproduct%2F590051%3Futm_source%3Dimpact%26utm_medium%3Daffiliate%26utm_campaign%3Dpoke%2Bcottage","Skarmory")</f>
        <v>Skarmory</v>
      </c>
      <c r="D237" s="5" t="s">
        <v>8</v>
      </c>
      <c r="E237" s="5" t="s">
        <v>11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139</v>
      </c>
      <c r="C238" s="6" t="str">
        <f aca="false">HYPERLINK("https://partner.tcgplayer.com/c/6278691/1780961/21018?u=https%3A%2F%2Fwww.tcgplayer.com%2Fproduct%2F590034%3Futm_source%3Dimpact%26utm_medium%3Daffiliate%26utm_campaign%3Dpoke%2Bcottage","Registeel")</f>
        <v>Registeel</v>
      </c>
      <c r="D238" s="5" t="s">
        <v>14</v>
      </c>
      <c r="E238" s="5" t="s">
        <v>9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139</v>
      </c>
      <c r="C239" s="6" t="str">
        <f aca="false">HYPERLINK("https://partner.tcgplayer.com/c/6278691/1780961/21018?u=https%3A%2F%2Fwww.tcgplayer.com%2Fproduct%2F590034%3Futm_source%3Dimpact%26utm_medium%3Daffiliate%26utm_campaign%3Dpoke%2Bcottage","Registeel")</f>
        <v>Registeel</v>
      </c>
      <c r="D239" s="5" t="s">
        <v>14</v>
      </c>
      <c r="E239" s="5" t="s">
        <v>11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140</v>
      </c>
      <c r="C240" s="6" t="str">
        <f aca="false">HYPERLINK("https://partner.tcgplayer.com/c/6278691/1780961/21018?u=https%3A%2F%2Fwww.tcgplayer.com%2Fproduct%2F589882%3Futm_source%3Dimpact%26utm_medium%3Daffiliate%26utm_campaign%3Dpoke%2Bcottage","Bronzor")</f>
        <v>Bronzor</v>
      </c>
      <c r="D240" s="5" t="s">
        <v>8</v>
      </c>
      <c r="E240" s="5" t="s">
        <v>9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140</v>
      </c>
      <c r="C241" s="6" t="str">
        <f aca="false">HYPERLINK("https://partner.tcgplayer.com/c/6278691/1780961/21018?u=https%3A%2F%2Fwww.tcgplayer.com%2Fproduct%2F589882%3Futm_source%3Dimpact%26utm_medium%3Daffiliate%26utm_campaign%3Dpoke%2Bcottage","Bronzor")</f>
        <v>Bronzor</v>
      </c>
      <c r="D241" s="5" t="s">
        <v>8</v>
      </c>
      <c r="E241" s="5" t="s">
        <v>11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141</v>
      </c>
      <c r="C242" s="6" t="str">
        <f aca="false">HYPERLINK("https://partner.tcgplayer.com/c/6278691/1780961/21018?u=https%3A%2F%2Fwww.tcgplayer.com%2Fproduct%2F589881%3Futm_source%3Dimpact%26utm_medium%3Daffiliate%26utm_campaign%3Dpoke%2Bcottage","Bronzong")</f>
        <v>Bronzong</v>
      </c>
      <c r="D242" s="5" t="s">
        <v>8</v>
      </c>
      <c r="E242" s="5" t="s">
        <v>9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141</v>
      </c>
      <c r="C243" s="6" t="str">
        <f aca="false">HYPERLINK("https://partner.tcgplayer.com/c/6278691/1780961/21018?u=https%3A%2F%2Fwww.tcgplayer.com%2Fproduct%2F589881%3Futm_source%3Dimpact%26utm_medium%3Daffiliate%26utm_campaign%3Dpoke%2Bcottage","Bronzong")</f>
        <v>Bronzong</v>
      </c>
      <c r="D243" s="5" t="s">
        <v>8</v>
      </c>
      <c r="E243" s="5" t="s">
        <v>11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142</v>
      </c>
      <c r="C244" s="6" t="str">
        <f aca="false">HYPERLINK("https://partner.tcgplayer.com/c/6278691/1780961/21018?u=https%3A%2F%2Fwww.tcgplayer.com%2Fproduct%2F589978%3Futm_source%3Dimpact%26utm_medium%3Daffiliate%26utm_campaign%3Dpoke%2Bcottage","Klefki")</f>
        <v>Klefki</v>
      </c>
      <c r="D244" s="5" t="s">
        <v>8</v>
      </c>
      <c r="E244" s="5" t="s">
        <v>9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142</v>
      </c>
      <c r="C245" s="6" t="str">
        <f aca="false">HYPERLINK("https://partner.tcgplayer.com/c/6278691/1780961/21018?u=https%3A%2F%2Fwww.tcgplayer.com%2Fproduct%2F589978%3Futm_source%3Dimpact%26utm_medium%3Daffiliate%26utm_campaign%3Dpoke%2Bcottage","Klefki")</f>
        <v>Klefki</v>
      </c>
      <c r="D245" s="5" t="s">
        <v>8</v>
      </c>
      <c r="E245" s="5" t="s">
        <v>11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143</v>
      </c>
      <c r="C246" s="6" t="str">
        <f aca="false">HYPERLINK("https://partner.tcgplayer.com/c/6278691/1780961/21018?u=https%3A%2F%2Fwww.tcgplayer.com%2Fproduct%2F589927%3Futm_source%3Dimpact%26utm_medium%3Daffiliate%26utm_campaign%3Dpoke%2Bcottage","Duraludon")</f>
        <v>Duraludon</v>
      </c>
      <c r="D246" s="5" t="s">
        <v>8</v>
      </c>
      <c r="E246" s="5" t="s">
        <v>9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143</v>
      </c>
      <c r="C247" s="6" t="str">
        <f aca="false">HYPERLINK("https://partner.tcgplayer.com/c/6278691/1780961/21018?u=https%3A%2F%2Fwww.tcgplayer.com%2Fproduct%2F589927%3Futm_source%3Dimpact%26utm_medium%3Daffiliate%26utm_campaign%3Dpoke%2Bcottage","Duraludon")</f>
        <v>Duraludon</v>
      </c>
      <c r="D247" s="5" t="s">
        <v>8</v>
      </c>
      <c r="E247" s="5" t="s">
        <v>11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144</v>
      </c>
      <c r="C248" s="6" t="str">
        <f aca="false">HYPERLINK("https://partner.tcgplayer.com/c/6278691/1780961/21018?u=https%3A%2F%2Fwww.tcgplayer.com%2Fproduct%2F589867%3Futm_source%3Dimpact%26utm_medium%3Daffiliate%26utm_campaign%3Dpoke%2Bcottage","Archaludon ex")</f>
        <v>Archaludon ex</v>
      </c>
      <c r="D248" s="5" t="s">
        <v>16</v>
      </c>
      <c r="E248" s="5" t="s">
        <v>17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145</v>
      </c>
      <c r="C249" s="6" t="str">
        <f aca="false">HYPERLINK("https://partner.tcgplayer.com/c/6278691/1780961/21018?u=https%3A%2F%2Fwww.tcgplayer.com%2Fproduct%2F589954%3Futm_source%3Dimpact%26utm_medium%3Daffiliate%26utm_campaign%3Dpoke%2Bcottage","Gholdengo")</f>
        <v>Gholdengo</v>
      </c>
      <c r="D249" s="5" t="s">
        <v>14</v>
      </c>
      <c r="E249" s="5" t="s">
        <v>9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145</v>
      </c>
      <c r="C250" s="6" t="str">
        <f aca="false">HYPERLINK("https://partner.tcgplayer.com/c/6278691/1780961/21018?u=https%3A%2F%2Fwww.tcgplayer.com%2Fproduct%2F589954%3Futm_source%3Dimpact%26utm_medium%3Daffiliate%26utm_campaign%3Dpoke%2Bcottage","Gholdengo")</f>
        <v>Gholdengo</v>
      </c>
      <c r="D250" s="5" t="s">
        <v>14</v>
      </c>
      <c r="E250" s="5" t="s">
        <v>11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146</v>
      </c>
      <c r="C251" s="6" t="str">
        <f aca="false">HYPERLINK("https://partner.tcgplayer.com/c/6278691/1780961/21018?u=https%3A%2F%2Fwww.tcgplayer.com%2Fproduct%2F589970%3Futm_source%3Dimpact%26utm_medium%3Daffiliate%26utm_campaign%3Dpoke%2Bcottage","Iron Crown")</f>
        <v>Iron Crown</v>
      </c>
      <c r="D251" s="5" t="s">
        <v>25</v>
      </c>
      <c r="E251" s="5" t="s">
        <v>17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146</v>
      </c>
      <c r="C252" s="6" t="str">
        <f aca="false">HYPERLINK("https://partner.tcgplayer.com/c/6278691/1780961/21018?u=https%3A%2F%2Fwww.tcgplayer.com%2Fproduct%2F589970%3Futm_source%3Dimpact%26utm_medium%3Daffiliate%26utm_campaign%3Dpoke%2Bcottage","Iron Crown")</f>
        <v>Iron Crown</v>
      </c>
      <c r="D252" s="5" t="s">
        <v>25</v>
      </c>
      <c r="E252" s="5" t="s">
        <v>11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147</v>
      </c>
      <c r="C253" s="6" t="str">
        <f aca="false">HYPERLINK("https://partner.tcgplayer.com/c/6278691/1780961/21018?u=https%3A%2F%2Fwww.tcgplayer.com%2Fproduct%2F589858%3Futm_source%3Dimpact%26utm_medium%3Daffiliate%26utm_campaign%3Dpoke%2Bcottage","Alolan Exeggutor ex")</f>
        <v>Alolan Exeggutor ex</v>
      </c>
      <c r="D253" s="5" t="s">
        <v>16</v>
      </c>
      <c r="E253" s="5" t="s">
        <v>17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148</v>
      </c>
      <c r="C254" s="6" t="str">
        <f aca="false">HYPERLINK("https://partner.tcgplayer.com/c/6278691/1780961/21018?u=https%3A%2F%2Fwww.tcgplayer.com%2Fproduct%2F589861%3Futm_source%3Dimpact%26utm_medium%3Daffiliate%26utm_campaign%3Dpoke%2Bcottage","Altaria")</f>
        <v>Altaria</v>
      </c>
      <c r="D254" s="5" t="s">
        <v>14</v>
      </c>
      <c r="E254" s="5" t="s">
        <v>9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148</v>
      </c>
      <c r="C255" s="6" t="str">
        <f aca="false">HYPERLINK("https://partner.tcgplayer.com/c/6278691/1780961/21018?u=https%3A%2F%2Fwww.tcgplayer.com%2Fproduct%2F589861%3Futm_source%3Dimpact%26utm_medium%3Daffiliate%26utm_campaign%3Dpoke%2Bcottage","Altaria")</f>
        <v>Altaria</v>
      </c>
      <c r="D255" s="5" t="s">
        <v>14</v>
      </c>
      <c r="E255" s="5" t="s">
        <v>11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149</v>
      </c>
      <c r="C256" s="6" t="str">
        <f aca="false">HYPERLINK("https://partner.tcgplayer.com/c/6278691/1780961/21018?u=https%3A%2F%2Fwww.tcgplayer.com%2Fproduct%2F589918%3Futm_source%3Dimpact%26utm_medium%3Daffiliate%26utm_campaign%3Dpoke%2Bcottage","Dialga")</f>
        <v>Dialga</v>
      </c>
      <c r="D256" s="5" t="s">
        <v>25</v>
      </c>
      <c r="E256" s="5" t="s">
        <v>17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149</v>
      </c>
      <c r="C257" s="6" t="str">
        <f aca="false">HYPERLINK("https://partner.tcgplayer.com/c/6278691/1780961/21018?u=https%3A%2F%2Fwww.tcgplayer.com%2Fproduct%2F589918%3Futm_source%3Dimpact%26utm_medium%3Daffiliate%26utm_campaign%3Dpoke%2Bcottage","Dialga")</f>
        <v>Dialga</v>
      </c>
      <c r="D257" s="5" t="s">
        <v>25</v>
      </c>
      <c r="E257" s="5" t="s">
        <v>11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150</v>
      </c>
      <c r="C258" s="6" t="str">
        <f aca="false">HYPERLINK("https://partner.tcgplayer.com/c/6278691/1780961/21018?u=https%3A%2F%2Fwww.tcgplayer.com%2Fproduct%2F590017%3Futm_source%3Dimpact%26utm_medium%3Daffiliate%26utm_campaign%3Dpoke%2Bcottage","Palkia")</f>
        <v>Palkia</v>
      </c>
      <c r="D258" s="5" t="s">
        <v>25</v>
      </c>
      <c r="E258" s="5" t="s">
        <v>17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150</v>
      </c>
      <c r="C259" s="6" t="str">
        <f aca="false">HYPERLINK("https://partner.tcgplayer.com/c/6278691/1780961/21018?u=https%3A%2F%2Fwww.tcgplayer.com%2Fproduct%2F590017%3Futm_source%3Dimpact%26utm_medium%3Daffiliate%26utm_campaign%3Dpoke%2Bcottage","Palkia")</f>
        <v>Palkia</v>
      </c>
      <c r="D259" s="5" t="s">
        <v>25</v>
      </c>
      <c r="E259" s="5" t="s">
        <v>11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151</v>
      </c>
      <c r="C260" s="6" t="str">
        <f aca="false">HYPERLINK("https://partner.tcgplayer.com/c/6278691/1780961/21018?u=https%3A%2F%2Fwww.tcgplayer.com%2Fproduct%2F590082%3Futm_source%3Dimpact%26utm_medium%3Daffiliate%26utm_campaign%3Dpoke%2Bcottage","Turtonator")</f>
        <v>Turtonator</v>
      </c>
      <c r="D260" s="5" t="s">
        <v>14</v>
      </c>
      <c r="E260" s="5" t="s">
        <v>9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151</v>
      </c>
      <c r="C261" s="6" t="str">
        <f aca="false">HYPERLINK("https://partner.tcgplayer.com/c/6278691/1780961/21018?u=https%3A%2F%2Fwww.tcgplayer.com%2Fproduct%2F590082%3Futm_source%3Dimpact%26utm_medium%3Daffiliate%26utm_campaign%3Dpoke%2Bcottage","Turtonator")</f>
        <v>Turtonator</v>
      </c>
      <c r="D261" s="5" t="s">
        <v>14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152</v>
      </c>
      <c r="C262" s="6" t="str">
        <f aca="false">HYPERLINK("https://partner.tcgplayer.com/c/6278691/1780961/21018?u=https%3A%2F%2Fwww.tcgplayer.com%2Fproduct%2F589866%3Futm_source%3Dimpact%26utm_medium%3Daffiliate%26utm_campaign%3Dpoke%2Bcottage","Applin")</f>
        <v>Applin</v>
      </c>
      <c r="D262" s="5" t="s">
        <v>8</v>
      </c>
      <c r="E262" s="5" t="s">
        <v>9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152</v>
      </c>
      <c r="C263" s="6" t="str">
        <f aca="false">HYPERLINK("https://partner.tcgplayer.com/c/6278691/1780961/21018?u=https%3A%2F%2Fwww.tcgplayer.com%2Fproduct%2F589866%3Futm_source%3Dimpact%26utm_medium%3Daffiliate%26utm_campaign%3Dpoke%2Bcottage","Applin")</f>
        <v>Applin</v>
      </c>
      <c r="D263" s="5" t="s">
        <v>8</v>
      </c>
      <c r="E263" s="5" t="s">
        <v>11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153</v>
      </c>
      <c r="C264" s="6" t="str">
        <f aca="false">HYPERLINK("https://partner.tcgplayer.com/c/6278691/1780961/21018?u=https%3A%2F%2Fwww.tcgplayer.com%2Fproduct%2F589946%3Futm_source%3Dimpact%26utm_medium%3Daffiliate%26utm_campaign%3Dpoke%2Bcottage","Flapple")</f>
        <v>Flapple</v>
      </c>
      <c r="D264" s="5" t="s">
        <v>14</v>
      </c>
      <c r="E264" s="5" t="s">
        <v>9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153</v>
      </c>
      <c r="C265" s="6" t="str">
        <f aca="false">HYPERLINK("https://partner.tcgplayer.com/c/6278691/1780961/21018?u=https%3A%2F%2Fwww.tcgplayer.com%2Fproduct%2F589946%3Futm_source%3Dimpact%26utm_medium%3Daffiliate%26utm_campaign%3Dpoke%2Bcottage","Flapple")</f>
        <v>Flapple</v>
      </c>
      <c r="D265" s="5" t="s">
        <v>14</v>
      </c>
      <c r="E265" s="5" t="s">
        <v>11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154</v>
      </c>
      <c r="C266" s="6" t="str">
        <f aca="false">HYPERLINK("https://partner.tcgplayer.com/c/6278691/1780961/21018?u=https%3A%2F%2Fwww.tcgplayer.com%2Fproduct%2F589864%3Futm_source%3Dimpact%26utm_medium%3Daffiliate%26utm_campaign%3Dpoke%2Bcottage","Appletun")</f>
        <v>Appletun</v>
      </c>
      <c r="D266" s="5" t="s">
        <v>14</v>
      </c>
      <c r="E266" s="5" t="s">
        <v>9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154</v>
      </c>
      <c r="C267" s="6" t="str">
        <f aca="false">HYPERLINK("https://partner.tcgplayer.com/c/6278691/1780961/21018?u=https%3A%2F%2Fwww.tcgplayer.com%2Fproduct%2F589864%3Futm_source%3Dimpact%26utm_medium%3Daffiliate%26utm_campaign%3Dpoke%2Bcottage","Appletun")</f>
        <v>Appletun</v>
      </c>
      <c r="D267" s="5" t="s">
        <v>14</v>
      </c>
      <c r="E267" s="5" t="s">
        <v>11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155</v>
      </c>
      <c r="C268" s="6" t="str">
        <f aca="false">HYPERLINK("https://partner.tcgplayer.com/c/6278691/1780961/21018?u=https%3A%2F%2Fwww.tcgplayer.com%2Fproduct%2F589937%3Futm_source%3Dimpact%26utm_medium%3Daffiliate%26utm_campaign%3Dpoke%2Bcottage","Eternatus")</f>
        <v>Eternatus</v>
      </c>
      <c r="D268" s="5" t="s">
        <v>25</v>
      </c>
      <c r="E268" s="5" t="s">
        <v>17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155</v>
      </c>
      <c r="C269" s="6" t="str">
        <f aca="false">HYPERLINK("https://partner.tcgplayer.com/c/6278691/1780961/21018?u=https%3A%2F%2Fwww.tcgplayer.com%2Fproduct%2F589937%3Futm_source%3Dimpact%26utm_medium%3Daffiliate%26utm_campaign%3Dpoke%2Bcottage","Eternatus")</f>
        <v>Eternatus</v>
      </c>
      <c r="D269" s="5" t="s">
        <v>25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156</v>
      </c>
      <c r="C270" s="6" t="str">
        <f aca="false">HYPERLINK("https://partner.tcgplayer.com/c/6278691/1780961/21018?u=https%3A%2F%2Fwww.tcgplayer.com%2Fproduct%2F590073%3Futm_source%3Dimpact%26utm_medium%3Daffiliate%26utm_campaign%3Dpoke%2Bcottage","Tatsugiri ex")</f>
        <v>Tatsugiri ex</v>
      </c>
      <c r="D270" s="5" t="s">
        <v>16</v>
      </c>
      <c r="E270" s="5" t="s">
        <v>17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157</v>
      </c>
      <c r="C271" s="6" t="str">
        <f aca="false">HYPERLINK("https://partner.tcgplayer.com/c/6278691/1780961/21018?u=https%3A%2F%2Fwww.tcgplayer.com%2Fproduct%2F589932%3Futm_source%3Dimpact%26utm_medium%3Daffiliate%26utm_campaign%3Dpoke%2Bcottage","Eevee")</f>
        <v>Eevee</v>
      </c>
      <c r="D271" s="5" t="s">
        <v>8</v>
      </c>
      <c r="E271" s="5" t="s">
        <v>9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157</v>
      </c>
      <c r="C272" s="6" t="str">
        <f aca="false">HYPERLINK("https://partner.tcgplayer.com/c/6278691/1780961/21018?u=https%3A%2F%2Fwww.tcgplayer.com%2Fproduct%2F589932%3Futm_source%3Dimpact%26utm_medium%3Daffiliate%26utm_campaign%3Dpoke%2Bcottage","Eevee")</f>
        <v>Eevee</v>
      </c>
      <c r="D272" s="5" t="s">
        <v>8</v>
      </c>
      <c r="E272" s="5" t="s">
        <v>11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158</v>
      </c>
      <c r="C273" s="6" t="str">
        <f aca="false">HYPERLINK("https://partner.tcgplayer.com/c/6278691/1780961/21018?u=https%3A%2F%2Fwww.tcgplayer.com%2Fproduct%2F590060%3Futm_source%3Dimpact%26utm_medium%3Daffiliate%26utm_campaign%3Dpoke%2Bcottage","Snorlax")</f>
        <v>Snorlax</v>
      </c>
      <c r="D273" s="5" t="s">
        <v>8</v>
      </c>
      <c r="E273" s="5" t="s">
        <v>9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158</v>
      </c>
      <c r="C274" s="6" t="str">
        <f aca="false">HYPERLINK("https://partner.tcgplayer.com/c/6278691/1780961/21018?u=https%3A%2F%2Fwww.tcgplayer.com%2Fproduct%2F590060%3Futm_source%3Dimpact%26utm_medium%3Daffiliate%26utm_campaign%3Dpoke%2Bcottage","Snorlax")</f>
        <v>Snorlax</v>
      </c>
      <c r="D274" s="5" t="s">
        <v>8</v>
      </c>
      <c r="E274" s="5" t="s">
        <v>11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159</v>
      </c>
      <c r="C275" s="6" t="str">
        <f aca="false">HYPERLINK("https://partner.tcgplayer.com/c/6278691/1780961/21018?u=https%3A%2F%2Fwww.tcgplayer.com%2Fproduct%2F590056%3Futm_source%3Dimpact%26utm_medium%3Daffiliate%26utm_campaign%3Dpoke%2Bcottage","Slakoth")</f>
        <v>Slakoth</v>
      </c>
      <c r="D275" s="5" t="s">
        <v>8</v>
      </c>
      <c r="E275" s="5" t="s">
        <v>9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159</v>
      </c>
      <c r="C276" s="6" t="str">
        <f aca="false">HYPERLINK("https://partner.tcgplayer.com/c/6278691/1780961/21018?u=https%3A%2F%2Fwww.tcgplayer.com%2Fproduct%2F590056%3Futm_source%3Dimpact%26utm_medium%3Daffiliate%26utm_campaign%3Dpoke%2Bcottage","Slakoth")</f>
        <v>Slakoth</v>
      </c>
      <c r="D276" s="5" t="s">
        <v>8</v>
      </c>
      <c r="E276" s="5" t="s">
        <v>11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160</v>
      </c>
      <c r="C277" s="6" t="str">
        <f aca="false">HYPERLINK("https://partner.tcgplayer.com/c/6278691/1780961/21018?u=https%3A%2F%2Fwww.tcgplayer.com%2Fproduct%2F590088%3Futm_source%3Dimpact%26utm_medium%3Daffiliate%26utm_campaign%3Dpoke%2Bcottage","Vigoroth")</f>
        <v>Vigoroth</v>
      </c>
      <c r="D277" s="5" t="s">
        <v>8</v>
      </c>
      <c r="E277" s="5" t="s">
        <v>9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160</v>
      </c>
      <c r="C278" s="6" t="str">
        <f aca="false">HYPERLINK("https://partner.tcgplayer.com/c/6278691/1780961/21018?u=https%3A%2F%2Fwww.tcgplayer.com%2Fproduct%2F590088%3Futm_source%3Dimpact%26utm_medium%3Daffiliate%26utm_campaign%3Dpoke%2Bcottage","Vigoroth")</f>
        <v>Vigoroth</v>
      </c>
      <c r="D278" s="5" t="s">
        <v>8</v>
      </c>
      <c r="E278" s="5" t="s">
        <v>11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161</v>
      </c>
      <c r="C279" s="6" t="str">
        <f aca="false">HYPERLINK("https://partner.tcgplayer.com/c/6278691/1780961/21018?u=https%3A%2F%2Fwww.tcgplayer.com%2Fproduct%2F590054%3Futm_source%3Dimpact%26utm_medium%3Daffiliate%26utm_campaign%3Dpoke%2Bcottage","Slaking ex")</f>
        <v>Slaking ex</v>
      </c>
      <c r="D279" s="5" t="s">
        <v>16</v>
      </c>
      <c r="E279" s="5" t="s">
        <v>17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162</v>
      </c>
      <c r="C280" s="6" t="str">
        <f aca="false">HYPERLINK("https://partner.tcgplayer.com/c/6278691/1780961/21018?u=https%3A%2F%2Fwww.tcgplayer.com%2Fproduct%2F590068%3Futm_source%3Dimpact%26utm_medium%3Daffiliate%26utm_campaign%3Dpoke%2Bcottage","Swablu")</f>
        <v>Swablu</v>
      </c>
      <c r="D280" s="5" t="s">
        <v>8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162</v>
      </c>
      <c r="C281" s="6" t="str">
        <f aca="false">HYPERLINK("https://partner.tcgplayer.com/c/6278691/1780961/21018?u=https%3A%2F%2Fwww.tcgplayer.com%2Fproduct%2F590068%3Futm_source%3Dimpact%26utm_medium%3Daffiliate%26utm_campaign%3Dpoke%2Bcottage","Swablu")</f>
        <v>Swablu</v>
      </c>
      <c r="D281" s="5" t="s">
        <v>8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163</v>
      </c>
      <c r="C282" s="6" t="str">
        <f aca="false">HYPERLINK("https://partner.tcgplayer.com/c/6278691/1780961/21018?u=https%3A%2F%2Fwww.tcgplayer.com%2Fproduct%2F590098%3Futm_source%3Dimpact%26utm_medium%3Daffiliate%26utm_campaign%3Dpoke%2Bcottage","Zangoose")</f>
        <v>Zangoose</v>
      </c>
      <c r="D282" s="5" t="s">
        <v>8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163</v>
      </c>
      <c r="C283" s="6" t="str">
        <f aca="false">HYPERLINK("https://partner.tcgplayer.com/c/6278691/1780961/21018?u=https%3A%2F%2Fwww.tcgplayer.com%2Fproduct%2F590098%3Futm_source%3Dimpact%26utm_medium%3Daffiliate%26utm_campaign%3Dpoke%2Bcottage","Zangoose")</f>
        <v>Zangoose</v>
      </c>
      <c r="D283" s="5" t="s">
        <v>8</v>
      </c>
      <c r="E283" s="5" t="s">
        <v>11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164</v>
      </c>
      <c r="C284" s="6" t="str">
        <f aca="false">HYPERLINK("https://partner.tcgplayer.com/c/6278691/1780961/21018?u=https%3A%2F%2Fwww.tcgplayer.com%2Fproduct%2F589974%3Futm_source%3Dimpact%26utm_medium%3Daffiliate%26utm_campaign%3Dpoke%2Bcottage","Kecleon")</f>
        <v>Kecleon</v>
      </c>
      <c r="D284" s="5" t="s">
        <v>8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164</v>
      </c>
      <c r="C285" s="6" t="str">
        <f aca="false">HYPERLINK("https://partner.tcgplayer.com/c/6278691/1780961/21018?u=https%3A%2F%2Fwww.tcgplayer.com%2Fproduct%2F589974%3Futm_source%3Dimpact%26utm_medium%3Daffiliate%26utm_campaign%3Dpoke%2Bcottage","Kecleon")</f>
        <v>Kecleon</v>
      </c>
      <c r="D285" s="5" t="s">
        <v>8</v>
      </c>
      <c r="E285" s="5" t="s">
        <v>11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165</v>
      </c>
      <c r="C286" s="6" t="str">
        <f aca="false">HYPERLINK("https://partner.tcgplayer.com/c/6278691/1780961/21018?u=https%3A%2F%2Fwww.tcgplayer.com%2Fproduct%2F589877%3Futm_source%3Dimpact%26utm_medium%3Daffiliate%26utm_campaign%3Dpoke%2Bcottage","Bouffalant")</f>
        <v>Bouffalant</v>
      </c>
      <c r="D286" s="5" t="s">
        <v>8</v>
      </c>
      <c r="E286" s="5" t="s">
        <v>9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165</v>
      </c>
      <c r="C287" s="6" t="str">
        <f aca="false">HYPERLINK("https://partner.tcgplayer.com/c/6278691/1780961/21018?u=https%3A%2F%2Fwww.tcgplayer.com%2Fproduct%2F589877%3Futm_source%3Dimpact%26utm_medium%3Daffiliate%26utm_campaign%3Dpoke%2Bcottage","Bouffalant")</f>
        <v>Bouffalant</v>
      </c>
      <c r="D287" s="5" t="s">
        <v>8</v>
      </c>
      <c r="E287" s="5" t="s">
        <v>11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166</v>
      </c>
      <c r="C288" s="6" t="str">
        <f aca="false">HYPERLINK("https://partner.tcgplayer.com/c/6278691/1780961/21018?u=https%3A%2F%2Fwww.tcgplayer.com%2Fproduct%2F590037%3Futm_source%3Dimpact%26utm_medium%3Daffiliate%26utm_campaign%3Dpoke%2Bcottage","Rufflet")</f>
        <v>Rufflet</v>
      </c>
      <c r="D288" s="5" t="s">
        <v>8</v>
      </c>
      <c r="E288" s="5" t="s">
        <v>9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166</v>
      </c>
      <c r="C289" s="6" t="str">
        <f aca="false">HYPERLINK("https://partner.tcgplayer.com/c/6278691/1780961/21018?u=https%3A%2F%2Fwww.tcgplayer.com%2Fproduct%2F590037%3Futm_source%3Dimpact%26utm_medium%3Daffiliate%26utm_campaign%3Dpoke%2Bcottage","Rufflet")</f>
        <v>Rufflet</v>
      </c>
      <c r="D289" s="5" t="s">
        <v>8</v>
      </c>
      <c r="E289" s="5" t="s">
        <v>11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167</v>
      </c>
      <c r="C290" s="6" t="str">
        <f aca="false">HYPERLINK("https://partner.tcgplayer.com/c/6278691/1780961/21018?u=https%3A%2F%2Fwww.tcgplayer.com%2Fproduct%2F589878%3Futm_source%3Dimpact%26utm_medium%3Daffiliate%26utm_campaign%3Dpoke%2Bcottage","Braviary")</f>
        <v>Braviary</v>
      </c>
      <c r="D290" s="5" t="s">
        <v>14</v>
      </c>
      <c r="E290" s="5" t="s">
        <v>9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167</v>
      </c>
      <c r="C291" s="6" t="str">
        <f aca="false">HYPERLINK("https://partner.tcgplayer.com/c/6278691/1780961/21018?u=https%3A%2F%2Fwww.tcgplayer.com%2Fproduct%2F589878%3Futm_source%3Dimpact%26utm_medium%3Daffiliate%26utm_campaign%3Dpoke%2Bcottage","Braviary")</f>
        <v>Braviary</v>
      </c>
      <c r="D291" s="5" t="s">
        <v>14</v>
      </c>
      <c r="E291" s="5" t="s">
        <v>11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168</v>
      </c>
      <c r="C292" s="6" t="str">
        <f aca="false">HYPERLINK("https://partner.tcgplayer.com/c/6278691/1780961/21018?u=https%3A%2F%2Fwww.tcgplayer.com%2Fproduct%2F589963%3Futm_source%3Dimpact%26utm_medium%3Daffiliate%26utm_campaign%3Dpoke%2Bcottage","Helioptile")</f>
        <v>Helioptile</v>
      </c>
      <c r="D292" s="5" t="s">
        <v>8</v>
      </c>
      <c r="E292" s="5" t="s">
        <v>9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168</v>
      </c>
      <c r="C293" s="6" t="str">
        <f aca="false">HYPERLINK("https://partner.tcgplayer.com/c/6278691/1780961/21018?u=https%3A%2F%2Fwww.tcgplayer.com%2Fproduct%2F589963%3Futm_source%3Dimpact%26utm_medium%3Daffiliate%26utm_campaign%3Dpoke%2Bcottage","Helioptile")</f>
        <v>Helioptile</v>
      </c>
      <c r="D293" s="5" t="s">
        <v>8</v>
      </c>
      <c r="E293" s="5" t="s">
        <v>11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169</v>
      </c>
      <c r="C294" s="6" t="str">
        <f aca="false">HYPERLINK("https://partner.tcgplayer.com/c/6278691/1780961/21018?u=https%3A%2F%2Fwww.tcgplayer.com%2Fproduct%2F589962%3Futm_source%3Dimpact%26utm_medium%3Daffiliate%26utm_campaign%3Dpoke%2Bcottage","Heliolisk")</f>
        <v>Heliolisk</v>
      </c>
      <c r="D294" s="5" t="s">
        <v>8</v>
      </c>
      <c r="E294" s="5" t="s">
        <v>9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169</v>
      </c>
      <c r="C295" s="6" t="str">
        <f aca="false">HYPERLINK("https://partner.tcgplayer.com/c/6278691/1780961/21018?u=https%3A%2F%2Fwww.tcgplayer.com%2Fproduct%2F589962%3Futm_source%3Dimpact%26utm_medium%3Daffiliate%26utm_campaign%3Dpoke%2Bcottage","Heliolisk")</f>
        <v>Heliolisk</v>
      </c>
      <c r="D295" s="5" t="s">
        <v>8</v>
      </c>
      <c r="E295" s="5" t="s">
        <v>11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170</v>
      </c>
      <c r="C296" s="6" t="str">
        <f aca="false">HYPERLINK("https://partner.tcgplayer.com/c/6278691/1780961/21018?u=https%3A%2F%2Fwww.tcgplayer.com%2Fproduct%2F590011%3Futm_source%3Dimpact%26utm_medium%3Daffiliate%26utm_campaign%3Dpoke%2Bcottage","Oranguru")</f>
        <v>Oranguru</v>
      </c>
      <c r="D296" s="5" t="s">
        <v>8</v>
      </c>
      <c r="E296" s="5" t="s">
        <v>9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170</v>
      </c>
      <c r="C297" s="6" t="str">
        <f aca="false">HYPERLINK("https://partner.tcgplayer.com/c/6278691/1780961/21018?u=https%3A%2F%2Fwww.tcgplayer.com%2Fproduct%2F590011%3Futm_source%3Dimpact%26utm_medium%3Daffiliate%26utm_campaign%3Dpoke%2Bcottage","Oranguru")</f>
        <v>Oranguru</v>
      </c>
      <c r="D297" s="5" t="s">
        <v>8</v>
      </c>
      <c r="E297" s="5" t="s">
        <v>11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171</v>
      </c>
      <c r="C298" s="6" t="str">
        <f aca="false">HYPERLINK("https://partner.tcgplayer.com/c/6278691/1780961/21018?u=https%3A%2F%2Fwww.tcgplayer.com%2Fproduct%2F590070%3Futm_source%3Dimpact%26utm_medium%3Daffiliate%26utm_campaign%3Dpoke%2Bcottage","Tandemaus")</f>
        <v>Tandemaus</v>
      </c>
      <c r="D298" s="5" t="s">
        <v>8</v>
      </c>
      <c r="E298" s="5" t="s">
        <v>9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171</v>
      </c>
      <c r="C299" s="6" t="str">
        <f aca="false">HYPERLINK("https://partner.tcgplayer.com/c/6278691/1780961/21018?u=https%3A%2F%2Fwww.tcgplayer.com%2Fproduct%2F590070%3Futm_source%3Dimpact%26utm_medium%3Daffiliate%26utm_campaign%3Dpoke%2Bcottage","Tandemaus")</f>
        <v>Tandemaus</v>
      </c>
      <c r="D299" s="5" t="s">
        <v>8</v>
      </c>
      <c r="E299" s="5" t="s">
        <v>11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172</v>
      </c>
      <c r="C300" s="6" t="str">
        <f aca="false">HYPERLINK("https://partner.tcgplayer.com/c/6278691/1780961/21018?u=https%3A%2F%2Fwww.tcgplayer.com%2Fproduct%2F589998%3Futm_source%3Dimpact%26utm_medium%3Daffiliate%26utm_campaign%3Dpoke%2Bcottage","Maushold")</f>
        <v>Maushold</v>
      </c>
      <c r="D300" s="5" t="s">
        <v>14</v>
      </c>
      <c r="E300" s="5" t="s">
        <v>9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172</v>
      </c>
      <c r="C301" s="6" t="str">
        <f aca="false">HYPERLINK("https://partner.tcgplayer.com/c/6278691/1780961/21018?u=https%3A%2F%2Fwww.tcgplayer.com%2Fproduct%2F589998%3Futm_source%3Dimpact%26utm_medium%3Daffiliate%26utm_campaign%3Dpoke%2Bcottage","Maushold")</f>
        <v>Maushold</v>
      </c>
      <c r="D301" s="5" t="s">
        <v>14</v>
      </c>
      <c r="E301" s="5" t="s">
        <v>11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173</v>
      </c>
      <c r="C302" s="6" t="str">
        <f aca="false">HYPERLINK("https://partner.tcgplayer.com/c/6278691/1780961/21018?u=https%3A%2F%2Fwww.tcgplayer.com%2Fproduct%2F589910%3Futm_source%3Dimpact%26utm_medium%3Daffiliate%26utm_campaign%3Dpoke%2Bcottage","Cyclizar ex")</f>
        <v>Cyclizar ex</v>
      </c>
      <c r="D302" s="5" t="s">
        <v>16</v>
      </c>
      <c r="E302" s="5" t="s">
        <v>17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174</v>
      </c>
      <c r="C303" s="6" t="str">
        <f aca="false">HYPERLINK("https://partner.tcgplayer.com/c/6278691/1780961/21018?u=https%3A%2F%2Fwww.tcgplayer.com%2Fproduct%2F589945%3Futm_source%3Dimpact%26utm_medium%3Daffiliate%26utm_campaign%3Dpoke%2Bcottage","Flamigo ex")</f>
        <v>Flamigo ex</v>
      </c>
      <c r="D303" s="5" t="s">
        <v>16</v>
      </c>
      <c r="E303" s="5" t="s">
        <v>17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175</v>
      </c>
      <c r="C304" s="6" t="str">
        <f aca="false">HYPERLINK("https://partner.tcgplayer.com/c/6278691/1780961/21018?u=https%3A%2F%2Fwww.tcgplayer.com%2Fproduct%2F590077%3Futm_source%3Dimpact%26utm_medium%3Daffiliate%26utm_campaign%3Dpoke%2Bcottage","Terapagos")</f>
        <v>Terapagos</v>
      </c>
      <c r="D304" s="5" t="s">
        <v>25</v>
      </c>
      <c r="E304" s="5" t="s">
        <v>17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175</v>
      </c>
      <c r="C305" s="6" t="str">
        <f aca="false">HYPERLINK("https://partner.tcgplayer.com/c/6278691/1780961/21018?u=https%3A%2F%2Fwww.tcgplayer.com%2Fproduct%2F590077%3Futm_source%3Dimpact%26utm_medium%3Daffiliate%26utm_campaign%3Dpoke%2Bcottage","Terapagos")</f>
        <v>Terapagos</v>
      </c>
      <c r="D305" s="5" t="s">
        <v>25</v>
      </c>
      <c r="E305" s="5" t="s">
        <v>11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176</v>
      </c>
      <c r="C306" s="6" t="str">
        <f aca="false">HYPERLINK("https://partner.tcgplayer.com/c/6278691/1780961/21018?u=https%3A%2F%2Fwww.tcgplayer.com%2Fproduct%2F589862%3Futm_source%3Dimpact%26utm_medium%3Daffiliate%26utm_campaign%3Dpoke%2Bcottage","Amulet of Hope")</f>
        <v>Amulet of Hope</v>
      </c>
      <c r="D306" s="5" t="s">
        <v>177</v>
      </c>
      <c r="E306" s="5" t="s">
        <v>17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178</v>
      </c>
      <c r="C307" s="6" t="str">
        <f aca="false">HYPERLINK("https://partner.tcgplayer.com/c/6278691/1780961/21018?u=https%3A%2F%2Fwww.tcgplayer.com%2Fproduct%2F589873%3Futm_source%3Dimpact%26utm_medium%3Daffiliate%26utm_campaign%3Dpoke%2Bcottage","Babiri Berry")</f>
        <v>Babiri Berry</v>
      </c>
      <c r="D307" s="5" t="s">
        <v>14</v>
      </c>
      <c r="E307" s="5" t="s">
        <v>9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178</v>
      </c>
      <c r="C308" s="6" t="str">
        <f aca="false">HYPERLINK("https://partner.tcgplayer.com/c/6278691/1780961/21018?u=https%3A%2F%2Fwww.tcgplayer.com%2Fproduct%2F589873%3Futm_source%3Dimpact%26utm_medium%3Daffiliate%26utm_campaign%3Dpoke%2Bcottage","Babiri Berry")</f>
        <v>Babiri Berry</v>
      </c>
      <c r="D308" s="5" t="s">
        <v>14</v>
      </c>
      <c r="E308" s="5" t="s">
        <v>11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179</v>
      </c>
      <c r="C309" s="6" t="str">
        <f aca="false">HYPERLINK("https://partner.tcgplayer.com/c/6278691/1780961/21018?u=https%3A%2F%2Fwww.tcgplayer.com%2Fproduct%2F589880%3Futm_source%3Dimpact%26utm_medium%3Daffiliate%26utm_campaign%3Dpoke%2Bcottage","Brilliant Blender")</f>
        <v>Brilliant Blender</v>
      </c>
      <c r="D309" s="5" t="s">
        <v>177</v>
      </c>
      <c r="E309" s="5" t="s">
        <v>17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180</v>
      </c>
      <c r="C310" s="6" t="str">
        <f aca="false">HYPERLINK("https://partner.tcgplayer.com/c/6278691/1780961/21018?u=https%3A%2F%2Fwww.tcgplayer.com%2Fproduct%2F589885%3Futm_source%3Dimpact%26utm_medium%3Daffiliate%26utm_campaign%3Dpoke%2Bcottage","Call Bell")</f>
        <v>Call Bell</v>
      </c>
      <c r="D310" s="5" t="s">
        <v>14</v>
      </c>
      <c r="E310" s="5" t="s">
        <v>9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180</v>
      </c>
      <c r="C311" s="6" t="str">
        <f aca="false">HYPERLINK("https://partner.tcgplayer.com/c/6278691/1780961/21018?u=https%3A%2F%2Fwww.tcgplayer.com%2Fproduct%2F589885%3Futm_source%3Dimpact%26utm_medium%3Daffiliate%26utm_campaign%3Dpoke%2Bcottage","Call Bell")</f>
        <v>Call Bell</v>
      </c>
      <c r="D311" s="5" t="s">
        <v>14</v>
      </c>
      <c r="E311" s="5" t="s">
        <v>11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181</v>
      </c>
      <c r="C312" s="6" t="str">
        <f aca="false">HYPERLINK("https://partner.tcgplayer.com/c/6278691/1780961/21018?u=https%3A%2F%2Fwww.tcgplayer.com%2Fproduct%2F589899%3Futm_source%3Dimpact%26utm_medium%3Daffiliate%26utm_campaign%3Dpoke%2Bcottage","Chill Teaser Toy")</f>
        <v>Chill Teaser Toy</v>
      </c>
      <c r="D312" s="5" t="s">
        <v>14</v>
      </c>
      <c r="E312" s="5" t="s">
        <v>9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181</v>
      </c>
      <c r="C313" s="6" t="str">
        <f aca="false">HYPERLINK("https://partner.tcgplayer.com/c/6278691/1780961/21018?u=https%3A%2F%2Fwww.tcgplayer.com%2Fproduct%2F589899%3Futm_source%3Dimpact%26utm_medium%3Daffiliate%26utm_campaign%3Dpoke%2Bcottage","Chill Teaser Toy")</f>
        <v>Chill Teaser Toy</v>
      </c>
      <c r="D313" s="5" t="s">
        <v>14</v>
      </c>
      <c r="E313" s="5" t="s">
        <v>11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182</v>
      </c>
      <c r="C314" s="6" t="str">
        <f aca="false">HYPERLINK("https://partner.tcgplayer.com/c/6278691/1780961/21018?u=https%3A%2F%2Fwww.tcgplayer.com%2Fproduct%2F589900%3Futm_source%3Dimpact%26utm_medium%3Daffiliate%26utm_campaign%3Dpoke%2Bcottage","Clemont's Quick Wit")</f>
        <v>Clemont's Quick Wit</v>
      </c>
      <c r="D314" s="5" t="s">
        <v>14</v>
      </c>
      <c r="E314" s="5" t="s">
        <v>9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182</v>
      </c>
      <c r="C315" s="6" t="str">
        <f aca="false">HYPERLINK("https://partner.tcgplayer.com/c/6278691/1780961/21018?u=https%3A%2F%2Fwww.tcgplayer.com%2Fproduct%2F589900%3Futm_source%3Dimpact%26utm_medium%3Daffiliate%26utm_campaign%3Dpoke%2Bcottage","Clemont's Quick Wit")</f>
        <v>Clemont's Quick Wit</v>
      </c>
      <c r="D315" s="5" t="s">
        <v>14</v>
      </c>
      <c r="E315" s="5" t="s">
        <v>11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183</v>
      </c>
      <c r="C316" s="6" t="str">
        <f aca="false">HYPERLINK("https://partner.tcgplayer.com/c/6278691/1780961/21018?u=https%3A%2F%2Fwww.tcgplayer.com%2Fproduct%2F589906%3Futm_source%3Dimpact%26utm_medium%3Daffiliate%26utm_campaign%3Dpoke%2Bcottage","Colbur Berry")</f>
        <v>Colbur Berry</v>
      </c>
      <c r="D316" s="5" t="s">
        <v>14</v>
      </c>
      <c r="E316" s="5" t="s">
        <v>9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183</v>
      </c>
      <c r="C317" s="6" t="str">
        <f aca="false">HYPERLINK("https://partner.tcgplayer.com/c/6278691/1780961/21018?u=https%3A%2F%2Fwww.tcgplayer.com%2Fproduct%2F589906%3Futm_source%3Dimpact%26utm_medium%3Daffiliate%26utm_campaign%3Dpoke%2Bcottage","Colbur Berry")</f>
        <v>Colbur Berry</v>
      </c>
      <c r="D317" s="5" t="s">
        <v>14</v>
      </c>
      <c r="E317" s="5" t="s">
        <v>11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184</v>
      </c>
      <c r="C318" s="6" t="str">
        <f aca="false">HYPERLINK("https://partner.tcgplayer.com/c/6278691/1780961/21018?u=https%3A%2F%2Fwww.tcgplayer.com%2Fproduct%2F589907%3Futm_source%3Dimpact%26utm_medium%3Daffiliate%26utm_campaign%3Dpoke%2Bcottage","Counter Gain")</f>
        <v>Counter Gain</v>
      </c>
      <c r="D318" s="5" t="s">
        <v>14</v>
      </c>
      <c r="E318" s="5" t="s">
        <v>9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184</v>
      </c>
      <c r="C319" s="6" t="str">
        <f aca="false">HYPERLINK("https://partner.tcgplayer.com/c/6278691/1780961/21018?u=https%3A%2F%2Fwww.tcgplayer.com%2Fproduct%2F589907%3Futm_source%3Dimpact%26utm_medium%3Daffiliate%26utm_campaign%3Dpoke%2Bcottage","Counter Gain")</f>
        <v>Counter Gain</v>
      </c>
      <c r="D319" s="5" t="s">
        <v>14</v>
      </c>
      <c r="E319" s="5" t="s">
        <v>11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185</v>
      </c>
      <c r="C320" s="6" t="str">
        <f aca="false">HYPERLINK("https://partner.tcgplayer.com/c/6278691/1780961/21018?u=https%3A%2F%2Fwww.tcgplayer.com%2Fproduct%2F589912%3Futm_source%3Dimpact%26utm_medium%3Daffiliate%26utm_campaign%3Dpoke%2Bcottage","Cyrano")</f>
        <v>Cyrano</v>
      </c>
      <c r="D320" s="5" t="s">
        <v>14</v>
      </c>
      <c r="E320" s="5" t="s">
        <v>9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185</v>
      </c>
      <c r="C321" s="6" t="str">
        <f aca="false">HYPERLINK("https://partner.tcgplayer.com/c/6278691/1780961/21018?u=https%3A%2F%2Fwww.tcgplayer.com%2Fproduct%2F589912%3Futm_source%3Dimpact%26utm_medium%3Daffiliate%26utm_campaign%3Dpoke%2Bcottage","Cyrano")</f>
        <v>Cyrano</v>
      </c>
      <c r="D321" s="5" t="s">
        <v>14</v>
      </c>
      <c r="E321" s="5" t="s">
        <v>11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186</v>
      </c>
      <c r="C322" s="6" t="str">
        <f aca="false">HYPERLINK("https://partner.tcgplayer.com/c/6278691/1780961/21018?u=https%3A%2F%2Fwww.tcgplayer.com%2Fproduct%2F589915%3Futm_source%3Dimpact%26utm_medium%3Daffiliate%26utm_campaign%3Dpoke%2Bcottage","Deduction Kit")</f>
        <v>Deduction Kit</v>
      </c>
      <c r="D322" s="5" t="s">
        <v>14</v>
      </c>
      <c r="E322" s="5" t="s">
        <v>9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186</v>
      </c>
      <c r="C323" s="6" t="str">
        <f aca="false">HYPERLINK("https://partner.tcgplayer.com/c/6278691/1780961/21018?u=https%3A%2F%2Fwww.tcgplayer.com%2Fproduct%2F589915%3Futm_source%3Dimpact%26utm_medium%3Daffiliate%26utm_campaign%3Dpoke%2Bcottage","Deduction Kit")</f>
        <v>Deduction Kit</v>
      </c>
      <c r="D323" s="5" t="s">
        <v>14</v>
      </c>
      <c r="E323" s="5" t="s">
        <v>11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187</v>
      </c>
      <c r="C324" s="6" t="str">
        <f aca="false">HYPERLINK("https://partner.tcgplayer.com/c/6278691/1780961/21018?u=https%3A%2F%2Fwww.tcgplayer.com%2Fproduct%2F589920%3Futm_source%3Dimpact%26utm_medium%3Daffiliate%26utm_campaign%3Dpoke%2Bcottage","Dragon Elixir")</f>
        <v>Dragon Elixir</v>
      </c>
      <c r="D324" s="5" t="s">
        <v>14</v>
      </c>
      <c r="E324" s="5" t="s">
        <v>9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187</v>
      </c>
      <c r="C325" s="6" t="str">
        <f aca="false">HYPERLINK("https://partner.tcgplayer.com/c/6278691/1780961/21018?u=https%3A%2F%2Fwww.tcgplayer.com%2Fproduct%2F589920%3Futm_source%3Dimpact%26utm_medium%3Daffiliate%26utm_campaign%3Dpoke%2Bcottage","Dragon Elixir")</f>
        <v>Dragon Elixir</v>
      </c>
      <c r="D325" s="5" t="s">
        <v>14</v>
      </c>
      <c r="E325" s="5" t="s">
        <v>11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188</v>
      </c>
      <c r="C326" s="6" t="str">
        <f aca="false">HYPERLINK("https://partner.tcgplayer.com/c/6278691/1780961/21018?u=https%3A%2F%2Fwww.tcgplayer.com%2Fproduct%2F589921%3Futm_source%3Dimpact%26utm_medium%3Daffiliate%26utm_campaign%3Dpoke%2Bcottage","Drasna")</f>
        <v>Drasna</v>
      </c>
      <c r="D326" s="5" t="s">
        <v>8</v>
      </c>
      <c r="E326" s="5" t="s">
        <v>9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188</v>
      </c>
      <c r="C327" s="6" t="str">
        <f aca="false">HYPERLINK("https://partner.tcgplayer.com/c/6278691/1780961/21018?u=https%3A%2F%2Fwww.tcgplayer.com%2Fproduct%2F589921%3Futm_source%3Dimpact%26utm_medium%3Daffiliate%26utm_campaign%3Dpoke%2Bcottage","Drasna")</f>
        <v>Drasna</v>
      </c>
      <c r="D327" s="5" t="s">
        <v>8</v>
      </c>
      <c r="E327" s="5" t="s">
        <v>11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189</v>
      </c>
      <c r="C328" s="6" t="str">
        <f aca="false">HYPERLINK("https://partner.tcgplayer.com/c/6278691/1780961/21018?u=https%3A%2F%2Fwww.tcgplayer.com%2Fproduct%2F589923%3Futm_source%3Dimpact%26utm_medium%3Daffiliate%26utm_campaign%3Dpoke%2Bcottage","Drayton")</f>
        <v>Drayton</v>
      </c>
      <c r="D328" s="5" t="s">
        <v>14</v>
      </c>
      <c r="E328" s="5" t="s">
        <v>9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189</v>
      </c>
      <c r="C329" s="6" t="str">
        <f aca="false">HYPERLINK("https://partner.tcgplayer.com/c/6278691/1780961/21018?u=https%3A%2F%2Fwww.tcgplayer.com%2Fproduct%2F589923%3Futm_source%3Dimpact%26utm_medium%3Daffiliate%26utm_campaign%3Dpoke%2Bcottage","Drayton")</f>
        <v>Drayton</v>
      </c>
      <c r="D329" s="5" t="s">
        <v>14</v>
      </c>
      <c r="E329" s="5" t="s">
        <v>11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190</v>
      </c>
      <c r="C330" s="6" t="str">
        <f aca="false">HYPERLINK("https://partner.tcgplayer.com/c/6278691/1780961/21018?u=https%3A%2F%2Fwww.tcgplayer.com%2Fproduct%2F589931%3Futm_source%3Dimpact%26utm_medium%3Daffiliate%26utm_campaign%3Dpoke%2Bcottage","Dusk Ball")</f>
        <v>Dusk Ball</v>
      </c>
      <c r="D330" s="5" t="s">
        <v>14</v>
      </c>
      <c r="E330" s="5" t="s">
        <v>9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190</v>
      </c>
      <c r="C331" s="6" t="str">
        <f aca="false">HYPERLINK("https://partner.tcgplayer.com/c/6278691/1780961/21018?u=https%3A%2F%2Fwww.tcgplayer.com%2Fproduct%2F589931%3Futm_source%3Dimpact%26utm_medium%3Daffiliate%26utm_campaign%3Dpoke%2Bcottage","Dusk Ball")</f>
        <v>Dusk Ball</v>
      </c>
      <c r="D331" s="5" t="s">
        <v>14</v>
      </c>
      <c r="E331" s="5" t="s">
        <v>11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191</v>
      </c>
      <c r="C332" s="6" t="str">
        <f aca="false">HYPERLINK("https://partner.tcgplayer.com/c/6278691/1780961/21018?u=https%3A%2F%2Fwww.tcgplayer.com%2Fproduct%2F589933%3Futm_source%3Dimpact%26utm_medium%3Daffiliate%26utm_campaign%3Dpoke%2Bcottage","Energy Search Pro")</f>
        <v>Energy Search Pro</v>
      </c>
      <c r="D332" s="5" t="s">
        <v>177</v>
      </c>
      <c r="E332" s="5" t="s">
        <v>17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192</v>
      </c>
      <c r="C333" s="6" t="str">
        <f aca="false">HYPERLINK("https://partner.tcgplayer.com/c/6278691/1780961/21018?u=https%3A%2F%2Fwww.tcgplayer.com%2Fproduct%2F589961%3Futm_source%3Dimpact%26utm_medium%3Daffiliate%26utm_campaign%3Dpoke%2Bcottage","Gravity Mountain")</f>
        <v>Gravity Mountain</v>
      </c>
      <c r="D333" s="5" t="s">
        <v>14</v>
      </c>
      <c r="E333" s="5" t="s">
        <v>9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192</v>
      </c>
      <c r="C334" s="6" t="str">
        <f aca="false">HYPERLINK("https://partner.tcgplayer.com/c/6278691/1780961/21018?u=https%3A%2F%2Fwww.tcgplayer.com%2Fproduct%2F589961%3Futm_source%3Dimpact%26utm_medium%3Daffiliate%26utm_campaign%3Dpoke%2Bcottage","Gravity Mountain")</f>
        <v>Gravity Mountain</v>
      </c>
      <c r="D334" s="5" t="s">
        <v>14</v>
      </c>
      <c r="E334" s="5" t="s">
        <v>11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193</v>
      </c>
      <c r="C335" s="6" t="str">
        <f aca="false">HYPERLINK("https://partner.tcgplayer.com/c/6278691/1780961/21018?u=https%3A%2F%2Fwww.tcgplayer.com%2Fproduct%2F589971%3Futm_source%3Dimpact%26utm_medium%3Daffiliate%26utm_campaign%3Dpoke%2Bcottage","Jasmine's Gaze")</f>
        <v>Jasmine's Gaze</v>
      </c>
      <c r="D335" s="5" t="s">
        <v>14</v>
      </c>
      <c r="E335" s="5" t="s">
        <v>9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193</v>
      </c>
      <c r="C336" s="6" t="str">
        <f aca="false">HYPERLINK("https://partner.tcgplayer.com/c/6278691/1780961/21018?u=https%3A%2F%2Fwww.tcgplayer.com%2Fproduct%2F589971%3Futm_source%3Dimpact%26utm_medium%3Daffiliate%26utm_campaign%3Dpoke%2Bcottage","Jasmine's Gaze")</f>
        <v>Jasmine's Gaze</v>
      </c>
      <c r="D336" s="5" t="s">
        <v>14</v>
      </c>
      <c r="E336" s="5" t="s">
        <v>11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194</v>
      </c>
      <c r="C337" s="6" t="str">
        <f aca="false">HYPERLINK("https://partner.tcgplayer.com/c/6278691/1780961/21018?u=https%3A%2F%2Fwww.tcgplayer.com%2Fproduct%2F589988%3Futm_source%3Dimpact%26utm_medium%3Daffiliate%26utm_campaign%3Dpoke%2Bcottage","Lisia's Appeal")</f>
        <v>Lisia's Appeal</v>
      </c>
      <c r="D337" s="5" t="s">
        <v>14</v>
      </c>
      <c r="E337" s="5" t="s">
        <v>9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194</v>
      </c>
      <c r="C338" s="6" t="str">
        <f aca="false">HYPERLINK("https://partner.tcgplayer.com/c/6278691/1780961/21018?u=https%3A%2F%2Fwww.tcgplayer.com%2Fproduct%2F589988%3Futm_source%3Dimpact%26utm_medium%3Daffiliate%26utm_campaign%3Dpoke%2Bcottage","Lisia's Appeal")</f>
        <v>Lisia's Appeal</v>
      </c>
      <c r="D338" s="5" t="s">
        <v>14</v>
      </c>
      <c r="E338" s="5" t="s">
        <v>11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195</v>
      </c>
      <c r="C339" s="6" t="str">
        <f aca="false">HYPERLINK("https://partner.tcgplayer.com/c/6278691/1780961/21018?u=https%3A%2F%2Fwww.tcgplayer.com%2Fproduct%2F589991%3Futm_source%3Dimpact%26utm_medium%3Daffiliate%26utm_campaign%3Dpoke%2Bcottage","Lively Stadium")</f>
        <v>Lively Stadium</v>
      </c>
      <c r="D339" s="5" t="s">
        <v>14</v>
      </c>
      <c r="E339" s="5" t="s">
        <v>9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195</v>
      </c>
      <c r="C340" s="6" t="str">
        <f aca="false">HYPERLINK("https://partner.tcgplayer.com/c/6278691/1780961/21018?u=https%3A%2F%2Fwww.tcgplayer.com%2Fproduct%2F589991%3Futm_source%3Dimpact%26utm_medium%3Daffiliate%26utm_campaign%3Dpoke%2Bcottage","Lively Stadium")</f>
        <v>Lively Stadium</v>
      </c>
      <c r="D340" s="5" t="s">
        <v>14</v>
      </c>
      <c r="E340" s="5" t="s">
        <v>11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196</v>
      </c>
      <c r="C341" s="6" t="str">
        <f aca="false">HYPERLINK("https://partner.tcgplayer.com/c/6278691/1780961/21018?u=https%3A%2F%2Fwww.tcgplayer.com%2Fproduct%2F589999%3Futm_source%3Dimpact%26utm_medium%3Daffiliate%26utm_campaign%3Dpoke%2Bcottage","Meddling Memo")</f>
        <v>Meddling Memo</v>
      </c>
      <c r="D341" s="5" t="s">
        <v>14</v>
      </c>
      <c r="E341" s="5" t="s">
        <v>9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196</v>
      </c>
      <c r="C342" s="6" t="str">
        <f aca="false">HYPERLINK("https://partner.tcgplayer.com/c/6278691/1780961/21018?u=https%3A%2F%2Fwww.tcgplayer.com%2Fproduct%2F589999%3Futm_source%3Dimpact%26utm_medium%3Daffiliate%26utm_campaign%3Dpoke%2Bcottage","Meddling Memo")</f>
        <v>Meddling Memo</v>
      </c>
      <c r="D342" s="5" t="s">
        <v>14</v>
      </c>
      <c r="E342" s="5" t="s">
        <v>11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197</v>
      </c>
      <c r="C343" s="6" t="str">
        <f aca="false">HYPERLINK("https://partner.tcgplayer.com/c/6278691/1780961/21018?u=https%3A%2F%2Fwww.tcgplayer.com%2Fproduct%2F590000%3Futm_source%3Dimpact%26utm_medium%3Daffiliate%26utm_campaign%3Dpoke%2Bcottage","Megaton Blower")</f>
        <v>Megaton Blower</v>
      </c>
      <c r="D343" s="5" t="s">
        <v>177</v>
      </c>
      <c r="E343" s="5" t="s">
        <v>17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198</v>
      </c>
      <c r="C344" s="6" t="str">
        <f aca="false">HYPERLINK("https://partner.tcgplayer.com/c/6278691/1780961/21018?u=https%3A%2F%2Fwww.tcgplayer.com%2Fproduct%2F590007%3Futm_source%3Dimpact%26utm_medium%3Daffiliate%26utm_campaign%3Dpoke%2Bcottage","Miracle Headset")</f>
        <v>Miracle Headset</v>
      </c>
      <c r="D344" s="5" t="s">
        <v>177</v>
      </c>
      <c r="E344" s="5" t="s">
        <v>17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199</v>
      </c>
      <c r="C345" s="6" t="str">
        <f aca="false">HYPERLINK("https://partner.tcgplayer.com/c/6278691/1780961/21018?u=https%3A%2F%2Fwww.tcgplayer.com%2Fproduct%2F590021%3Futm_source%3Dimpact%26utm_medium%3Daffiliate%26utm_campaign%3Dpoke%2Bcottage","Passho Berry")</f>
        <v>Passho Berry</v>
      </c>
      <c r="D345" s="5" t="s">
        <v>14</v>
      </c>
      <c r="E345" s="5" t="s">
        <v>9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199</v>
      </c>
      <c r="C346" s="6" t="str">
        <f aca="false">HYPERLINK("https://partner.tcgplayer.com/c/6278691/1780961/21018?u=https%3A%2F%2Fwww.tcgplayer.com%2Fproduct%2F590021%3Futm_source%3Dimpact%26utm_medium%3Daffiliate%26utm_campaign%3Dpoke%2Bcottage","Passho Berry")</f>
        <v>Passho Berry</v>
      </c>
      <c r="D346" s="5" t="s">
        <v>14</v>
      </c>
      <c r="E346" s="5" t="s">
        <v>11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200</v>
      </c>
      <c r="C347" s="6" t="str">
        <f aca="false">HYPERLINK("https://partner.tcgplayer.com/c/6278691/1780961/21018?u=https%3A%2F%2Fwww.tcgplayer.com%2Fproduct%2F590028%3Futm_source%3Dimpact%26utm_medium%3Daffiliate%26utm_campaign%3Dpoke%2Bcottage","Precious Trolley")</f>
        <v>Precious Trolley</v>
      </c>
      <c r="D347" s="5" t="s">
        <v>177</v>
      </c>
      <c r="E347" s="5" t="s">
        <v>17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201</v>
      </c>
      <c r="C348" s="6" t="str">
        <f aca="false">HYPERLINK("https://partner.tcgplayer.com/c/6278691/1780961/21018?u=https%3A%2F%2Fwww.tcgplayer.com%2Fproduct%2F590042%3Futm_source%3Dimpact%26utm_medium%3Daffiliate%26utm_campaign%3Dpoke%2Bcottage","Scramble Switch")</f>
        <v>Scramble Switch</v>
      </c>
      <c r="D348" s="5" t="s">
        <v>177</v>
      </c>
      <c r="E348" s="5" t="s">
        <v>17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202</v>
      </c>
      <c r="C349" s="6" t="str">
        <f aca="false">HYPERLINK("https://partner.tcgplayer.com/c/6278691/1780961/21018?u=https%3A%2F%2Fwww.tcgplayer.com%2Fproduct%2F590066%3Futm_source%3Dimpact%26utm_medium%3Daffiliate%26utm_campaign%3Dpoke%2Bcottage","Surfer")</f>
        <v>Surfer</v>
      </c>
      <c r="D349" s="5" t="s">
        <v>14</v>
      </c>
      <c r="E349" s="5" t="s">
        <v>9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202</v>
      </c>
      <c r="C350" s="6" t="str">
        <f aca="false">HYPERLINK("https://partner.tcgplayer.com/c/6278691/1780961/21018?u=https%3A%2F%2Fwww.tcgplayer.com%2Fproduct%2F590066%3Futm_source%3Dimpact%26utm_medium%3Daffiliate%26utm_campaign%3Dpoke%2Bcottage","Surfer")</f>
        <v>Surfer</v>
      </c>
      <c r="D350" s="5" t="s">
        <v>14</v>
      </c>
      <c r="E350" s="5" t="s">
        <v>11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203</v>
      </c>
      <c r="C351" s="6" t="str">
        <f aca="false">HYPERLINK("https://partner.tcgplayer.com/c/6278691/1780961/21018?u=https%3A%2F%2Fwww.tcgplayer.com%2Fproduct%2F590075%3Futm_source%3Dimpact%26utm_medium%3Daffiliate%26utm_campaign%3Dpoke%2Bcottage","Technical Machine: Fluorite")</f>
        <v>Technical Machine: Fluorite</v>
      </c>
      <c r="D351" s="5" t="s">
        <v>14</v>
      </c>
      <c r="E351" s="5" t="s">
        <v>9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203</v>
      </c>
      <c r="C352" s="6" t="str">
        <f aca="false">HYPERLINK("https://partner.tcgplayer.com/c/6278691/1780961/21018?u=https%3A%2F%2Fwww.tcgplayer.com%2Fproduct%2F590075%3Futm_source%3Dimpact%26utm_medium%3Daffiliate%26utm_campaign%3Dpoke%2Bcottage","Technical Machine: Fluorite")</f>
        <v>Technical Machine: Fluorite</v>
      </c>
      <c r="D352" s="5" t="s">
        <v>14</v>
      </c>
      <c r="E352" s="5" t="s">
        <v>11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204</v>
      </c>
      <c r="C353" s="6" t="str">
        <f aca="false">HYPERLINK("https://partner.tcgplayer.com/c/6278691/1780961/21018?u=https%3A%2F%2Fwww.tcgplayer.com%2Fproduct%2F590076%3Futm_source%3Dimpact%26utm_medium%3Daffiliate%26utm_campaign%3Dpoke%2Bcottage","Tera Orb")</f>
        <v>Tera Orb</v>
      </c>
      <c r="D353" s="5" t="s">
        <v>14</v>
      </c>
      <c r="E353" s="5" t="s">
        <v>9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204</v>
      </c>
      <c r="C354" s="6" t="str">
        <f aca="false">HYPERLINK("https://partner.tcgplayer.com/c/6278691/1780961/21018?u=https%3A%2F%2Fwww.tcgplayer.com%2Fproduct%2F590076%3Futm_source%3Dimpact%26utm_medium%3Daffiliate%26utm_campaign%3Dpoke%2Bcottage","Tera Orb")</f>
        <v>Tera Orb</v>
      </c>
      <c r="D354" s="5" t="s">
        <v>14</v>
      </c>
      <c r="E354" s="5" t="s">
        <v>11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205</v>
      </c>
      <c r="C355" s="6" t="str">
        <f aca="false">HYPERLINK("https://partner.tcgplayer.com/c/6278691/1780961/21018?u=https%3A%2F%2Fwww.tcgplayer.com%2Fproduct%2F590083%3Futm_source%3Dimpact%26utm_medium%3Daffiliate%26utm_campaign%3Dpoke%2Bcottage","Tyme")</f>
        <v>Tyme</v>
      </c>
      <c r="D355" s="5" t="s">
        <v>14</v>
      </c>
      <c r="E355" s="5" t="s">
        <v>9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205</v>
      </c>
      <c r="C356" s="6" t="str">
        <f aca="false">HYPERLINK("https://partner.tcgplayer.com/c/6278691/1780961/21018?u=https%3A%2F%2Fwww.tcgplayer.com%2Fproduct%2F590083%3Futm_source%3Dimpact%26utm_medium%3Daffiliate%26utm_campaign%3Dpoke%2Bcottage","Tyme")</f>
        <v>Tyme</v>
      </c>
      <c r="D356" s="5" t="s">
        <v>14</v>
      </c>
      <c r="E356" s="5" t="s">
        <v>11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206</v>
      </c>
      <c r="C357" s="6" t="str">
        <f aca="false">HYPERLINK("https://partner.tcgplayer.com/c/6278691/1780961/21018?u=https%3A%2F%2Fwww.tcgplayer.com%2Fproduct%2F589934%3Futm_source%3Dimpact%26utm_medium%3Daffiliate%26utm_campaign%3Dpoke%2Bcottage","Enriching Energy")</f>
        <v>Enriching Energy</v>
      </c>
      <c r="D357" s="5" t="s">
        <v>177</v>
      </c>
      <c r="E357" s="5" t="s">
        <v>17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207</v>
      </c>
      <c r="C358" s="6" t="str">
        <f aca="false">HYPERLINK("https://partner.tcgplayer.com/c/6278691/1780961/21018?u=https%3A%2F%2Fwww.tcgplayer.com%2Fproduct%2F589941%3Futm_source%3Dimpact%26utm_medium%3Daffiliate%26utm_campaign%3Dpoke%2Bcottage","Exeggcute")</f>
        <v>Exeggcute</v>
      </c>
      <c r="D358" s="5" t="s">
        <v>208</v>
      </c>
      <c r="E358" s="5" t="s">
        <v>17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209</v>
      </c>
      <c r="C359" s="6" t="str">
        <f aca="false">HYPERLINK("https://partner.tcgplayer.com/c/6278691/1780961/21018?u=https%3A%2F%2Fwww.tcgplayer.com%2Fproduct%2F590090%3Futm_source%3Dimpact%26utm_medium%3Daffiliate%26utm_campaign%3Dpoke%2Bcottage","Vivillon")</f>
        <v>Vivillon</v>
      </c>
      <c r="D359" s="5" t="s">
        <v>208</v>
      </c>
      <c r="E359" s="5" t="s">
        <v>17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210</v>
      </c>
      <c r="C360" s="6" t="str">
        <f aca="false">HYPERLINK("https://partner.tcgplayer.com/c/6278691/1780961/21018?u=https%3A%2F%2Fwww.tcgplayer.com%2Fproduct%2F590046%3Futm_source%3Dimpact%26utm_medium%3Daffiliate%26utm_campaign%3Dpoke%2Bcottage","Shiinotic")</f>
        <v>Shiinotic</v>
      </c>
      <c r="D360" s="5" t="s">
        <v>208</v>
      </c>
      <c r="E360" s="5" t="s">
        <v>17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211</v>
      </c>
      <c r="C361" s="6" t="str">
        <f aca="false">HYPERLINK("https://partner.tcgplayer.com/c/6278691/1780961/21018?u=https%3A%2F%2Fwww.tcgplayer.com%2Fproduct%2F589888%3Futm_source%3Dimpact%26utm_medium%3Daffiliate%26utm_campaign%3Dpoke%2Bcottage","Castform Sunny Form")</f>
        <v>Castform Sunny Form</v>
      </c>
      <c r="D361" s="5" t="s">
        <v>208</v>
      </c>
      <c r="E361" s="5" t="s">
        <v>17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212</v>
      </c>
      <c r="C362" s="6" t="str">
        <f aca="false">HYPERLINK("https://partner.tcgplayer.com/c/6278691/1780961/21018?u=https%3A%2F%2Fwww.tcgplayer.com%2Fproduct%2F589982%3Futm_source%3Dimpact%26utm_medium%3Daffiliate%26utm_campaign%3Dpoke%2Bcottage","Larvesta")</f>
        <v>Larvesta</v>
      </c>
      <c r="D362" s="5" t="s">
        <v>208</v>
      </c>
      <c r="E362" s="5" t="s">
        <v>17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213</v>
      </c>
      <c r="C363" s="6" t="str">
        <f aca="false">HYPERLINK("https://partner.tcgplayer.com/c/6278691/1780961/21018?u=https%3A%2F%2Fwww.tcgplayer.com%2Fproduct%2F589891%3Futm_source%3Dimpact%26utm_medium%3Daffiliate%26utm_campaign%3Dpoke%2Bcottage","Ceruledge")</f>
        <v>Ceruledge</v>
      </c>
      <c r="D363" s="5" t="s">
        <v>208</v>
      </c>
      <c r="E363" s="5" t="s">
        <v>17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214</v>
      </c>
      <c r="C364" s="6" t="str">
        <f aca="false">HYPERLINK("https://partner.tcgplayer.com/c/6278691/1780961/21018?u=https%3A%2F%2Fwww.tcgplayer.com%2Fproduct%2F589944%3Futm_source%3Dimpact%26utm_medium%3Daffiliate%26utm_campaign%3Dpoke%2Bcottage","Feebas")</f>
        <v>Feebas</v>
      </c>
      <c r="D364" s="5" t="s">
        <v>208</v>
      </c>
      <c r="E364" s="5" t="s">
        <v>17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215</v>
      </c>
      <c r="C365" s="6" t="str">
        <f aca="false">HYPERLINK("https://partner.tcgplayer.com/c/6278691/1780961/21018?u=https%3A%2F%2Fwww.tcgplayer.com%2Fproduct%2F590063%3Futm_source%3Dimpact%26utm_medium%3Daffiliate%26utm_campaign%3Dpoke%2Bcottage","Spheal")</f>
        <v>Spheal</v>
      </c>
      <c r="D365" s="5" t="s">
        <v>208</v>
      </c>
      <c r="E365" s="5" t="s">
        <v>17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216</v>
      </c>
      <c r="C366" s="6" t="str">
        <f aca="false">HYPERLINK("https://partner.tcgplayer.com/c/6278691/1780961/21018?u=https%3A%2F%2Fwww.tcgplayer.com%2Fproduct%2F589884%3Futm_source%3Dimpact%26utm_medium%3Daffiliate%26utm_campaign%3Dpoke%2Bcottage","Bruxish")</f>
        <v>Bruxish</v>
      </c>
      <c r="D366" s="5" t="s">
        <v>208</v>
      </c>
      <c r="E366" s="5" t="s">
        <v>17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217</v>
      </c>
      <c r="C367" s="6" t="str">
        <f aca="false">HYPERLINK("https://partner.tcgplayer.com/c/6278691/1780961/21018?u=https%3A%2F%2Fwww.tcgplayer.com%2Fproduct%2F589894%3Futm_source%3Dimpact%26utm_medium%3Daffiliate%26utm_campaign%3Dpoke%2Bcottage","Cetitan")</f>
        <v>Cetitan</v>
      </c>
      <c r="D367" s="5" t="s">
        <v>208</v>
      </c>
      <c r="E367" s="5" t="s">
        <v>17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218</v>
      </c>
      <c r="C368" s="6" t="str">
        <f aca="false">HYPERLINK("https://partner.tcgplayer.com/c/6278691/1780961/21018?u=https%3A%2F%2Fwww.tcgplayer.com%2Fproduct%2F590065%3Futm_source%3Dimpact%26utm_medium%3Daffiliate%26utm_campaign%3Dpoke%2Bcottage","Stunfisk")</f>
        <v>Stunfisk</v>
      </c>
      <c r="D368" s="5" t="s">
        <v>208</v>
      </c>
      <c r="E368" s="5" t="s">
        <v>17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219</v>
      </c>
      <c r="C369" s="6" t="str">
        <f aca="false">HYPERLINK("https://partner.tcgplayer.com/c/6278691/1780961/21018?u=https%3A%2F%2Fwww.tcgplayer.com%2Fproduct%2F589987%3Futm_source%3Dimpact%26utm_medium%3Daffiliate%26utm_campaign%3Dpoke%2Bcottage","Latios")</f>
        <v>Latios</v>
      </c>
      <c r="D369" s="5" t="s">
        <v>208</v>
      </c>
      <c r="E369" s="5" t="s">
        <v>17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220</v>
      </c>
      <c r="C370" s="6" t="str">
        <f aca="false">HYPERLINK("https://partner.tcgplayer.com/c/6278691/1780961/21018?u=https%3A%2F%2Fwww.tcgplayer.com%2Fproduct%2F590003%3Futm_source%3Dimpact%26utm_medium%3Daffiliate%26utm_campaign%3Dpoke%2Bcottage","Mesprit")</f>
        <v>Mesprit</v>
      </c>
      <c r="D370" s="5" t="s">
        <v>208</v>
      </c>
      <c r="E370" s="5" t="s">
        <v>17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221</v>
      </c>
      <c r="C371" s="6" t="str">
        <f aca="false">HYPERLINK("https://partner.tcgplayer.com/c/6278691/1780961/21018?u=https%3A%2F%2Fwww.tcgplayer.com%2Fproduct%2F590024%3Futm_source%3Dimpact%26utm_medium%3Daffiliate%26utm_campaign%3Dpoke%2Bcottage","Phanpy")</f>
        <v>Phanpy</v>
      </c>
      <c r="D371" s="5" t="s">
        <v>208</v>
      </c>
      <c r="E371" s="5" t="s">
        <v>17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222</v>
      </c>
      <c r="C372" s="6" t="str">
        <f aca="false">HYPERLINK("https://partner.tcgplayer.com/c/6278691/1780961/21018?u=https%3A%2F%2Fwww.tcgplayer.com%2Fproduct%2F590086%3Futm_source%3Dimpact%26utm_medium%3Daffiliate%26utm_campaign%3Dpoke%2Bcottage","Vibrava")</f>
        <v>Vibrava</v>
      </c>
      <c r="D372" s="5" t="s">
        <v>208</v>
      </c>
      <c r="E372" s="5" t="s">
        <v>17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223</v>
      </c>
      <c r="C373" s="6" t="str">
        <f aca="false">HYPERLINK("https://partner.tcgplayer.com/c/6278691/1780961/21018?u=https%3A%2F%2Fwww.tcgplayer.com%2Fproduct%2F589904%3Futm_source%3Dimpact%26utm_medium%3Daffiliate%26utm_campaign%3Dpoke%2Bcottage","Clobbopus")</f>
        <v>Clobbopus</v>
      </c>
      <c r="D373" s="5" t="s">
        <v>208</v>
      </c>
      <c r="E373" s="5" t="s">
        <v>17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224</v>
      </c>
      <c r="C374" s="6" t="str">
        <f aca="false">HYPERLINK("https://partner.tcgplayer.com/c/6278691/1780961/21018?u=https%3A%2F%2Fwww.tcgplayer.com%2Fproduct%2F589857%3Futm_source%3Dimpact%26utm_medium%3Daffiliate%26utm_campaign%3Dpoke%2Bcottage","Alolan Dugtrio")</f>
        <v>Alolan Dugtrio</v>
      </c>
      <c r="D374" s="5" t="s">
        <v>208</v>
      </c>
      <c r="E374" s="5" t="s">
        <v>17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225</v>
      </c>
      <c r="C375" s="6" t="str">
        <f aca="false">HYPERLINK("https://partner.tcgplayer.com/c/6278691/1780961/21018?u=https%3A%2F%2Fwww.tcgplayer.com%2Fproduct%2F590052%3Futm_source%3Dimpact%26utm_medium%3Daffiliate%26utm_campaign%3Dpoke%2Bcottage","Skarmory")</f>
        <v>Skarmory</v>
      </c>
      <c r="D375" s="5" t="s">
        <v>208</v>
      </c>
      <c r="E375" s="5" t="s">
        <v>17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226</v>
      </c>
      <c r="C376" s="6" t="str">
        <f aca="false">HYPERLINK("https://partner.tcgplayer.com/c/6278691/1780961/21018?u=https%3A%2F%2Fwww.tcgplayer.com%2Fproduct%2F589947%3Futm_source%3Dimpact%26utm_medium%3Daffiliate%26utm_campaign%3Dpoke%2Bcottage","Flapple")</f>
        <v>Flapple</v>
      </c>
      <c r="D376" s="5" t="s">
        <v>208</v>
      </c>
      <c r="E376" s="5" t="s">
        <v>17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227</v>
      </c>
      <c r="C377" s="6" t="str">
        <f aca="false">HYPERLINK("https://partner.tcgplayer.com/c/6278691/1780961/21018?u=https%3A%2F%2Fwww.tcgplayer.com%2Fproduct%2F589865%3Futm_source%3Dimpact%26utm_medium%3Daffiliate%26utm_campaign%3Dpoke%2Bcottage","Appletun")</f>
        <v>Appletun</v>
      </c>
      <c r="D377" s="5" t="s">
        <v>208</v>
      </c>
      <c r="E377" s="5" t="s">
        <v>17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228</v>
      </c>
      <c r="C378" s="6" t="str">
        <f aca="false">HYPERLINK("https://partner.tcgplayer.com/c/6278691/1780961/21018?u=https%3A%2F%2Fwww.tcgplayer.com%2Fproduct%2F590057%3Futm_source%3Dimpact%26utm_medium%3Daffiliate%26utm_campaign%3Dpoke%2Bcottage","Slakoth")</f>
        <v>Slakoth</v>
      </c>
      <c r="D378" s="5" t="s">
        <v>208</v>
      </c>
      <c r="E378" s="5" t="s">
        <v>17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229</v>
      </c>
      <c r="C379" s="6" t="str">
        <f aca="false">HYPERLINK("https://partner.tcgplayer.com/c/6278691/1780961/21018?u=https%3A%2F%2Fwww.tcgplayer.com%2Fproduct%2F589975%3Futm_source%3Dimpact%26utm_medium%3Daffiliate%26utm_campaign%3Dpoke%2Bcottage","Kecleon")</f>
        <v>Kecleon</v>
      </c>
      <c r="D379" s="5" t="s">
        <v>208</v>
      </c>
      <c r="E379" s="5" t="s">
        <v>17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230</v>
      </c>
      <c r="C380" s="6" t="str">
        <f aca="false">HYPERLINK("https://partner.tcgplayer.com/c/6278691/1780961/21018?u=https%3A%2F%2Fwww.tcgplayer.com%2Fproduct%2F589879%3Futm_source%3Dimpact%26utm_medium%3Daffiliate%26utm_campaign%3Dpoke%2Bcottage","Braviary")</f>
        <v>Braviary</v>
      </c>
      <c r="D380" s="5" t="s">
        <v>208</v>
      </c>
      <c r="E380" s="5" t="s">
        <v>17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231</v>
      </c>
      <c r="C381" s="6" t="str">
        <f aca="false">HYPERLINK("https://partner.tcgplayer.com/c/6278691/1780961/21018?u=https%3A%2F%2Fwww.tcgplayer.com%2Fproduct%2F589929%3Futm_source%3Dimpact%26utm_medium%3Daffiliate%26utm_campaign%3Dpoke%2Bcottage","Durant ex")</f>
        <v>Durant ex</v>
      </c>
      <c r="D381" s="5" t="s">
        <v>232</v>
      </c>
      <c r="E381" s="5" t="s">
        <v>17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233</v>
      </c>
      <c r="C382" s="6" t="str">
        <f aca="false">HYPERLINK("https://partner.tcgplayer.com/c/6278691/1780961/21018?u=https%3A%2F%2Fwww.tcgplayer.com%2Fproduct%2F590041%3Futm_source%3Dimpact%26utm_medium%3Daffiliate%26utm_campaign%3Dpoke%2Bcottage","Scovillain ex")</f>
        <v>Scovillain ex</v>
      </c>
      <c r="D382" s="5" t="s">
        <v>232</v>
      </c>
      <c r="E382" s="5" t="s">
        <v>17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234</v>
      </c>
      <c r="C383" s="6" t="str">
        <f aca="false">HYPERLINK("https://partner.tcgplayer.com/c/6278691/1780961/21018?u=https%3A%2F%2Fwww.tcgplayer.com%2Fproduct%2F590005%3Futm_source%3Dimpact%26utm_medium%3Daffiliate%26utm_campaign%3Dpoke%2Bcottage","Milotic ex")</f>
        <v>Milotic ex</v>
      </c>
      <c r="D383" s="5" t="s">
        <v>232</v>
      </c>
      <c r="E383" s="5" t="s">
        <v>17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235</v>
      </c>
      <c r="C384" s="6" t="str">
        <f aca="false">HYPERLINK("https://partner.tcgplayer.com/c/6278691/1780961/21018?u=https%3A%2F%2Fwww.tcgplayer.com%2Fproduct%2F589875%3Futm_source%3Dimpact%26utm_medium%3Daffiliate%26utm_campaign%3Dpoke%2Bcottage","Black Kyurem ex")</f>
        <v>Black Kyurem ex</v>
      </c>
      <c r="D384" s="5" t="s">
        <v>232</v>
      </c>
      <c r="E384" s="5" t="s">
        <v>17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236</v>
      </c>
      <c r="C385" s="6" t="str">
        <f aca="false">HYPERLINK("https://partner.tcgplayer.com/c/6278691/1780961/21018?u=https%3A%2F%2Fwww.tcgplayer.com%2Fproduct%2F590026%3Futm_source%3Dimpact%26utm_medium%3Daffiliate%26utm_campaign%3Dpoke%2Bcottage","Pikachu ex")</f>
        <v>Pikachu ex</v>
      </c>
      <c r="D385" s="5" t="s">
        <v>232</v>
      </c>
      <c r="E385" s="5" t="s">
        <v>17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237</v>
      </c>
      <c r="C386" s="6" t="str">
        <f aca="false">HYPERLINK("https://partner.tcgplayer.com/c/6278691/1780961/21018?u=https%3A%2F%2Fwww.tcgplayer.com%2Fproduct%2F589984%3Futm_source%3Dimpact%26utm_medium%3Daffiliate%26utm_campaign%3Dpoke%2Bcottage","Latias ex")</f>
        <v>Latias ex</v>
      </c>
      <c r="D386" s="5" t="s">
        <v>232</v>
      </c>
      <c r="E386" s="5" t="s">
        <v>17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238</v>
      </c>
      <c r="C387" s="6" t="str">
        <f aca="false">HYPERLINK("https://partner.tcgplayer.com/c/6278691/1780961/21018?u=https%3A%2F%2Fwww.tcgplayer.com%2Fproduct%2F590019%3Futm_source%3Dimpact%26utm_medium%3Daffiliate%26utm_campaign%3Dpoke%2Bcottage","Palossand ex")</f>
        <v>Palossand ex</v>
      </c>
      <c r="D387" s="5" t="s">
        <v>232</v>
      </c>
      <c r="E387" s="5" t="s">
        <v>17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239</v>
      </c>
      <c r="C388" s="6" t="str">
        <f aca="false">HYPERLINK("https://partner.tcgplayer.com/c/6278691/1780961/21018?u=https%3A%2F%2Fwww.tcgplayer.com%2Fproduct%2F589951%3Futm_source%3Dimpact%26utm_medium%3Daffiliate%26utm_campaign%3Dpoke%2Bcottage","Flygon ex")</f>
        <v>Flygon ex</v>
      </c>
      <c r="D388" s="5" t="s">
        <v>232</v>
      </c>
      <c r="E388" s="5" t="s">
        <v>17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240</v>
      </c>
      <c r="C389" s="6" t="str">
        <f aca="false">HYPERLINK("https://partner.tcgplayer.com/c/6278691/1780961/21018?u=https%3A%2F%2Fwww.tcgplayer.com%2Fproduct%2F589966%3Futm_source%3Dimpact%26utm_medium%3Daffiliate%26utm_campaign%3Dpoke%2Bcottage","Hydreigon ex")</f>
        <v>Hydreigon ex</v>
      </c>
      <c r="D389" s="5" t="s">
        <v>232</v>
      </c>
      <c r="E389" s="5" t="s">
        <v>17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241</v>
      </c>
      <c r="C390" s="6" t="str">
        <f aca="false">HYPERLINK("https://partner.tcgplayer.com/c/6278691/1780961/21018?u=https%3A%2F%2Fwww.tcgplayer.com%2Fproduct%2F589868%3Futm_source%3Dimpact%26utm_medium%3Daffiliate%26utm_campaign%3Dpoke%2Bcottage","Archaludon ex")</f>
        <v>Archaludon ex</v>
      </c>
      <c r="D390" s="5" t="s">
        <v>232</v>
      </c>
      <c r="E390" s="5" t="s">
        <v>17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242</v>
      </c>
      <c r="C391" s="6" t="str">
        <f aca="false">HYPERLINK("https://partner.tcgplayer.com/c/6278691/1780961/21018?u=https%3A%2F%2Fwww.tcgplayer.com%2Fproduct%2F589859%3Futm_source%3Dimpact%26utm_medium%3Daffiliate%26utm_campaign%3Dpoke%2Bcottage","Alolan Exeggutor ex")</f>
        <v>Alolan Exeggutor ex</v>
      </c>
      <c r="D391" s="5" t="s">
        <v>232</v>
      </c>
      <c r="E391" s="5" t="s">
        <v>17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243</v>
      </c>
      <c r="C392" s="6" t="str">
        <f aca="false">HYPERLINK("https://partner.tcgplayer.com/c/6278691/1780961/21018?u=https%3A%2F%2Fwww.tcgplayer.com%2Fproduct%2F590074%3Futm_source%3Dimpact%26utm_medium%3Daffiliate%26utm_campaign%3Dpoke%2Bcottage","Tatsugiri ex")</f>
        <v>Tatsugiri ex</v>
      </c>
      <c r="D392" s="5" t="s">
        <v>232</v>
      </c>
      <c r="E392" s="5" t="s">
        <v>17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244</v>
      </c>
      <c r="C393" s="6" t="str">
        <f aca="false">HYPERLINK("https://partner.tcgplayer.com/c/6278691/1780961/21018?u=https%3A%2F%2Fwww.tcgplayer.com%2Fproduct%2F590055%3Futm_source%3Dimpact%26utm_medium%3Daffiliate%26utm_campaign%3Dpoke%2Bcottage","Slaking ex")</f>
        <v>Slaking ex</v>
      </c>
      <c r="D393" s="5" t="s">
        <v>232</v>
      </c>
      <c r="E393" s="5" t="s">
        <v>17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245</v>
      </c>
      <c r="C394" s="6" t="str">
        <f aca="false">HYPERLINK("https://partner.tcgplayer.com/c/6278691/1780961/21018?u=https%3A%2F%2Fwww.tcgplayer.com%2Fproduct%2F589911%3Futm_source%3Dimpact%26utm_medium%3Daffiliate%26utm_campaign%3Dpoke%2Bcottage","Cyclizar ex")</f>
        <v>Cyclizar ex</v>
      </c>
      <c r="D394" s="5" t="s">
        <v>232</v>
      </c>
      <c r="E394" s="5" t="s">
        <v>17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246</v>
      </c>
      <c r="C395" s="6" t="str">
        <f aca="false">HYPERLINK("https://partner.tcgplayer.com/c/6278691/1780961/21018?u=https%3A%2F%2Fwww.tcgplayer.com%2Fproduct%2F589901%3Futm_source%3Dimpact%26utm_medium%3Daffiliate%26utm_campaign%3Dpoke%2Bcottage","Clemont's Quick Wit")</f>
        <v>Clemont's Quick Wit</v>
      </c>
      <c r="D395" s="5" t="s">
        <v>232</v>
      </c>
      <c r="E395" s="5" t="s">
        <v>17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247</v>
      </c>
      <c r="C396" s="6" t="str">
        <f aca="false">HYPERLINK("https://partner.tcgplayer.com/c/6278691/1780961/21018?u=https%3A%2F%2Fwww.tcgplayer.com%2Fproduct%2F589913%3Futm_source%3Dimpact%26utm_medium%3Daffiliate%26utm_campaign%3Dpoke%2Bcottage","Cyrano")</f>
        <v>Cyrano</v>
      </c>
      <c r="D396" s="5" t="s">
        <v>232</v>
      </c>
      <c r="E396" s="5" t="s">
        <v>17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248</v>
      </c>
      <c r="C397" s="6" t="str">
        <f aca="false">HYPERLINK("https://partner.tcgplayer.com/c/6278691/1780961/21018?u=https%3A%2F%2Fwww.tcgplayer.com%2Fproduct%2F589922%3Futm_source%3Dimpact%26utm_medium%3Daffiliate%26utm_campaign%3Dpoke%2Bcottage","Drasna")</f>
        <v>Drasna</v>
      </c>
      <c r="D397" s="5" t="s">
        <v>232</v>
      </c>
      <c r="E397" s="5" t="s">
        <v>17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249</v>
      </c>
      <c r="C398" s="6" t="str">
        <f aca="false">HYPERLINK("https://partner.tcgplayer.com/c/6278691/1780961/21018?u=https%3A%2F%2Fwww.tcgplayer.com%2Fproduct%2F589924%3Futm_source%3Dimpact%26utm_medium%3Daffiliate%26utm_campaign%3Dpoke%2Bcottage","Drayton")</f>
        <v>Drayton</v>
      </c>
      <c r="D398" s="5" t="s">
        <v>232</v>
      </c>
      <c r="E398" s="5" t="s">
        <v>17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250</v>
      </c>
      <c r="C399" s="6" t="str">
        <f aca="false">HYPERLINK("https://partner.tcgplayer.com/c/6278691/1780961/21018?u=https%3A%2F%2Fwww.tcgplayer.com%2Fproduct%2F589972%3Futm_source%3Dimpact%26utm_medium%3Daffiliate%26utm_campaign%3Dpoke%2Bcottage","Jasmine's Gaze")</f>
        <v>Jasmine's Gaze</v>
      </c>
      <c r="D399" s="5" t="s">
        <v>232</v>
      </c>
      <c r="E399" s="5" t="s">
        <v>17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251</v>
      </c>
      <c r="C400" s="6" t="str">
        <f aca="false">HYPERLINK("https://partner.tcgplayer.com/c/6278691/1780961/21018?u=https%3A%2F%2Fwww.tcgplayer.com%2Fproduct%2F589989%3Futm_source%3Dimpact%26utm_medium%3Daffiliate%26utm_campaign%3Dpoke%2Bcottage","Lisia's Appeal")</f>
        <v>Lisia's Appeal</v>
      </c>
      <c r="D400" s="5" t="s">
        <v>232</v>
      </c>
      <c r="E400" s="5" t="s">
        <v>17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252</v>
      </c>
      <c r="C401" s="6" t="str">
        <f aca="false">HYPERLINK("https://partner.tcgplayer.com/c/6278691/1780961/21018?u=https%3A%2F%2Fwww.tcgplayer.com%2Fproduct%2F590067%3Futm_source%3Dimpact%26utm_medium%3Daffiliate%26utm_campaign%3Dpoke%2Bcottage","Surfer")</f>
        <v>Surfer</v>
      </c>
      <c r="D401" s="5" t="s">
        <v>232</v>
      </c>
      <c r="E401" s="5" t="s">
        <v>17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253</v>
      </c>
      <c r="C402" s="6" t="str">
        <f aca="false">HYPERLINK("https://partner.tcgplayer.com/c/6278691/1780961/21018?u=https%3A%2F%2Fwww.tcgplayer.com%2Fproduct%2F589930%3Futm_source%3Dimpact%26utm_medium%3Daffiliate%26utm_campaign%3Dpoke%2Bcottage","Durant ex")</f>
        <v>Durant ex</v>
      </c>
      <c r="D402" s="5" t="s">
        <v>254</v>
      </c>
      <c r="E402" s="5" t="s">
        <v>17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255</v>
      </c>
      <c r="C403" s="6" t="str">
        <f aca="false">HYPERLINK("https://partner.tcgplayer.com/c/6278691/1780961/21018?u=https%3A%2F%2Fwww.tcgplayer.com%2Fproduct%2F590006%3Futm_source%3Dimpact%26utm_medium%3Daffiliate%26utm_campaign%3Dpoke%2Bcottage","Milotic ex")</f>
        <v>Milotic ex</v>
      </c>
      <c r="D403" s="5" t="s">
        <v>254</v>
      </c>
      <c r="E403" s="5" t="s">
        <v>17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256</v>
      </c>
      <c r="C404" s="6" t="str">
        <f aca="false">HYPERLINK("https://partner.tcgplayer.com/c/6278691/1780961/21018?u=https%3A%2F%2Fwww.tcgplayer.com%2Fproduct%2F590027%3Futm_source%3Dimpact%26utm_medium%3Daffiliate%26utm_campaign%3Dpoke%2Bcottage","Pikachu ex")</f>
        <v>Pikachu ex</v>
      </c>
      <c r="D404" s="5" t="s">
        <v>254</v>
      </c>
      <c r="E404" s="5" t="s">
        <v>17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257</v>
      </c>
      <c r="C405" s="6" t="str">
        <f aca="false">HYPERLINK("https://partner.tcgplayer.com/c/6278691/1780961/21018?u=https%3A%2F%2Fwww.tcgplayer.com%2Fproduct%2F589985%3Futm_source%3Dimpact%26utm_medium%3Daffiliate%26utm_campaign%3Dpoke%2Bcottage","Latias ex")</f>
        <v>Latias ex</v>
      </c>
      <c r="D405" s="5" t="s">
        <v>254</v>
      </c>
      <c r="E405" s="5" t="s">
        <v>17</v>
      </c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258</v>
      </c>
      <c r="C406" s="6" t="str">
        <f aca="false">HYPERLINK("https://partner.tcgplayer.com/c/6278691/1780961/21018?u=https%3A%2F%2Fwww.tcgplayer.com%2Fproduct%2F589967%3Futm_source%3Dimpact%26utm_medium%3Daffiliate%26utm_campaign%3Dpoke%2Bcottage","Hydreigon ex")</f>
        <v>Hydreigon ex</v>
      </c>
      <c r="D406" s="5" t="s">
        <v>254</v>
      </c>
      <c r="E406" s="5" t="s">
        <v>17</v>
      </c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259</v>
      </c>
      <c r="C407" s="6" t="str">
        <f aca="false">HYPERLINK("https://partner.tcgplayer.com/c/6278691/1780961/21018?u=https%3A%2F%2Fwww.tcgplayer.com%2Fproduct%2F589869%3Futm_source%3Dimpact%26utm_medium%3Daffiliate%26utm_campaign%3Dpoke%2Bcottage","Archaludon ex")</f>
        <v>Archaludon ex</v>
      </c>
      <c r="D407" s="5" t="s">
        <v>254</v>
      </c>
      <c r="E407" s="5" t="s">
        <v>17</v>
      </c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260</v>
      </c>
      <c r="C408" s="6" t="str">
        <f aca="false">HYPERLINK("https://partner.tcgplayer.com/c/6278691/1780961/21018?u=https%3A%2F%2Fwww.tcgplayer.com%2Fproduct%2F589860%3Futm_source%3Dimpact%26utm_medium%3Daffiliate%26utm_campaign%3Dpoke%2Bcottage","Alolan Exeggutor ex")</f>
        <v>Alolan Exeggutor ex</v>
      </c>
      <c r="D408" s="5" t="s">
        <v>254</v>
      </c>
      <c r="E408" s="5" t="s">
        <v>17</v>
      </c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261</v>
      </c>
      <c r="C409" s="6" t="str">
        <f aca="false">HYPERLINK("https://partner.tcgplayer.com/c/6278691/1780961/21018?u=https%3A%2F%2Fwww.tcgplayer.com%2Fproduct%2F589902%3Futm_source%3Dimpact%26utm_medium%3Daffiliate%26utm_campaign%3Dpoke%2Bcottage","Clemont's Quick Wit")</f>
        <v>Clemont's Quick Wit</v>
      </c>
      <c r="D409" s="5" t="s">
        <v>254</v>
      </c>
      <c r="E409" s="5" t="s">
        <v>17</v>
      </c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262</v>
      </c>
      <c r="C410" s="6" t="str">
        <f aca="false">HYPERLINK("https://partner.tcgplayer.com/c/6278691/1780961/21018?u=https%3A%2F%2Fwww.tcgplayer.com%2Fproduct%2F589925%3Futm_source%3Dimpact%26utm_medium%3Daffiliate%26utm_campaign%3Dpoke%2Bcottage","Drayton")</f>
        <v>Drayton</v>
      </c>
      <c r="D410" s="5" t="s">
        <v>254</v>
      </c>
      <c r="E410" s="5" t="s">
        <v>17</v>
      </c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263</v>
      </c>
      <c r="C411" s="6" t="str">
        <f aca="false">HYPERLINK("https://partner.tcgplayer.com/c/6278691/1780961/21018?u=https%3A%2F%2Fwww.tcgplayer.com%2Fproduct%2F589973%3Futm_source%3Dimpact%26utm_medium%3Daffiliate%26utm_campaign%3Dpoke%2Bcottage","Jasmine's Gaze")</f>
        <v>Jasmine's Gaze</v>
      </c>
      <c r="D411" s="5" t="s">
        <v>254</v>
      </c>
      <c r="E411" s="5" t="s">
        <v>17</v>
      </c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264</v>
      </c>
      <c r="C412" s="6" t="str">
        <f aca="false">HYPERLINK("https://partner.tcgplayer.com/c/6278691/1780961/21018?u=https%3A%2F%2Fwww.tcgplayer.com%2Fproduct%2F589990%3Futm_source%3Dimpact%26utm_medium%3Daffiliate%26utm_campaign%3Dpoke%2Bcottage","Lisia's Appeal")</f>
        <v>Lisia's Appeal</v>
      </c>
      <c r="D412" s="5" t="s">
        <v>254</v>
      </c>
      <c r="E412" s="5" t="s">
        <v>17</v>
      </c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265</v>
      </c>
      <c r="C413" s="6" t="str">
        <f aca="false">HYPERLINK("https://partner.tcgplayer.com/c/6278691/1780961/21018?u=https%3A%2F%2Fwww.tcgplayer.com%2Fproduct%2F593169%3Futm_source%3Dimpact%26utm_medium%3Daffiliate%26utm_campaign%3Dpoke%2Bcottage","Pikachu ex")</f>
        <v>Pikachu ex</v>
      </c>
      <c r="D413" s="5" t="s">
        <v>266</v>
      </c>
      <c r="E413" s="5" t="s">
        <v>17</v>
      </c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267</v>
      </c>
      <c r="C414" s="6" t="str">
        <f aca="false">HYPERLINK("https://partner.tcgplayer.com/c/6278691/1780961/21018?u=https%3A%2F%2Fwww.tcgplayer.com%2Fproduct%2F593855%3Futm_source%3Dimpact%26utm_medium%3Daffiliate%26utm_campaign%3Dpoke%2Bcottage","Alolan Exeggutor ex")</f>
        <v>Alolan Exeggutor ex</v>
      </c>
      <c r="D414" s="5" t="s">
        <v>266</v>
      </c>
      <c r="E414" s="5" t="s">
        <v>17</v>
      </c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268</v>
      </c>
      <c r="C415" s="6" t="str">
        <f aca="false">HYPERLINK("https://partner.tcgplayer.com/c/6278691/1780961/21018?u=https%3A%2F%2Fwww.tcgplayer.com%2Fproduct%2F593856%3Futm_source%3Dimpact%26utm_medium%3Daffiliate%26utm_campaign%3Dpoke%2Bcottage","Counter Gain")</f>
        <v>Counter Gain</v>
      </c>
      <c r="D415" s="5" t="s">
        <v>266</v>
      </c>
      <c r="E415" s="5" t="s">
        <v>17</v>
      </c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269</v>
      </c>
      <c r="C416" s="6" t="str">
        <f aca="false">HYPERLINK("https://partner.tcgplayer.com/c/6278691/1780961/21018?u=https%3A%2F%2Fwww.tcgplayer.com%2Fproduct%2F593857%3Futm_source%3Dimpact%26utm_medium%3Daffiliate%26utm_campaign%3Dpoke%2Bcottage","Gravity Mountain")</f>
        <v>Gravity Mountain</v>
      </c>
      <c r="D416" s="5" t="s">
        <v>266</v>
      </c>
      <c r="E416" s="5" t="s">
        <v>17</v>
      </c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270</v>
      </c>
      <c r="C417" s="6" t="str">
        <f aca="false">HYPERLINK("https://partner.tcgplayer.com/c/6278691/1780961/21018?u=https%3A%2F%2Fwww.tcgplayer.com%2Fproduct%2F593859%3Futm_source%3Dimpact%26utm_medium%3Daffiliate%26utm_campaign%3Dpoke%2Bcottage","Night Stretcher")</f>
        <v>Night Stretcher</v>
      </c>
      <c r="D417" s="5" t="s">
        <v>266</v>
      </c>
      <c r="E417" s="5" t="s">
        <v>17</v>
      </c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271</v>
      </c>
      <c r="C418" s="6" t="str">
        <f aca="false">HYPERLINK("https://partner.tcgplayer.com/c/6278691/1780961/21018?u=https%3A%2F%2Fwww.tcgplayer.com%2Fproduct%2F593861%3Futm_source%3Dimpact%26utm_medium%3Daffiliate%26utm_campaign%3Dpoke%2Bcottage","Jet Energy")</f>
        <v>Jet Energy</v>
      </c>
      <c r="D418" s="5" t="s">
        <v>266</v>
      </c>
      <c r="E418" s="5" t="s">
        <v>17</v>
      </c>
      <c r="F418" s="5"/>
      <c r="G418" s="5"/>
      <c r="H418" s="7"/>
    </row>
    <row r="419" customFormat="false" ht="32" hidden="false" customHeight="true" outlineLevel="0" collapsed="false">
      <c r="A419" s="1" t="s">
        <v>272</v>
      </c>
      <c r="B419" s="1"/>
      <c r="C419" s="1"/>
      <c r="D419" s="1"/>
      <c r="E419" s="1"/>
      <c r="F419" s="1"/>
      <c r="G419" s="1"/>
      <c r="H419" s="1"/>
    </row>
    <row r="420" customFormat="false" ht="30" hidden="false" customHeight="true" outlineLevel="0" collapsed="false">
      <c r="A420" s="4" t="s">
        <v>6</v>
      </c>
      <c r="B420" s="5" t="s">
        <v>273</v>
      </c>
      <c r="C420" s="6" t="str">
        <f aca="false">HYPERLINK("https://partner.tcgplayer.com/c/6278691/1780961/21018?u=https%3A%2F%2Fwww.tcgplayer.com%2Fproduct%2F594382%3Futm_source%3Dimpact%26utm_medium%3Daffiliate%26utm_campaign%3Dpoke%2Bcottage","Gouging Fire")</f>
        <v>Gouging Fire</v>
      </c>
      <c r="D420" s="5" t="s">
        <v>274</v>
      </c>
      <c r="E420" s="5"/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273</v>
      </c>
      <c r="C421" s="6" t="str">
        <f aca="false">HYPERLINK("https://partner.tcgplayer.com/c/6278691/1780961/21018?u=https%3A%2F%2Fwww.tcgplayer.com%2Fproduct%2F607013%3Futm_source%3Dimpact%26utm_medium%3Daffiliate%26utm_campaign%3Dpoke%2Bcottage","Gouging Fire - Staff")</f>
        <v>Gouging Fire - Staff</v>
      </c>
      <c r="D421" s="5" t="s">
        <v>275</v>
      </c>
      <c r="E421" s="5"/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276</v>
      </c>
      <c r="C422" s="6" t="str">
        <f aca="false">HYPERLINK("https://partner.tcgplayer.com/c/6278691/1780961/21018?u=https%3A%2F%2Fwww.tcgplayer.com%2Fproduct%2F594383%3Futm_source%3Dimpact%26utm_medium%3Daffiliate%26utm_campaign%3Dpoke%2Bcottage","Chien-Pao")</f>
        <v>Chien-Pao</v>
      </c>
      <c r="D422" s="5" t="s">
        <v>274</v>
      </c>
      <c r="E422" s="5"/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276</v>
      </c>
      <c r="C423" s="6" t="str">
        <f aca="false">HYPERLINK("https://partner.tcgplayer.com/c/6278691/1780961/21018?u=https%3A%2F%2Fwww.tcgplayer.com%2Fproduct%2F607014%3Futm_source%3Dimpact%26utm_medium%3Daffiliate%26utm_campaign%3Dpoke%2Bcottage","Chien-Pao - Staff")</f>
        <v>Chien-Pao - Staff</v>
      </c>
      <c r="D423" s="5" t="s">
        <v>275</v>
      </c>
      <c r="E423" s="5"/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277</v>
      </c>
      <c r="C424" s="6" t="str">
        <f aca="false">HYPERLINK("https://partner.tcgplayer.com/c/6278691/1780961/21018?u=https%3A%2F%2Fwww.tcgplayer.com%2Fproduct%2F594385%3Futm_source%3Dimpact%26utm_medium%3Daffiliate%26utm_campaign%3Dpoke%2Bcottage","Magneton")</f>
        <v>Magneton</v>
      </c>
      <c r="D424" s="5" t="s">
        <v>274</v>
      </c>
      <c r="E424" s="5"/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277</v>
      </c>
      <c r="C425" s="6" t="str">
        <f aca="false">HYPERLINK("https://partner.tcgplayer.com/c/6278691/1780961/21018?u=https%3A%2F%2Fwww.tcgplayer.com%2Fproduct%2F607015%3Futm_source%3Dimpact%26utm_medium%3Daffiliate%26utm_campaign%3Dpoke%2Bcottage","Magneton - Staff")</f>
        <v>Magneton - Staff</v>
      </c>
      <c r="D425" s="5" t="s">
        <v>275</v>
      </c>
      <c r="E425" s="5"/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278</v>
      </c>
      <c r="C426" s="6" t="str">
        <f aca="false">HYPERLINK("https://partner.tcgplayer.com/c/6278691/1780961/21018?u=https%3A%2F%2Fwww.tcgplayer.com%2Fproduct%2F594388%3Futm_source%3Dimpact%26utm_medium%3Daffiliate%26utm_campaign%3Dpoke%2Bcottage","Indeedee")</f>
        <v>Indeedee</v>
      </c>
      <c r="D426" s="5" t="s">
        <v>274</v>
      </c>
      <c r="E426" s="5"/>
      <c r="F426" s="5"/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278</v>
      </c>
      <c r="C427" s="6" t="str">
        <f aca="false">HYPERLINK("https://partner.tcgplayer.com/c/6278691/1780961/21018?u=https%3A%2F%2Fwww.tcgplayer.com%2Fproduct%2F607016%3Futm_source%3Dimpact%26utm_medium%3Daffiliate%26utm_campaign%3Dpoke%2Bcottage","Indeedee - Staff")</f>
        <v>Indeedee - Staff</v>
      </c>
      <c r="D427" s="5" t="s">
        <v>275</v>
      </c>
      <c r="E427" s="5"/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279</v>
      </c>
      <c r="C428" s="6" t="str">
        <f aca="false">HYPERLINK("https://partner.tcgplayer.com/c/6278691/1780961/21018?u=https%3A%2F%2Fwww.tcgplayer.com%2Fproduct%2F594389%3Futm_source%3Dimpact%26utm_medium%3Daffiliate%26utm_campaign%3Dpoke%2Bcottage","Wooper")</f>
        <v>Wooper</v>
      </c>
      <c r="D428" s="5" t="s">
        <v>280</v>
      </c>
      <c r="E428" s="5"/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281</v>
      </c>
      <c r="C429" s="6" t="str">
        <f aca="false">HYPERLINK("https://partner.tcgplayer.com/c/6278691/1780961/21018?u=https%3A%2F%2Fwww.tcgplayer.com%2Fproduct%2F594403%3Futm_source%3Dimpact%26utm_medium%3Daffiliate%26utm_campaign%3Dpoke%2Bcottage","Quagsire")</f>
        <v>Quagsire</v>
      </c>
      <c r="D429" s="5" t="s">
        <v>282</v>
      </c>
      <c r="E429" s="5"/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283</v>
      </c>
      <c r="C430" s="6" t="str">
        <f aca="false">HYPERLINK("https://partner.tcgplayer.com/c/6278691/1780961/21018?u=https%3A%2F%2Fwww.tcgplayer.com%2Fproduct%2F594405%3Futm_source%3Dimpact%26utm_medium%3Daffiliate%26utm_campaign%3Dpoke%2Bcottage","Zapdos")</f>
        <v>Zapdos</v>
      </c>
      <c r="D430" s="5" t="s">
        <v>282</v>
      </c>
      <c r="E430" s="5"/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284</v>
      </c>
      <c r="C431" s="6" t="str">
        <f aca="false">HYPERLINK("https://partner.tcgplayer.com/c/6278691/1780961/21018?u=https%3A%2F%2Fwww.tcgplayer.com%2Fproduct%2F594410%3Futm_source%3Dimpact%26utm_medium%3Daffiliate%26utm_campaign%3Dpoke%2Bcottage","Pachirisu")</f>
        <v>Pachirisu</v>
      </c>
      <c r="D431" s="5" t="s">
        <v>280</v>
      </c>
      <c r="E431" s="5"/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285</v>
      </c>
      <c r="C432" s="6" t="str">
        <f aca="false">HYPERLINK("https://partner.tcgplayer.com/c/6278691/1780961/21018?u=https%3A%2F%2Fwww.tcgplayer.com%2Fproduct%2F594386%3Futm_source%3Dimpact%26utm_medium%3Daffiliate%26utm_campaign%3Dpoke%2Bcottage","Magneton")</f>
        <v>Magneton</v>
      </c>
      <c r="D432" s="5" t="s">
        <v>286</v>
      </c>
      <c r="E432" s="5"/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285</v>
      </c>
      <c r="C433" s="6" t="str">
        <f aca="false">HYPERLINK("https://partner.tcgplayer.com/c/6278691/1780961/21018?u=https%3A%2F%2Fwww.tcgplayer.com%2Fproduct%2F594468%3Futm_source%3Dimpact%26utm_medium%3Daffiliate%26utm_campaign%3Dpoke%2Bcottage","Magneton - Pokemon Center Stamp")</f>
        <v>Magneton - Pokemon Center Stamp</v>
      </c>
      <c r="D433" s="5" t="s">
        <v>287</v>
      </c>
      <c r="E433" s="5"/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28</v>
      </c>
      <c r="C434" s="6" t="str">
        <f aca="false">HYPERLINK("https://partner.tcgplayer.com/c/6278691/1780961/21018?u=https%3A%2F%2Fwww.tcgplayer.com%2Fproduct%2F594469%3Futm_source%3Dimpact%26utm_medium%3Daffiliate%26utm_campaign%3Dpoke%2Bcottage","Rabsca")</f>
        <v>Rabsca</v>
      </c>
      <c r="D434" s="5" t="s">
        <v>288</v>
      </c>
      <c r="E434" s="5"/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28</v>
      </c>
      <c r="C435" s="6" t="str">
        <f aca="false">HYPERLINK("https://partner.tcgplayer.com/c/6278691/1780961/21018?u=https%3A%2F%2Fwww.tcgplayer.com%2Fproduct%2F636307%3Futm_source%3Dimpact%26utm_medium%3Daffiliate%26utm_campaign%3Dpoke%2Bcottage","Rabsca")</f>
        <v>Rabsca</v>
      </c>
      <c r="D435" s="5" t="s">
        <v>289</v>
      </c>
      <c r="E435" s="5"/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33</v>
      </c>
      <c r="C436" s="6" t="str">
        <f aca="false">HYPERLINK("https://partner.tcgplayer.com/c/6278691/1780961/21018?u=https%3A%2F%2Fwww.tcgplayer.com%2Fproduct%2F648649%3Futm_source%3Dimpact%26utm_medium%3Daffiliate%26utm_campaign%3Dpoke%2Bcottage","Ho-Oh")</f>
        <v>Ho-Oh</v>
      </c>
      <c r="D436" s="5" t="s">
        <v>290</v>
      </c>
      <c r="E436" s="5"/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43</v>
      </c>
      <c r="C437" s="5" t="s">
        <v>291</v>
      </c>
      <c r="D437" s="5" t="s">
        <v>292</v>
      </c>
      <c r="E437" s="5"/>
      <c r="F437" s="5" t="str">
        <f aca="false">HYPERLINK("https://www.ebay.com/sch/i.html?_nkw=Fuecoco+Pokemon+Horizons+Surging+Sparks+29+pokemon+card&amp;_sacat=0&amp;_from=R40&amp;_trksid=p4624852.m570.l1313&amp;mkcid=1&amp;mkrid=711-53200-19255-0&amp;siteid=0&amp;campid=5339158445&amp;customid=pokecottage&amp;toolid=10001&amp;mkevt=1","FIND ON EBAY")</f>
        <v>FIND ON EBAY</v>
      </c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45</v>
      </c>
      <c r="C438" s="6" t="str">
        <f aca="false">HYPERLINK("https://partner.tcgplayer.com/c/6278691/1780961/21018?u=https%3A%2F%2Fwww.tcgplayer.com%2Fproduct%2F636305%3Futm_source%3Dimpact%26utm_medium%3Daffiliate%26utm_campaign%3Dpoke%2Bcottage","Skeledirge")</f>
        <v>Skeledirge</v>
      </c>
      <c r="D438" s="5" t="s">
        <v>289</v>
      </c>
      <c r="E438" s="5"/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50</v>
      </c>
      <c r="C439" s="6" t="str">
        <f aca="false">HYPERLINK("https://partner.tcgplayer.com/c/6278691/1780961/21018?u=https%3A%2F%2Fwww.tcgplayer.com%2Fproduct%2F648333%3Futm_source%3Dimpact%26utm_medium%3Daffiliate%26utm_campaign%3Dpoke%2Bcottage","Ceruledge ex")</f>
        <v>Ceruledge ex</v>
      </c>
      <c r="D439" s="5" t="s">
        <v>290</v>
      </c>
      <c r="E439" s="5"/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52</v>
      </c>
      <c r="C440" s="6" t="str">
        <f aca="false">HYPERLINK("https://partner.tcgplayer.com/c/6278691/1780961/21018?u=https%3A%2F%2Fwww.tcgplayer.com%2Fproduct%2F594470%3Futm_source%3Dimpact%26utm_medium%3Daffiliate%26utm_campaign%3Dpoke%2Bcottage","Gouging Fire")</f>
        <v>Gouging Fire</v>
      </c>
      <c r="D440" s="5" t="s">
        <v>288</v>
      </c>
      <c r="E440" s="5"/>
      <c r="F440" s="5"/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61</v>
      </c>
      <c r="C441" s="6" t="str">
        <f aca="false">HYPERLINK("https://partner.tcgplayer.com/c/6278691/1780961/21018?u=https%3A%2F%2Fwww.tcgplayer.com%2Fproduct%2F650959%3Futm_source%3Dimpact%26utm_medium%3Daffiliate%26utm_campaign%3Dpoke%2Bcottage","Cryogonal")</f>
        <v>Cryogonal</v>
      </c>
      <c r="D441" s="5" t="s">
        <v>293</v>
      </c>
      <c r="E441" s="5"/>
      <c r="F441" s="5"/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62</v>
      </c>
      <c r="C442" s="6" t="str">
        <f aca="false">HYPERLINK("https://partner.tcgplayer.com/c/6278691/1780961/21018?u=https%3A%2F%2Fwww.tcgplayer.com%2Fproduct%2F664141%3Futm_source%3Dimpact%26utm_medium%3Daffiliate%26utm_campaign%3Dpoke%2Bcottage","Black Kyurem ex")</f>
        <v>Black Kyurem ex</v>
      </c>
      <c r="D442" s="5" t="s">
        <v>294</v>
      </c>
      <c r="E442" s="5"/>
      <c r="F442" s="5"/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62</v>
      </c>
      <c r="C443" s="6" t="str">
        <f aca="false">HYPERLINK("https://partner.tcgplayer.com/c/6278691/1780961/21018?u=https%3A%2F%2Fwww.tcgplayer.com%2Fproduct%2F664142%3Futm_source%3Dimpact%26utm_medium%3Daffiliate%26utm_campaign%3Dpoke%2Bcottage","Black Kyurem ex")</f>
        <v>Black Kyurem ex</v>
      </c>
      <c r="D443" s="5" t="s">
        <v>295</v>
      </c>
      <c r="E443" s="5"/>
      <c r="F443" s="5"/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64</v>
      </c>
      <c r="C444" s="5" t="s">
        <v>296</v>
      </c>
      <c r="D444" s="5" t="s">
        <v>292</v>
      </c>
      <c r="E444" s="5"/>
      <c r="F444" s="5" t="str">
        <f aca="false">HYPERLINK("https://www.ebay.com/sch/i.html?_nkw=Quaxly+Pokemon+Horizons+Surging+Sparks+50+pokemon+card&amp;_sacat=0&amp;_from=R40&amp;_trksid=p4624852.m570.l1313&amp;mkcid=1&amp;mkrid=711-53200-19255-0&amp;siteid=0&amp;campid=5339158445&amp;customid=pokecottage&amp;toolid=10001&amp;mkevt=1","FIND ON EBAY")</f>
        <v>FIND ON EBAY</v>
      </c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71</v>
      </c>
      <c r="C445" s="6" t="str">
        <f aca="false">HYPERLINK("https://partner.tcgplayer.com/c/6278691/1780961/21018?u=https%3A%2F%2Fwww.tcgplayer.com%2Fproduct%2F648703%3Futm_source%3Dimpact%26utm_medium%3Daffiliate%26utm_campaign%3Dpoke%2Bcottage","Pikachu ex")</f>
        <v>Pikachu ex</v>
      </c>
      <c r="D445" s="5" t="s">
        <v>290</v>
      </c>
      <c r="E445" s="5"/>
      <c r="F445" s="5"/>
      <c r="G445" s="5"/>
      <c r="H445" s="7"/>
    </row>
    <row r="446" customFormat="false" ht="30" hidden="false" customHeight="true" outlineLevel="0" collapsed="false">
      <c r="A446" s="4" t="s">
        <v>6</v>
      </c>
      <c r="B446" s="5" t="s">
        <v>71</v>
      </c>
      <c r="C446" s="5" t="s">
        <v>297</v>
      </c>
      <c r="D446" s="5" t="s">
        <v>298</v>
      </c>
      <c r="E446" s="5"/>
      <c r="F446" s="5" t="str">
        <f aca="false">HYPERLINK("https://www.ebay.com/sch/i.html?_nkw=Pikachu+ex+World+Championships+Deck+2025+Joltdengo+by+Liao+Fu+Guan+Surging+Sparks+57+pokemon+card&amp;_sacat=0&amp;_from=R40&amp;_trksid=p4624852.m570.l1313&amp;mkcid=1&amp;mkrid=711-53200-19255-0&amp;siteid=0&amp;campid=5339158445&amp;customid=pokecottage&amp;toolid=10001&amp;mkevt=1","FIND ON EBAY")</f>
        <v>FIND ON EBAY</v>
      </c>
      <c r="G446" s="5"/>
      <c r="H446" s="7"/>
    </row>
    <row r="447" customFormat="false" ht="30" hidden="false" customHeight="true" outlineLevel="0" collapsed="false">
      <c r="A447" s="4" t="s">
        <v>6</v>
      </c>
      <c r="B447" s="5" t="s">
        <v>73</v>
      </c>
      <c r="C447" s="6" t="str">
        <f aca="false">HYPERLINK("https://partner.tcgplayer.com/c/6278691/1780961/21018?u=https%3A%2F%2Fwww.tcgplayer.com%2Fproduct%2F648690%3Futm_source%3Dimpact%26utm_medium%3Daffiliate%26utm_campaign%3Dpoke%2Bcottage","Magneton")</f>
        <v>Magneton</v>
      </c>
      <c r="D447" s="5" t="s">
        <v>290</v>
      </c>
      <c r="E447" s="5"/>
      <c r="F447" s="5"/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73</v>
      </c>
      <c r="C448" s="5" t="s">
        <v>299</v>
      </c>
      <c r="D448" s="5" t="s">
        <v>300</v>
      </c>
      <c r="E448" s="5"/>
      <c r="F448" s="5" t="str">
        <f aca="false">HYPERLINK("https://www.ebay.com/sch/i.html?_nkw=Magneton+Pokemon+TCG+Gym+Surging+Sparks+59+pokemon+card&amp;_sacat=0&amp;_from=R40&amp;_trksid=p4624852.m570.l1313&amp;mkcid=1&amp;mkrid=711-53200-19255-0&amp;siteid=0&amp;campid=5339158445&amp;customid=pokecottage&amp;toolid=10001&amp;mkevt=1","FIND ON EBAY")</f>
        <v>FIND ON EBAY</v>
      </c>
      <c r="G448" s="5"/>
      <c r="H448" s="7"/>
    </row>
    <row r="449" customFormat="false" ht="30" hidden="false" customHeight="true" outlineLevel="0" collapsed="false">
      <c r="A449" s="4" t="s">
        <v>6</v>
      </c>
      <c r="B449" s="5" t="s">
        <v>79</v>
      </c>
      <c r="C449" s="6" t="str">
        <f aca="false">HYPERLINK("https://partner.tcgplayer.com/c/6278691/1780961/21018?u=https%3A%2F%2Fwww.tcgplayer.com%2Fproduct%2F594471%3Futm_source%3Dimpact%26utm_medium%3Daffiliate%26utm_campaign%3Dpoke%2Bcottage","Tapu Koko")</f>
        <v>Tapu Koko</v>
      </c>
      <c r="D449" s="5" t="s">
        <v>288</v>
      </c>
      <c r="E449" s="5"/>
      <c r="F449" s="5"/>
      <c r="G449" s="5"/>
      <c r="H449" s="7"/>
    </row>
    <row r="450" customFormat="false" ht="30" hidden="false" customHeight="true" outlineLevel="0" collapsed="false">
      <c r="A450" s="4" t="s">
        <v>6</v>
      </c>
      <c r="B450" s="5" t="s">
        <v>79</v>
      </c>
      <c r="C450" s="6" t="str">
        <f aca="false">HYPERLINK("https://partner.tcgplayer.com/c/6278691/1780961/21018?u=https%3A%2F%2Fwww.tcgplayer.com%2Fproduct%2F648710%3Futm_source%3Dimpact%26utm_medium%3Daffiliate%26utm_campaign%3Dpoke%2Bcottage","Tapu Koko")</f>
        <v>Tapu Koko</v>
      </c>
      <c r="D450" s="5" t="s">
        <v>290</v>
      </c>
      <c r="E450" s="5"/>
      <c r="F450" s="5"/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86</v>
      </c>
      <c r="C451" s="6" t="str">
        <f aca="false">HYPERLINK("https://partner.tcgplayer.com/c/6278691/1780961/21018?u=https%3A%2F%2Fwww.tcgplayer.com%2Fproduct%2F636306%3Futm_source%3Dimpact%26utm_medium%3Daffiliate%26utm_campaign%3Dpoke%2Bcottage","Togekiss")</f>
        <v>Togekiss</v>
      </c>
      <c r="D451" s="5" t="s">
        <v>289</v>
      </c>
      <c r="E451" s="5"/>
      <c r="F451" s="5"/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88</v>
      </c>
      <c r="C452" s="6" t="str">
        <f aca="false">HYPERLINK("https://partner.tcgplayer.com/c/6278691/1780961/21018?u=https%3A%2F%2Fwww.tcgplayer.com%2Fproduct%2F648319%3Futm_source%3Dimpact%26utm_medium%3Daffiliate%26utm_campaign%3Dpoke%2Bcottage","Azumarill")</f>
        <v>Azumarill</v>
      </c>
      <c r="D452" s="5" t="s">
        <v>290</v>
      </c>
      <c r="E452" s="5"/>
      <c r="F452" s="5"/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90</v>
      </c>
      <c r="C453" s="6" t="str">
        <f aca="false">HYPERLINK("https://partner.tcgplayer.com/c/6278691/1780961/21018?u=https%3A%2F%2Fwww.tcgplayer.com%2Fproduct%2F648669%3Futm_source%3Dimpact%26utm_medium%3Daffiliate%26utm_campaign%3Dpoke%2Bcottage","Latias ex")</f>
        <v>Latias ex</v>
      </c>
      <c r="D453" s="5" t="s">
        <v>290</v>
      </c>
      <c r="E453" s="5"/>
      <c r="F453" s="5"/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90</v>
      </c>
      <c r="C454" s="5" t="s">
        <v>301</v>
      </c>
      <c r="D454" s="5" t="s">
        <v>294</v>
      </c>
      <c r="E454" s="5"/>
      <c r="F454" s="5" t="str">
        <f aca="false">HYPERLINK("https://www.ebay.com/sch/i.html?_nkw=Latias+ex+Expansion+Stamp+Surging+Sparks+76+pokemon+card&amp;_sacat=0&amp;_from=R40&amp;_trksid=p4624852.m570.l1313&amp;mkcid=1&amp;mkrid=711-53200-19255-0&amp;siteid=0&amp;campid=5339158445&amp;customid=pokecottage&amp;toolid=10001&amp;mkevt=1","FIND ON EBAY")</f>
        <v>FIND ON EBAY</v>
      </c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90</v>
      </c>
      <c r="C455" s="5" t="s">
        <v>301</v>
      </c>
      <c r="D455" s="5" t="s">
        <v>295</v>
      </c>
      <c r="E455" s="5"/>
      <c r="F455" s="5" t="str">
        <f aca="false">HYPERLINK("https://www.ebay.com/sch/i.html?_nkw=Latias+ex+Jumbo+Expansion+Stamp+Surging+Sparks+76+pokemon+card&amp;_sacat=0&amp;_from=R40&amp;_trksid=p4624852.m570.l1313&amp;mkcid=1&amp;mkrid=711-53200-19255-0&amp;siteid=0&amp;campid=5339158445&amp;customid=pokecottage&amp;toolid=10001&amp;mkevt=1","FIND ON EBAY")</f>
        <v>FIND ON EBAY</v>
      </c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90</v>
      </c>
      <c r="C456" s="5" t="s">
        <v>301</v>
      </c>
      <c r="D456" s="5" t="s">
        <v>300</v>
      </c>
      <c r="E456" s="5"/>
      <c r="F456" s="5" t="str">
        <f aca="false">HYPERLINK("https://www.ebay.com/sch/i.html?_nkw=Latias+ex+Pokemon+TCG+Gym+Surging+Sparks+76+pokemon+card&amp;_sacat=0&amp;_from=R40&amp;_trksid=p4624852.m570.l1313&amp;mkcid=1&amp;mkrid=711-53200-19255-0&amp;siteid=0&amp;campid=5339158445&amp;customid=pokecottage&amp;toolid=10001&amp;mkevt=1","FIND ON EBAY")</f>
        <v>FIND ON EBAY</v>
      </c>
      <c r="G456" s="5"/>
      <c r="H456" s="7"/>
    </row>
    <row r="457" customFormat="false" ht="30" hidden="false" customHeight="true" outlineLevel="0" collapsed="false">
      <c r="A457" s="4" t="s">
        <v>6</v>
      </c>
      <c r="B457" s="5" t="s">
        <v>90</v>
      </c>
      <c r="C457" s="5" t="s">
        <v>301</v>
      </c>
      <c r="D457" s="5" t="s">
        <v>298</v>
      </c>
      <c r="E457" s="5"/>
      <c r="F457" s="5" t="str">
        <f aca="false">HYPERLINK("https://www.ebay.com/sch/i.html?_nkw=Latias+ex+World+Championships+Deck+2025+Joltdengo+by+Liao+Fu+Guan+Surging+Sparks+76+pokemon+card&amp;_sacat=0&amp;_from=R40&amp;_trksid=p4624852.m570.l1313&amp;mkcid=1&amp;mkrid=711-53200-19255-0&amp;siteid=0&amp;campid=5339158445&amp;customid=pokecottage&amp;toolid=10001&amp;mkevt=1","FIND ON EBAY")</f>
        <v>FIND ON EBAY</v>
      </c>
      <c r="G457" s="5"/>
      <c r="H457" s="7"/>
    </row>
    <row r="458" customFormat="false" ht="30" hidden="false" customHeight="true" outlineLevel="0" collapsed="false">
      <c r="A458" s="4" t="s">
        <v>6</v>
      </c>
      <c r="B458" s="5" t="s">
        <v>90</v>
      </c>
      <c r="C458" s="5" t="s">
        <v>301</v>
      </c>
      <c r="D458" s="5" t="s">
        <v>302</v>
      </c>
      <c r="E458" s="5"/>
      <c r="F458" s="5" t="str">
        <f aca="false">HYPERLINK("https://www.ebay.com/sch/i.html?_nkw=Latias+ex+World+Championships+Deck+2025+JP+Raging+Bolt+by+Yuya+Okita+Surging+Sparks+76+pokemon+card&amp;_sacat=0&amp;_from=R40&amp;_trksid=p4624852.m570.l1313&amp;mkcid=1&amp;mkrid=711-53200-19255-0&amp;siteid=0&amp;campid=5339158445&amp;customid=pokecottage&amp;toolid=10001&amp;mkevt=1","FIND ON EBAY")</f>
        <v>FIND ON EBAY</v>
      </c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100</v>
      </c>
      <c r="C459" s="6" t="str">
        <f aca="false">HYPERLINK("https://partner.tcgplayer.com/c/6278691/1780961/21018?u=https%3A%2F%2Fwww.tcgplayer.com%2Fproduct%2F648707%3Futm_source%3Dimpact%26utm_medium%3Daffiliate%26utm_campaign%3Dpoke%2Bcottage","Sylveon ex")</f>
        <v>Sylveon ex</v>
      </c>
      <c r="D459" s="5" t="s">
        <v>290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111</v>
      </c>
      <c r="C460" s="5" t="s">
        <v>303</v>
      </c>
      <c r="D460" s="5" t="s">
        <v>298</v>
      </c>
      <c r="E460" s="5"/>
      <c r="F460" s="5" t="str">
        <f aca="false">HYPERLINK("https://www.ebay.com/sch/i.html?_nkw=Gimmighoul+World+Championships+Deck+2025+Joltdengo+by+Liao+Fu+Guan+Surging+Sparks+97+pokemon+card&amp;_sacat=0&amp;_from=R40&amp;_trksid=p4624852.m570.l1313&amp;mkcid=1&amp;mkrid=711-53200-19255-0&amp;siteid=0&amp;campid=5339158445&amp;customid=pokecottage&amp;toolid=10001&amp;mkevt=1","FIND ON EBAY")</f>
        <v>FIND ON EBAY</v>
      </c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121</v>
      </c>
      <c r="C461" s="6" t="str">
        <f aca="false">HYPERLINK("https://partner.tcgplayer.com/c/6278691/1780961/21018?u=https%3A%2F%2Fwww.tcgplayer.com%2Fproduct%2F636308%3Futm_source%3Dimpact%26utm_medium%3Daffiliate%26utm_campaign%3Dpoke%2Bcottage","Gastrodon")</f>
        <v>Gastrodon</v>
      </c>
      <c r="D461" s="5" t="s">
        <v>289</v>
      </c>
      <c r="E461" s="5"/>
      <c r="F461" s="5"/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121</v>
      </c>
      <c r="C462" s="6" t="str">
        <f aca="false">HYPERLINK("https://partner.tcgplayer.com/c/6278691/1780961/21018?u=https%3A%2F%2Fwww.tcgplayer.com%2Fproduct%2F648595%3Futm_source%3Dimpact%26utm_medium%3Daffiliate%26utm_campaign%3Dpoke%2Bcottage","Gastrodon")</f>
        <v>Gastrodon</v>
      </c>
      <c r="D462" s="5" t="s">
        <v>290</v>
      </c>
      <c r="E462" s="5"/>
      <c r="F462" s="5"/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130</v>
      </c>
      <c r="C463" s="5" t="s">
        <v>304</v>
      </c>
      <c r="D463" s="5" t="s">
        <v>302</v>
      </c>
      <c r="E463" s="5"/>
      <c r="F463" s="5" t="str">
        <f aca="false">HYPERLINK("https://www.ebay.com/sch/i.html?_nkw=Koraidon+World+Championships+Deck+2025+JP+Raging+Bolt+by+Yuya+Okita+Surging+Sparks+116+pokemon+card&amp;_sacat=0&amp;_from=R40&amp;_trksid=p4624852.m570.l1313&amp;mkcid=1&amp;mkrid=711-53200-19255-0&amp;siteid=0&amp;campid=5339158445&amp;customid=pokecottage&amp;toolid=10001&amp;mkevt=1","FIND ON EBAY")</f>
        <v>FIND ON EBAY</v>
      </c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143</v>
      </c>
      <c r="C464" s="6" t="str">
        <f aca="false">HYPERLINK("https://partner.tcgplayer.com/c/6278691/1780961/21018?u=https%3A%2F%2Fwww.tcgplayer.com%2Fproduct%2F663168%3Futm_source%3Dimpact%26utm_medium%3Daffiliate%26utm_campaign%3Dpoke%2Bcottage","Duraludon")</f>
        <v>Duraludon</v>
      </c>
      <c r="D464" s="5" t="s">
        <v>294</v>
      </c>
      <c r="E464" s="5"/>
      <c r="F464" s="5"/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144</v>
      </c>
      <c r="C465" s="6" t="str">
        <f aca="false">HYPERLINK("https://partner.tcgplayer.com/c/6278691/1780961/21018?u=https%3A%2F%2Fwww.tcgplayer.com%2Fproduct%2F648306%3Futm_source%3Dimpact%26utm_medium%3Daffiliate%26utm_campaign%3Dpoke%2Bcottage","Archaludon ex")</f>
        <v>Archaludon ex</v>
      </c>
      <c r="D465" s="5" t="s">
        <v>290</v>
      </c>
      <c r="E465" s="5"/>
      <c r="F465" s="5"/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144</v>
      </c>
      <c r="C466" s="6" t="str">
        <f aca="false">HYPERLINK("https://partner.tcgplayer.com/c/6278691/1780961/21018?u=https%3A%2F%2Fwww.tcgplayer.com%2Fproduct%2F664147%3Futm_source%3Dimpact%26utm_medium%3Daffiliate%26utm_campaign%3Dpoke%2Bcottage","Archaludon ex")</f>
        <v>Archaludon ex</v>
      </c>
      <c r="D466" s="5" t="s">
        <v>294</v>
      </c>
      <c r="E466" s="5"/>
      <c r="F466" s="5"/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144</v>
      </c>
      <c r="C467" s="6" t="str">
        <f aca="false">HYPERLINK("https://partner.tcgplayer.com/c/6278691/1780961/21018?u=https%3A%2F%2Fwww.tcgplayer.com%2Fproduct%2F664148%3Futm_source%3Dimpact%26utm_medium%3Daffiliate%26utm_campaign%3Dpoke%2Bcottage","Archaludon ex")</f>
        <v>Archaludon ex</v>
      </c>
      <c r="D467" s="5" t="s">
        <v>295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157</v>
      </c>
      <c r="C468" s="6" t="str">
        <f aca="false">HYPERLINK("https://partner.tcgplayer.com/c/6278691/1780961/21018?u=https%3A%2F%2Fwww.tcgplayer.com%2Fproduct%2F648352%3Futm_source%3Dimpact%26utm_medium%3Daffiliate%26utm_campaign%3Dpoke%2Bcottage","Eevee")</f>
        <v>Eevee</v>
      </c>
      <c r="D468" s="5" t="s">
        <v>305</v>
      </c>
      <c r="E468" s="5"/>
      <c r="F468" s="5"/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157</v>
      </c>
      <c r="C469" s="5" t="s">
        <v>306</v>
      </c>
      <c r="D469" s="5" t="s">
        <v>300</v>
      </c>
      <c r="E469" s="5"/>
      <c r="F469" s="5" t="str">
        <f aca="false">HYPERLINK("https://www.ebay.com/sch/i.html?_nkw=Eevee+Pokemon+TCG+Gym+Surging+Sparks+143+pokemon+card&amp;_sacat=0&amp;_from=R40&amp;_trksid=p4624852.m570.l1313&amp;mkcid=1&amp;mkrid=711-53200-19255-0&amp;siteid=0&amp;campid=5339158445&amp;customid=pokecottage&amp;toolid=10001&amp;mkevt=1","FIND ON EBAY")</f>
        <v>FIND ON EBAY</v>
      </c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175</v>
      </c>
      <c r="C470" s="6" t="str">
        <f aca="false">HYPERLINK("https://partner.tcgplayer.com/c/6278691/1780961/21018?u=https%3A%2F%2Fwww.tcgplayer.com%2Fproduct%2F648712%3Futm_source%3Dimpact%26utm_medium%3Daffiliate%26utm_campaign%3Dpoke%2Bcottage","Terapagos")</f>
        <v>Terapagos</v>
      </c>
      <c r="D470" s="5" t="s">
        <v>290</v>
      </c>
      <c r="E470" s="5"/>
      <c r="F470" s="5"/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175</v>
      </c>
      <c r="C471" s="5" t="s">
        <v>307</v>
      </c>
      <c r="D471" s="5" t="s">
        <v>292</v>
      </c>
      <c r="E471" s="5"/>
      <c r="F471" s="5" t="str">
        <f aca="false">HYPERLINK("https://www.ebay.com/sch/i.html?_nkw=Terapagos+Pokemon+Horizons+Surging+Sparks+161+pokemon+card&amp;_sacat=0&amp;_from=R40&amp;_trksid=p4624852.m570.l1313&amp;mkcid=1&amp;mkrid=711-53200-19255-0&amp;siteid=0&amp;campid=5339158445&amp;customid=pokecottage&amp;toolid=10001&amp;mkevt=1","FIND ON EBAY")</f>
        <v>FIND ON EBAY</v>
      </c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179</v>
      </c>
      <c r="C472" s="6" t="str">
        <f aca="false">HYPERLINK("https://partner.tcgplayer.com/c/6278691/1780961/21018?u=https%3A%2F%2Fwww.tcgplayer.com%2Fproduct%2F649186%3Futm_source%3Dimpact%26utm_medium%3Daffiliate%26utm_campaign%3Dpoke%2Bcottage","Brilliant Blender")</f>
        <v>Brilliant Blender</v>
      </c>
      <c r="D472" s="5" t="s">
        <v>290</v>
      </c>
      <c r="E472" s="5"/>
      <c r="F472" s="5"/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184</v>
      </c>
      <c r="C473" s="6" t="str">
        <f aca="false">HYPERLINK("https://partner.tcgplayer.com/c/6278691/1780961/21018?u=https%3A%2F%2Fwww.tcgplayer.com%2Fproduct%2F649190%3Futm_source%3Dimpact%26utm_medium%3Daffiliate%26utm_campaign%3Dpoke%2Bcottage","Counter Gain")</f>
        <v>Counter Gain</v>
      </c>
      <c r="D473" s="5" t="s">
        <v>290</v>
      </c>
      <c r="E473" s="5"/>
      <c r="F473" s="5"/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184</v>
      </c>
      <c r="C474" s="5" t="s">
        <v>308</v>
      </c>
      <c r="D474" s="5" t="s">
        <v>300</v>
      </c>
      <c r="E474" s="5"/>
      <c r="F474" s="5" t="str">
        <f aca="false">HYPERLINK("https://www.ebay.com/sch/i.html?_nkw=Counter+Gain+Pokemon+TCG+Gym+Surging+Sparks+169+pokemon+card&amp;_sacat=0&amp;_from=R40&amp;_trksid=p4624852.m570.l1313&amp;mkcid=1&amp;mkrid=711-53200-19255-0&amp;siteid=0&amp;campid=5339158445&amp;customid=pokecottage&amp;toolid=10001&amp;mkevt=1","FIND ON EBAY")</f>
        <v>FIND ON EBAY</v>
      </c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191</v>
      </c>
      <c r="C475" s="6" t="str">
        <f aca="false">HYPERLINK("https://partner.tcgplayer.com/c/6278691/1780961/21018?u=https%3A%2F%2Fwww.tcgplayer.com%2Fproduct%2F671565%3Futm_source%3Dimpact%26utm_medium%3Daffiliate%26utm_campaign%3Dpoke%2Bcottage","Energy Search Pro")</f>
        <v>Energy Search Pro</v>
      </c>
      <c r="D475" s="5" t="s">
        <v>290</v>
      </c>
      <c r="E475" s="5"/>
      <c r="F475" s="5"/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192</v>
      </c>
      <c r="C476" s="6" t="str">
        <f aca="false">HYPERLINK("https://partner.tcgplayer.com/c/6278691/1780961/21018?u=https%3A%2F%2Fwww.tcgplayer.com%2Fproduct%2F649187%3Futm_source%3Dimpact%26utm_medium%3Daffiliate%26utm_campaign%3Dpoke%2Bcottage","Gravity Mountain")</f>
        <v>Gravity Mountain</v>
      </c>
      <c r="D476" s="5" t="s">
        <v>305</v>
      </c>
      <c r="E476" s="5"/>
      <c r="F476" s="5"/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192</v>
      </c>
      <c r="C477" s="5" t="s">
        <v>309</v>
      </c>
      <c r="D477" s="5" t="s">
        <v>300</v>
      </c>
      <c r="E477" s="5"/>
      <c r="F477" s="5" t="str">
        <f aca="false">HYPERLINK("https://www.ebay.com/sch/i.html?_nkw=Gravity+Mountain+Pokemon+TCG+Gym+Surging+Sparks+177+pokemon+card&amp;_sacat=0&amp;_from=R40&amp;_trksid=p4624852.m570.l1313&amp;mkcid=1&amp;mkrid=711-53200-19255-0&amp;siteid=0&amp;campid=5339158445&amp;customid=pokecottage&amp;toolid=10001&amp;mkevt=1","FIND ON EBAY")</f>
        <v>FIND ON EBAY</v>
      </c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200</v>
      </c>
      <c r="C478" s="6" t="str">
        <f aca="false">HYPERLINK("https://partner.tcgplayer.com/c/6278691/1780961/21018?u=https%3A%2F%2Fwww.tcgplayer.com%2Fproduct%2F671458%3Futm_source%3Dimpact%26utm_medium%3Daffiliate%26utm_campaign%3Dpoke%2Bcottage","Precious Trolley")</f>
        <v>Precious Trolley</v>
      </c>
      <c r="D478" s="5" t="s">
        <v>290</v>
      </c>
      <c r="E478" s="5"/>
      <c r="F478" s="5"/>
      <c r="G478" s="5"/>
      <c r="H478" s="7"/>
    </row>
    <row r="479" customFormat="false" ht="30" hidden="false" customHeight="true" outlineLevel="0" collapsed="false">
      <c r="A479" s="4" t="s">
        <v>6</v>
      </c>
      <c r="B479" s="5" t="s">
        <v>201</v>
      </c>
      <c r="C479" s="6" t="str">
        <f aca="false">HYPERLINK("https://partner.tcgplayer.com/c/6278691/1780961/21018?u=https%3A%2F%2Fwww.tcgplayer.com%2Fproduct%2F649141%3Futm_source%3Dimpact%26utm_medium%3Daffiliate%26utm_campaign%3Dpoke%2Bcottage","Scramble Switch")</f>
        <v>Scramble Switch</v>
      </c>
      <c r="D479" s="5" t="s">
        <v>290</v>
      </c>
      <c r="E479" s="5"/>
      <c r="F479" s="5"/>
      <c r="G479" s="5"/>
      <c r="H479" s="7"/>
    </row>
    <row r="480" customFormat="false" ht="30" hidden="false" customHeight="true" outlineLevel="0" collapsed="false">
      <c r="A480" s="4" t="s">
        <v>6</v>
      </c>
      <c r="B480" s="5" t="s">
        <v>202</v>
      </c>
      <c r="C480" s="6" t="str">
        <f aca="false">HYPERLINK("https://partner.tcgplayer.com/c/6278691/1780961/21018?u=https%3A%2F%2Fwww.tcgplayer.com%2Fproduct%2F617802%3Futm_source%3Dimpact%26utm_medium%3Daffiliate%26utm_campaign%3Dpoke%2Bcottage","Surfer")</f>
        <v>Surfer</v>
      </c>
      <c r="D480" s="5" t="s">
        <v>310</v>
      </c>
      <c r="E480" s="5"/>
      <c r="F480" s="5"/>
      <c r="G480" s="5"/>
      <c r="H480" s="7"/>
    </row>
    <row r="481" customFormat="false" ht="30" hidden="false" customHeight="true" outlineLevel="0" collapsed="false">
      <c r="A481" s="4" t="s">
        <v>6</v>
      </c>
      <c r="B481" s="5" t="s">
        <v>202</v>
      </c>
      <c r="C481" s="6" t="str">
        <f aca="false">HYPERLINK("https://partner.tcgplayer.com/c/6278691/1780961/21018?u=https%3A%2F%2Fwww.tcgplayer.com%2Fproduct%2F617803%3Futm_source%3Dimpact%26utm_medium%3Daffiliate%26utm_campaign%3Dpoke%2Bcottage","Surfer")</f>
        <v>Surfer</v>
      </c>
      <c r="D481" s="5" t="s">
        <v>311</v>
      </c>
      <c r="E481" s="5"/>
      <c r="F481" s="5"/>
      <c r="G481" s="5"/>
      <c r="H481" s="7"/>
    </row>
    <row r="482" customFormat="false" ht="30" hidden="false" customHeight="true" outlineLevel="0" collapsed="false">
      <c r="A482" s="4" t="s">
        <v>6</v>
      </c>
      <c r="B482" s="5" t="s">
        <v>204</v>
      </c>
      <c r="C482" s="6" t="str">
        <f aca="false">HYPERLINK("https://partner.tcgplayer.com/c/6278691/1780961/21018?u=https%3A%2F%2Fwww.tcgplayer.com%2Fproduct%2F648867%3Futm_source%3Dimpact%26utm_medium%3Daffiliate%26utm_campaign%3Dpoke%2Bcottage","Tera Orb")</f>
        <v>Tera Orb</v>
      </c>
      <c r="D482" s="5" t="s">
        <v>305</v>
      </c>
      <c r="E482" s="5"/>
      <c r="F482" s="5"/>
      <c r="G482" s="5"/>
      <c r="H482" s="7"/>
    </row>
    <row r="483" customFormat="false" ht="30" hidden="false" customHeight="true" outlineLevel="0" collapsed="false">
      <c r="A483" s="4" t="s">
        <v>6</v>
      </c>
      <c r="B483" s="5" t="s">
        <v>204</v>
      </c>
      <c r="C483" s="5" t="s">
        <v>312</v>
      </c>
      <c r="D483" s="5" t="s">
        <v>313</v>
      </c>
      <c r="E483" s="5"/>
      <c r="F483" s="5" t="str">
        <f aca="false">HYPERLINK("https://www.ebay.com/sch/i.html?_nkw=Tera+Orb+Great+Ball+League+Surging+Sparks+189+pokemon+card&amp;_sacat=0&amp;_from=R40&amp;_trksid=p4624852.m570.l1313&amp;mkcid=1&amp;mkrid=711-53200-19255-0&amp;siteid=0&amp;campid=5339158445&amp;customid=pokecottage&amp;toolid=10001&amp;mkevt=1","FIND ON EBAY")</f>
        <v>FIND ON EBAY</v>
      </c>
      <c r="G483" s="5"/>
      <c r="H483" s="7"/>
    </row>
    <row r="484" customFormat="false" ht="30" hidden="false" customHeight="true" outlineLevel="0" collapsed="false">
      <c r="A484" s="4" t="s">
        <v>6</v>
      </c>
      <c r="B484" s="5" t="s">
        <v>204</v>
      </c>
      <c r="C484" s="5" t="s">
        <v>312</v>
      </c>
      <c r="D484" s="5" t="s">
        <v>300</v>
      </c>
      <c r="E484" s="5"/>
      <c r="F484" s="5" t="str">
        <f aca="false">HYPERLINK("https://www.ebay.com/sch/i.html?_nkw=Tera+Orb+Pokemon+TCG+Gym+Surging+Sparks+189+pokemon+card&amp;_sacat=0&amp;_from=R40&amp;_trksid=p4624852.m570.l1313&amp;mkcid=1&amp;mkrid=711-53200-19255-0&amp;siteid=0&amp;campid=5339158445&amp;customid=pokecottage&amp;toolid=10001&amp;mkevt=1","FIND ON EBAY")</f>
        <v>FIND ON EBAY</v>
      </c>
      <c r="G484" s="5"/>
      <c r="H484" s="7"/>
    </row>
    <row r="486" customFormat="false" ht="24" hidden="false" customHeight="true" outlineLevel="0" collapsed="false">
      <c r="A486" s="8" t="s">
        <v>314</v>
      </c>
      <c r="B486" s="8"/>
      <c r="C486" s="8"/>
      <c r="D486" s="8"/>
      <c r="E486" s="8"/>
      <c r="F486" s="8"/>
      <c r="G486" s="8"/>
      <c r="H486" s="8"/>
    </row>
    <row r="487" customFormat="false" ht="24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</row>
  </sheetData>
  <mergeCells count="2">
    <mergeCell ref="A419:H419"/>
    <mergeCell ref="A486:H487"/>
  </mergeCells>
  <dataValidations count="1">
    <dataValidation allowBlank="false" errorStyle="stop" operator="between" showDropDown="false" showErrorMessage="false" showInputMessage="false" sqref="A2:A484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315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HYPERLINK("https://pokecottage.com/surging-sparks-master-set-guide","Download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316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317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318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316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317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