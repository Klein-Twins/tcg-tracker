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51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<sst xmlns="http://schemas.openxmlformats.org/spreadsheetml/2006/main" count="1708" uniqueCount="304">
  <si>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</si>
  <si>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</si>
  <si>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</si>
  <si>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</si>
  <si>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</si>
  <si>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</si>
  <si>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</si>
  <si>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001/165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</si>
  <si>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</si>
  <si>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</si>
  <si>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</si>
  <si>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</si>
  <si>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002/165</t>
  </si>
  <si>
    <t xml:space="preserve">Uncommon</t>
  </si>
  <si>
    <t xml:space="preserve">003/165</t>
  </si>
  <si>
    <t xml:space="preserve">Double Rare</t>
  </si>
  <si>
    <t xml:space="preserve">Holo</t>
  </si>
  <si>
    <t xml:space="preserve">004/165</t>
  </si>
  <si>
    <t xml:space="preserve">005/165</t>
  </si>
  <si>
    <t xml:space="preserve">006/165</t>
  </si>
  <si>
    <t xml:space="preserve">007/165</t>
  </si>
  <si>
    <t xml:space="preserve">008/165</t>
  </si>
  <si>
    <t xml:space="preserve">009/165</t>
  </si>
  <si>
    <t xml:space="preserve">010/165</t>
  </si>
  <si>
    <t xml:space="preserve">011/165</t>
  </si>
  <si>
    <t xml:space="preserve">012/165</t>
  </si>
  <si>
    <t xml:space="preserve">013/165</t>
  </si>
  <si>
    <t xml:space="preserve">014/165</t>
  </si>
  <si>
    <t xml:space="preserve">015/165</t>
  </si>
  <si>
    <t xml:space="preserve">Rare</t>
  </si>
  <si>
    <t xml:space="preserve">016/165</t>
  </si>
  <si>
    <t xml:space="preserve">017/165</t>
  </si>
  <si>
    <t xml:space="preserve">018/165</t>
  </si>
  <si>
    <t xml:space="preserve">019/165</t>
  </si>
  <si>
    <t xml:space="preserve">020/165</t>
  </si>
  <si>
    <t xml:space="preserve">021/165</t>
  </si>
  <si>
    <t xml:space="preserve">022/165</t>
  </si>
  <si>
    <t xml:space="preserve">023/165</t>
  </si>
  <si>
    <t xml:space="preserve">024/165</t>
  </si>
  <si>
    <t xml:space="preserve">025/165</t>
  </si>
  <si>
    <t xml:space="preserve">026/165</t>
  </si>
  <si>
    <t xml:space="preserve">027/165</t>
  </si>
  <si>
    <t xml:space="preserve">028/165</t>
  </si>
  <si>
    <t xml:space="preserve">029/165</t>
  </si>
  <si>
    <t xml:space="preserve">030/165</t>
  </si>
  <si>
    <t xml:space="preserve">031/165</t>
  </si>
  <si>
    <t xml:space="preserve">032/165</t>
  </si>
  <si>
    <t xml:space="preserve">033/165</t>
  </si>
  <si>
    <t xml:space="preserve">034/165</t>
  </si>
  <si>
    <t xml:space="preserve">035/165</t>
  </si>
  <si>
    <t xml:space="preserve">036/165</t>
  </si>
  <si>
    <t xml:space="preserve">037/165</t>
  </si>
  <si>
    <t xml:space="preserve">038/165</t>
  </si>
  <si>
    <t xml:space="preserve">039/165</t>
  </si>
  <si>
    <t xml:space="preserve">040/165</t>
  </si>
  <si>
    <t xml:space="preserve">041/165</t>
  </si>
  <si>
    <t xml:space="preserve">042/165</t>
  </si>
  <si>
    <t xml:space="preserve">043/165</t>
  </si>
  <si>
    <t xml:space="preserve">044/165</t>
  </si>
  <si>
    <t xml:space="preserve">045/165</t>
  </si>
  <si>
    <t xml:space="preserve">046/165</t>
  </si>
  <si>
    <t xml:space="preserve">047/165</t>
  </si>
  <si>
    <t xml:space="preserve">048/165</t>
  </si>
  <si>
    <t xml:space="preserve">049/165</t>
  </si>
  <si>
    <t xml:space="preserve">050/165</t>
  </si>
  <si>
    <t xml:space="preserve">051/165</t>
  </si>
  <si>
    <t xml:space="preserve">052/165</t>
  </si>
  <si>
    <t xml:space="preserve">053/165</t>
  </si>
  <si>
    <t xml:space="preserve">054/165</t>
  </si>
  <si>
    <t xml:space="preserve">055/165</t>
  </si>
  <si>
    <t xml:space="preserve">056/165</t>
  </si>
  <si>
    <t xml:space="preserve">057/165</t>
  </si>
  <si>
    <t xml:space="preserve">058/165</t>
  </si>
  <si>
    <t xml:space="preserve">059/165</t>
  </si>
  <si>
    <t xml:space="preserve">060/165</t>
  </si>
  <si>
    <t xml:space="preserve">061/165</t>
  </si>
  <si>
    <t xml:space="preserve">062/165</t>
  </si>
  <si>
    <t xml:space="preserve">063/165</t>
  </si>
  <si>
    <t xml:space="preserve">064/165</t>
  </si>
  <si>
    <t xml:space="preserve">065/165</t>
  </si>
  <si>
    <t xml:space="preserve">066/165</t>
  </si>
  <si>
    <t xml:space="preserve">067/165</t>
  </si>
  <si>
    <t xml:space="preserve">068/165</t>
  </si>
  <si>
    <t xml:space="preserve">069/165</t>
  </si>
  <si>
    <t xml:space="preserve">070/165</t>
  </si>
  <si>
    <t xml:space="preserve">071/165</t>
  </si>
  <si>
    <t xml:space="preserve">072/165</t>
  </si>
  <si>
    <t xml:space="preserve">073/165</t>
  </si>
  <si>
    <t xml:space="preserve">074/165</t>
  </si>
  <si>
    <t xml:space="preserve">075/165</t>
  </si>
  <si>
    <t xml:space="preserve">076/165</t>
  </si>
  <si>
    <t xml:space="preserve">077/165</t>
  </si>
  <si>
    <t xml:space="preserve">078/165</t>
  </si>
  <si>
    <t xml:space="preserve">079/165</t>
  </si>
  <si>
    <t xml:space="preserve">080/165</t>
  </si>
  <si>
    <t xml:space="preserve">081/165</t>
  </si>
  <si>
    <t xml:space="preserve">082/165</t>
  </si>
  <si>
    <t xml:space="preserve">083/165</t>
  </si>
  <si>
    <t xml:space="preserve">084/165</t>
  </si>
  <si>
    <t xml:space="preserve">085/165</t>
  </si>
  <si>
    <t xml:space="preserve">086/165</t>
  </si>
  <si>
    <t xml:space="preserve">087/165</t>
  </si>
  <si>
    <t xml:space="preserve">088/165</t>
  </si>
  <si>
    <t xml:space="preserve">089/165</t>
  </si>
  <si>
    <t xml:space="preserve">090/165</t>
  </si>
  <si>
    <t xml:space="preserve">091/165</t>
  </si>
  <si>
    <t xml:space="preserve">092/165</t>
  </si>
  <si>
    <t xml:space="preserve">093/165</t>
  </si>
  <si>
    <t xml:space="preserve">094/165</t>
  </si>
  <si>
    <t xml:space="preserve">095/165</t>
  </si>
  <si>
    <t xml:space="preserve">096/165</t>
  </si>
  <si>
    <t xml:space="preserve">097/165</t>
  </si>
  <si>
    <t xml:space="preserve">098/165</t>
  </si>
  <si>
    <t xml:space="preserve">099/165</t>
  </si>
  <si>
    <t xml:space="preserve">100/165</t>
  </si>
  <si>
    <t xml:space="preserve">101/165</t>
  </si>
  <si>
    <t xml:space="preserve">102/165</t>
  </si>
  <si>
    <t xml:space="preserve">103/165</t>
  </si>
  <si>
    <t xml:space="preserve">104/165</t>
  </si>
  <si>
    <t xml:space="preserve">105/165</t>
  </si>
  <si>
    <t xml:space="preserve">106/165</t>
  </si>
  <si>
    <t xml:space="preserve">107/165</t>
  </si>
  <si>
    <t xml:space="preserve">108/165</t>
  </si>
  <si>
    <t xml:space="preserve">109/165</t>
  </si>
  <si>
    <t xml:space="preserve">110/165</t>
  </si>
  <si>
    <t xml:space="preserve">111/165</t>
  </si>
  <si>
    <t xml:space="preserve">112/165</t>
  </si>
  <si>
    <t xml:space="preserve">113/165</t>
  </si>
  <si>
    <t xml:space="preserve">114/165</t>
  </si>
  <si>
    <t xml:space="preserve">115/165</t>
  </si>
  <si>
    <t xml:space="preserve">116/165</t>
  </si>
  <si>
    <t xml:space="preserve">117/165</t>
  </si>
  <si>
    <t xml:space="preserve">118/165</t>
  </si>
  <si>
    <t xml:space="preserve">119/165</t>
  </si>
  <si>
    <t xml:space="preserve">120/165</t>
  </si>
  <si>
    <t xml:space="preserve">121/165</t>
  </si>
  <si>
    <t xml:space="preserve">122/165</t>
  </si>
  <si>
    <t xml:space="preserve">123/165</t>
  </si>
  <si>
    <t xml:space="preserve">124/165</t>
  </si>
  <si>
    <t xml:space="preserve">125/165</t>
  </si>
  <si>
    <t xml:space="preserve">126/165</t>
  </si>
  <si>
    <t xml:space="preserve">127/165</t>
  </si>
  <si>
    <t xml:space="preserve">128/165</t>
  </si>
  <si>
    <t xml:space="preserve">129/165</t>
  </si>
  <si>
    <t xml:space="preserve">130/165</t>
  </si>
  <si>
    <t xml:space="preserve">131/165</t>
  </si>
  <si>
    <t xml:space="preserve">132/165</t>
  </si>
  <si>
    <t xml:space="preserve">133/165</t>
  </si>
  <si>
    <t xml:space="preserve">134/165</t>
  </si>
  <si>
    <t xml:space="preserve">135/165</t>
  </si>
  <si>
    <t xml:space="preserve">136/165</t>
  </si>
  <si>
    <t xml:space="preserve">137/165</t>
  </si>
  <si>
    <t xml:space="preserve">138/165</t>
  </si>
  <si>
    <t xml:space="preserve">139/165</t>
  </si>
  <si>
    <t xml:space="preserve">140/165</t>
  </si>
  <si>
    <t xml:space="preserve">141/165</t>
  </si>
  <si>
    <t xml:space="preserve">142/165</t>
  </si>
  <si>
    <t xml:space="preserve">143/165</t>
  </si>
  <si>
    <t xml:space="preserve">144/165</t>
  </si>
  <si>
    <t xml:space="preserve">145/165</t>
  </si>
  <si>
    <t xml:space="preserve">146/165</t>
  </si>
  <si>
    <t xml:space="preserve">147/165</t>
  </si>
  <si>
    <t xml:space="preserve">148/165</t>
  </si>
  <si>
    <t xml:space="preserve">149/165</t>
  </si>
  <si>
    <t xml:space="preserve">150/165</t>
  </si>
  <si>
    <t xml:space="preserve">151/165</t>
  </si>
  <si>
    <t xml:space="preserve">152/165</t>
  </si>
  <si>
    <t xml:space="preserve">153/165</t>
  </si>
  <si>
    <t xml:space="preserve">154/165</t>
  </si>
  <si>
    <t xml:space="preserve">155/165</t>
  </si>
  <si>
    <t xml:space="preserve">156/165</t>
  </si>
  <si>
    <t xml:space="preserve">157/165</t>
  </si>
  <si>
    <t xml:space="preserve">158/165</t>
  </si>
  <si>
    <t xml:space="preserve">159/165</t>
  </si>
  <si>
    <t xml:space="preserve">160/165</t>
  </si>
  <si>
    <t xml:space="preserve">161/165</t>
  </si>
  <si>
    <t xml:space="preserve">162/165</t>
  </si>
  <si>
    <t xml:space="preserve">163/165</t>
  </si>
  <si>
    <t xml:space="preserve">164/165</t>
  </si>
  <si>
    <t xml:space="preserve">165/165</t>
  </si>
  <si>
    <t xml:space="preserve">166/165</t>
  </si>
  <si>
    <t xml:space="preserve">Illustration Rare</t>
  </si>
  <si>
    <t xml:space="preserve">167/165</t>
  </si>
  <si>
    <t xml:space="preserve">168/165</t>
  </si>
  <si>
    <t xml:space="preserve">169/165</t>
  </si>
  <si>
    <t xml:space="preserve">170/165</t>
  </si>
  <si>
    <t xml:space="preserve">171/165</t>
  </si>
  <si>
    <t xml:space="preserve">172/165</t>
  </si>
  <si>
    <t xml:space="preserve">173/165</t>
  </si>
  <si>
    <t xml:space="preserve">174/165</t>
  </si>
  <si>
    <t xml:space="preserve">175/165</t>
  </si>
  <si>
    <t xml:space="preserve">176/165</t>
  </si>
  <si>
    <t xml:space="preserve">177/165</t>
  </si>
  <si>
    <t xml:space="preserve">178/165</t>
  </si>
  <si>
    <t xml:space="preserve">179/165</t>
  </si>
  <si>
    <t xml:space="preserve">180/165</t>
  </si>
  <si>
    <t xml:space="preserve">181/165</t>
  </si>
  <si>
    <t xml:space="preserve">182/165</t>
  </si>
  <si>
    <t xml:space="preserve">Ultra Rare</t>
  </si>
  <si>
    <t xml:space="preserve">183/165</t>
  </si>
  <si>
    <t xml:space="preserve">184/165</t>
  </si>
  <si>
    <t xml:space="preserve">185/165</t>
  </si>
  <si>
    <t xml:space="preserve">186/165</t>
  </si>
  <si>
    <t xml:space="preserve">187/165</t>
  </si>
  <si>
    <t xml:space="preserve">188/165</t>
  </si>
  <si>
    <t xml:space="preserve">189/165</t>
  </si>
  <si>
    <t xml:space="preserve">190/165</t>
  </si>
  <si>
    <t xml:space="preserve">191/165</t>
  </si>
  <si>
    <t xml:space="preserve">192/165</t>
  </si>
  <si>
    <t xml:space="preserve">193/165</t>
  </si>
  <si>
    <t xml:space="preserve">194/165</t>
  </si>
  <si>
    <t xml:space="preserve">195/165</t>
  </si>
  <si>
    <t xml:space="preserve">196/165</t>
  </si>
  <si>
    <t xml:space="preserve">197/165</t>
  </si>
  <si>
    <t xml:space="preserve">198/165</t>
  </si>
  <si>
    <t xml:space="preserve">Special Illustration Rare</t>
  </si>
  <si>
    <t xml:space="preserve">199/165</t>
  </si>
  <si>
    <t xml:space="preserve">200/165</t>
  </si>
  <si>
    <t xml:space="preserve">201/165</t>
  </si>
  <si>
    <t xml:space="preserve">202/165</t>
  </si>
  <si>
    <t xml:space="preserve">203/165</t>
  </si>
  <si>
    <t xml:space="preserve">204/165</t>
  </si>
  <si>
    <t xml:space="preserve">205/165</t>
  </si>
  <si>
    <t xml:space="preserve">Hyper Rare</t>
  </si>
  <si>
    <t xml:space="preserve">206/165</t>
  </si>
  <si>
    <t xml:space="preserve">207/165</t>
  </si>
  <si>
    <t xml:space="preserve">Promos &amp; Variants - Optional</t>
  </si>
  <si>
    <t xml:space="preserve">SVP 046</t>
  </si>
  <si>
    <t xml:space="preserve">Bulbasaur (HD Holo)</t>
  </si>
  <si>
    <t xml:space="preserve">151 Poster Collection - HD Holo</t>
  </si>
  <si>
    <t xml:space="preserve">151 Poster Collection</t>
  </si>
  <si>
    <t xml:space="preserve">SVP 047</t>
  </si>
  <si>
    <t xml:space="preserve">Charmander (HD Holo)</t>
  </si>
  <si>
    <t xml:space="preserve">SVP 048</t>
  </si>
  <si>
    <t xml:space="preserve">Squirtle (HD Holo)</t>
  </si>
  <si>
    <t xml:space="preserve">SVP 049</t>
  </si>
  <si>
    <t xml:space="preserve">Zapdos ex Collection</t>
  </si>
  <si>
    <t xml:space="preserve">SVP 050</t>
  </si>
  <si>
    <t xml:space="preserve">Alakazam ex Collection Box - with Stars</t>
  </si>
  <si>
    <t xml:space="preserve">Alakazam ex Collection Box - without Stars</t>
  </si>
  <si>
    <t xml:space="preserve">SVP 051</t>
  </si>
  <si>
    <t xml:space="preserve">Elite Trainer Box Promo</t>
  </si>
  <si>
    <t xml:space="preserve">Pokemon Center ETB Promo</t>
  </si>
  <si>
    <t xml:space="preserve">SVP 052</t>
  </si>
  <si>
    <t xml:space="preserve">151 Ultra Premium Collection</t>
  </si>
  <si>
    <t xml:space="preserve">SVP 053</t>
  </si>
  <si>
    <t xml:space="preserve">SVP 055</t>
  </si>
  <si>
    <t xml:space="preserve">Kangaskhan ex Battle Deck</t>
  </si>
  <si>
    <t xml:space="preserve">SVP 056</t>
  </si>
  <si>
    <t xml:space="preserve">Charizard ex Super Premium Collection</t>
  </si>
  <si>
    <t xml:space="preserve">Reverse (Cosmos Holo)</t>
  </si>
  <si>
    <t xml:space="preserve">Best Buy (US)</t>
  </si>
  <si>
    <t xml:space="preserve">Charizard ex Super Ultra-Premium Collection</t>
  </si>
  <si>
    <t xml:space="preserve">EBGames</t>
  </si>
  <si>
    <t xml:space="preserve">Gamestop</t>
  </si>
  <si>
    <t xml:space="preserve">Pokemon Center Promo</t>
  </si>
  <si>
    <t xml:space="preserve">Jumbo</t>
  </si>
  <si>
    <t xml:space="preserve">Play! League Promo</t>
  </si>
  <si>
    <t xml:space="preserve">Holiday Calendar 2025</t>
  </si>
  <si>
    <t xml:space="preserve">Pokémon Together</t>
  </si>
  <si>
    <t xml:space="preserve">Sam’s Club Exclusive</t>
  </si>
  <si>
    <t xml:space="preserve">Iron Leaves ex Battle Deck</t>
  </si>
  <si>
    <t xml:space="preserve">Abra (HD Holo)</t>
  </si>
  <si>
    <t xml:space="preserve">Alakazam ex Collection Box - HD Holo</t>
  </si>
  <si>
    <t xml:space="preserve">Alakazam ex Collection Box</t>
  </si>
  <si>
    <t xml:space="preserve">Play! Prize Pack - Play! Stamp</t>
  </si>
  <si>
    <t xml:space="preserve">Professor Program</t>
  </si>
  <si>
    <t xml:space="preserve">Professor Program (Cosmos Holo)</t>
  </si>
  <si>
    <t xml:space="preserve">Electabuzz (HD Holo)</t>
  </si>
  <si>
    <t xml:space="preserve">Zapdos ex Collection - HD Holo</t>
  </si>
  <si>
    <t xml:space="preserve">Play! Prize Pack</t>
  </si>
  <si>
    <t xml:space="preserve">Ditto</t>
  </si>
  <si>
    <t xml:space="preserve">World Championships Deck 2025: JP Raging Bolt by Yuya Okita</t>
  </si>
  <si>
    <t xml:space="preserve">Trainer Toolkit</t>
  </si>
  <si>
    <t xml:space="preserve">Charizard ex Deck Exclusive</t>
  </si>
  <si>
    <t xml:space="preserve">Mew ex</t>
  </si>
  <si>
    <t xml:space="preserve">Ultra League Ball</t>
  </si>
  <si>
    <t xml:space="preserve">World Championships Deck 2024: Regidrago VSTAR by Evan Pavelski</t>
  </si>
  <si>
    <t xml:space="preserve">World Championships Deck 2024: The 'Don by Jesse Parker</t>
  </si>
  <si>
    <t xml:space="preserve">World Championships Deck 2025: Flutter Devo Gardevoir by Riley McKay</t>
  </si>
  <si>
    <t xml:space="preserve">World Championships Deck 2024: Crushing Thorn by Fernando Cifuentes</t>
  </si>
  <si>
    <t xml:space="preserve">SVE 001</t>
  </si>
  <si>
    <t xml:space="preserve">Cosmos Holo</t>
  </si>
  <si>
    <t xml:space="preserve">Basic Grass Energy (HD Holo)</t>
  </si>
  <si>
    <t xml:space="preserve">HD Holo</t>
  </si>
  <si>
    <t xml:space="preserve">SVE 002</t>
  </si>
  <si>
    <t xml:space="preserve">Basic Fire Energy (HD Holo)</t>
  </si>
  <si>
    <t xml:space="preserve">SVE 003</t>
  </si>
  <si>
    <t xml:space="preserve">Basic Water Energy (HD Holo)</t>
  </si>
  <si>
    <t xml:space="preserve">SVE 004</t>
  </si>
  <si>
    <t xml:space="preserve">Basic Lightning Energy (HD Holo)</t>
  </si>
  <si>
    <t xml:space="preserve">SVE 005</t>
  </si>
  <si>
    <t xml:space="preserve">Basic Psychic Energy (HD Holo)</t>
  </si>
  <si>
    <t xml:space="preserve">SVE 006</t>
  </si>
  <si>
    <t xml:space="preserve">Basic Fighting Energy (HD Holo)</t>
  </si>
  <si>
    <t xml:space="preserve">SVE 007</t>
  </si>
  <si>
    <t xml:space="preserve">Basic Darkness Energy (HD Holo)</t>
  </si>
  <si>
    <t xml:space="preserve">SVE 008</t>
  </si>
  <si>
    <t xml:space="preserve">Basic Metal Energy (HD Holo)</t>
  </si>
  <si>
    <t xml:space="preserve">This checklist contains affiliate links for which I may be compensated.</t>
  </si>
  <si>
    <t xml:space="preserve">Want free 151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</si>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</sst>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IFERROR((COUNTIF(A2:A361,"☑"))/((COUNTIF(A2:A361,"☑"))+(COUNTIF(A2:A361,"☐"))),0)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HYPERLINK("https://partner.tcgplayer.com/c/6278691/1780961/21018?u=https%3A%2F%2Fwww.tcgplayer.com%2Fproduct%2F502552%3Futm_source%3Dimpact%26utm_medium%3Daffiliate%26utm_campaign%3Dpoke%2Bcottage","Bulbasaur")</f>
        <v>Bulbasaur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IFERROR(COUNTIF(A2:A441,"☑")/(COUNTIF(A2:A441,"☑")+COUNTIF(A2:A441,"☐")),0)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HYPERLINK("https://partner.tcgplayer.com/c/6278691/1780961/21018?u=https%3A%2F%2Fwww.tcgplayer.com%2Fproduct%2F502552%3Futm_source%3Dimpact%26utm_medium%3Daffiliate%26utm_campaign%3Dpoke%2Bcottage","Bulbasaur")</f>
        <v>Bulbasaur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HYPERLINK("https://partner.tcgplayer.com/c/6278691/1780961/21018?u=https%3A%2F%2Fwww.tcgplayer.com%2Fproduct%2F502553%3Futm_source%3Dimpact%26utm_medium%3Daffiliate%26utm_campaign%3Dpoke%2Bcottage","Ivysaur")</f>
        <v>Ivysaur</v>
      </c>
      <c r="D4" s="5" t="s">
        <v>13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HYPERLINK("https://partner.tcgplayer.com/c/6278691/1780961/21018?u=https%3A%2F%2Fwww.tcgplayer.com%2Fproduct%2F502553%3Futm_source%3Dimpact%26utm_medium%3Daffiliate%26utm_campaign%3Dpoke%2Bcottage","Ivysaur")</f>
        <v>Ivysaur</v>
      </c>
      <c r="D5" s="5" t="s">
        <v>13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HYPERLINK("https://partner.tcgplayer.com/c/6278691/1780961/21018?u=https%3A%2F%2Fwww.tcgplayer.com%2Fproduct%2F502554%3Futm_source%3Dimpact%26utm_medium%3Daffiliate%26utm_campaign%3Dpoke%2Bcottage","Venusaur ex")</f>
        <v>Venusaur ex</v>
      </c>
      <c r="D6" s="5" t="s">
        <v>15</v>
      </c>
      <c r="E6" s="5" t="s">
        <v>16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17</v>
      </c>
      <c r="C7" s="6" t="str">
        <f aca="false">HYPERLINK("https://partner.tcgplayer.com/c/6278691/1780961/21018?u=https%3A%2F%2Fwww.tcgplayer.com%2Fproduct%2F502555%3Futm_source%3Dimpact%26utm_medium%3Daffiliate%26utm_campaign%3Dpoke%2Bcottage","Charmander")</f>
        <v>Charmander</v>
      </c>
      <c r="D7" s="5" t="s">
        <v>8</v>
      </c>
      <c r="E7" s="5" t="s">
        <v>9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17</v>
      </c>
      <c r="C8" s="6" t="str">
        <f aca="false">HYPERLINK("https://partner.tcgplayer.com/c/6278691/1780961/21018?u=https%3A%2F%2Fwww.tcgplayer.com%2Fproduct%2F502555%3Futm_source%3Dimpact%26utm_medium%3Daffiliate%26utm_campaign%3Dpoke%2Bcottage","Charmander")</f>
        <v>Charmander</v>
      </c>
      <c r="D8" s="5" t="s">
        <v>8</v>
      </c>
      <c r="E8" s="5" t="s">
        <v>11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18</v>
      </c>
      <c r="C9" s="6" t="str">
        <f aca="false">HYPERLINK("https://partner.tcgplayer.com/c/6278691/1780961/21018?u=https%3A%2F%2Fwww.tcgplayer.com%2Fproduct%2F502557%3Futm_source%3Dimpact%26utm_medium%3Daffiliate%26utm_campaign%3Dpoke%2Bcottage","Charmeleon")</f>
        <v>Charmeleon</v>
      </c>
      <c r="D9" s="5" t="s">
        <v>13</v>
      </c>
      <c r="E9" s="5" t="s">
        <v>9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18</v>
      </c>
      <c r="C10" s="6" t="str">
        <f aca="false">HYPERLINK("https://partner.tcgplayer.com/c/6278691/1780961/21018?u=https%3A%2F%2Fwww.tcgplayer.com%2Fproduct%2F502557%3Futm_source%3Dimpact%26utm_medium%3Daffiliate%26utm_campaign%3Dpoke%2Bcottage","Charmeleon")</f>
        <v>Charmeleon</v>
      </c>
      <c r="D10" s="5" t="s">
        <v>13</v>
      </c>
      <c r="E10" s="5" t="s">
        <v>11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19</v>
      </c>
      <c r="C11" s="6" t="str">
        <f aca="false">HYPERLINK("https://partner.tcgplayer.com/c/6278691/1780961/21018?u=https%3A%2F%2Fwww.tcgplayer.com%2Fproduct%2F502558%3Futm_source%3Dimpact%26utm_medium%3Daffiliate%26utm_campaign%3Dpoke%2Bcottage","Charizard ex")</f>
        <v>Charizard ex</v>
      </c>
      <c r="D11" s="5" t="s">
        <v>15</v>
      </c>
      <c r="E11" s="5" t="s">
        <v>16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20</v>
      </c>
      <c r="C12" s="6" t="str">
        <f aca="false">HYPERLINK("https://partner.tcgplayer.com/c/6278691/1780961/21018?u=https%3A%2F%2Fwww.tcgplayer.com%2Fproduct%2F502548%3Futm_source%3Dimpact%26utm_medium%3Daffiliate%26utm_campaign%3Dpoke%2Bcottage","Squirtle")</f>
        <v>Squirtle</v>
      </c>
      <c r="D12" s="5" t="s">
        <v>8</v>
      </c>
      <c r="E12" s="5" t="s">
        <v>9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20</v>
      </c>
      <c r="C13" s="6" t="str">
        <f aca="false">HYPERLINK("https://partner.tcgplayer.com/c/6278691/1780961/21018?u=https%3A%2F%2Fwww.tcgplayer.com%2Fproduct%2F502548%3Futm_source%3Dimpact%26utm_medium%3Daffiliate%26utm_campaign%3Dpoke%2Bcottage","Squirtle")</f>
        <v>Squirtle</v>
      </c>
      <c r="D13" s="5" t="s">
        <v>8</v>
      </c>
      <c r="E13" s="5" t="s">
        <v>11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21</v>
      </c>
      <c r="C14" s="6" t="str">
        <f aca="false">HYPERLINK("https://partner.tcgplayer.com/c/6278691/1780961/21018?u=https%3A%2F%2Fwww.tcgplayer.com%2Fproduct%2F502550%3Futm_source%3Dimpact%26utm_medium%3Daffiliate%26utm_campaign%3Dpoke%2Bcottage","Wartortle")</f>
        <v>Wartortle</v>
      </c>
      <c r="D14" s="5" t="s">
        <v>13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21</v>
      </c>
      <c r="C15" s="6" t="str">
        <f aca="false">HYPERLINK("https://partner.tcgplayer.com/c/6278691/1780961/21018?u=https%3A%2F%2Fwww.tcgplayer.com%2Fproduct%2F502550%3Futm_source%3Dimpact%26utm_medium%3Daffiliate%26utm_campaign%3Dpoke%2Bcottage","Wartortle")</f>
        <v>Wartortle</v>
      </c>
      <c r="D15" s="5" t="s">
        <v>13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22</v>
      </c>
      <c r="C16" s="6" t="str">
        <f aca="false">HYPERLINK("https://partner.tcgplayer.com/c/6278691/1780961/21018?u=https%3A%2F%2Fwww.tcgplayer.com%2Fproduct%2F502551%3Futm_source%3Dimpact%26utm_medium%3Daffiliate%26utm_campaign%3Dpoke%2Bcottage","Blastoise ex")</f>
        <v>Blastoise ex</v>
      </c>
      <c r="D16" s="5" t="s">
        <v>15</v>
      </c>
      <c r="E16" s="5" t="s">
        <v>16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23</v>
      </c>
      <c r="C17" s="6" t="str">
        <f aca="false">HYPERLINK("https://partner.tcgplayer.com/c/6278691/1780961/21018?u=https%3A%2F%2Fwww.tcgplayer.com%2Fproduct%2F502559%3Futm_source%3Dimpact%26utm_medium%3Daffiliate%26utm_campaign%3Dpoke%2Bcottage","Caterpie")</f>
        <v>Caterpie</v>
      </c>
      <c r="D17" s="5" t="s">
        <v>8</v>
      </c>
      <c r="E17" s="5" t="s">
        <v>9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23</v>
      </c>
      <c r="C18" s="6" t="str">
        <f aca="false">HYPERLINK("https://partner.tcgplayer.com/c/6278691/1780961/21018?u=https%3A%2F%2Fwww.tcgplayer.com%2Fproduct%2F502559%3Futm_source%3Dimpact%26utm_medium%3Daffiliate%26utm_campaign%3Dpoke%2Bcottage","Caterpie")</f>
        <v>Caterpie</v>
      </c>
      <c r="D18" s="5" t="s">
        <v>8</v>
      </c>
      <c r="E18" s="5" t="s">
        <v>11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24</v>
      </c>
      <c r="C19" s="6" t="str">
        <f aca="false">HYPERLINK("https://partner.tcgplayer.com/c/6278691/1780961/21018?u=https%3A%2F%2Fwww.tcgplayer.com%2Fproduct%2F502560%3Futm_source%3Dimpact%26utm_medium%3Daffiliate%26utm_campaign%3Dpoke%2Bcottage","Metapod")</f>
        <v>Metapod</v>
      </c>
      <c r="D19" s="5" t="s">
        <v>8</v>
      </c>
      <c r="E19" s="5" t="s">
        <v>9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24</v>
      </c>
      <c r="C20" s="6" t="str">
        <f aca="false">HYPERLINK("https://partner.tcgplayer.com/c/6278691/1780961/21018?u=https%3A%2F%2Fwww.tcgplayer.com%2Fproduct%2F502560%3Futm_source%3Dimpact%26utm_medium%3Daffiliate%26utm_campaign%3Dpoke%2Bcottage","Metapod")</f>
        <v>Metapod</v>
      </c>
      <c r="D20" s="5" t="s">
        <v>8</v>
      </c>
      <c r="E20" s="5" t="s">
        <v>11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25</v>
      </c>
      <c r="C21" s="6" t="str">
        <f aca="false">HYPERLINK("https://partner.tcgplayer.com/c/6278691/1780961/21018?u=https%3A%2F%2Fwww.tcgplayer.com%2Fproduct%2F502561%3Futm_source%3Dimpact%26utm_medium%3Daffiliate%26utm_campaign%3Dpoke%2Bcottage","Butterfree")</f>
        <v>Butterfree</v>
      </c>
      <c r="D21" s="5" t="s">
        <v>13</v>
      </c>
      <c r="E21" s="5" t="s">
        <v>9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25</v>
      </c>
      <c r="C22" s="6" t="str">
        <f aca="false">HYPERLINK("https://partner.tcgplayer.com/c/6278691/1780961/21018?u=https%3A%2F%2Fwww.tcgplayer.com%2Fproduct%2F502561%3Futm_source%3Dimpact%26utm_medium%3Daffiliate%26utm_campaign%3Dpoke%2Bcottage","Butterfree")</f>
        <v>Butterfree</v>
      </c>
      <c r="D22" s="5" t="s">
        <v>13</v>
      </c>
      <c r="E22" s="5" t="s">
        <v>11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26</v>
      </c>
      <c r="C23" s="6" t="str">
        <f aca="false">HYPERLINK("https://partner.tcgplayer.com/c/6278691/1780961/21018?u=https%3A%2F%2Fwww.tcgplayer.com%2Fproduct%2F502562%3Futm_source%3Dimpact%26utm_medium%3Daffiliate%26utm_campaign%3Dpoke%2Bcottage","Weedle")</f>
        <v>Weedle</v>
      </c>
      <c r="D23" s="5" t="s">
        <v>8</v>
      </c>
      <c r="E23" s="5" t="s">
        <v>9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26</v>
      </c>
      <c r="C24" s="6" t="str">
        <f aca="false">HYPERLINK("https://partner.tcgplayer.com/c/6278691/1780961/21018?u=https%3A%2F%2Fwww.tcgplayer.com%2Fproduct%2F502562%3Futm_source%3Dimpact%26utm_medium%3Daffiliate%26utm_campaign%3Dpoke%2Bcottage","Weedle")</f>
        <v>Weedle</v>
      </c>
      <c r="D24" s="5" t="s">
        <v>8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27</v>
      </c>
      <c r="C25" s="6" t="str">
        <f aca="false">HYPERLINK("https://partner.tcgplayer.com/c/6278691/1780961/21018?u=https%3A%2F%2Fwww.tcgplayer.com%2Fproduct%2F502563%3Futm_source%3Dimpact%26utm_medium%3Daffiliate%26utm_campaign%3Dpoke%2Bcottage","Kakuna")</f>
        <v>Kakuna</v>
      </c>
      <c r="D25" s="5" t="s">
        <v>8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27</v>
      </c>
      <c r="C26" s="6" t="str">
        <f aca="false">HYPERLINK("https://partner.tcgplayer.com/c/6278691/1780961/21018?u=https%3A%2F%2Fwww.tcgplayer.com%2Fproduct%2F502563%3Futm_source%3Dimpact%26utm_medium%3Daffiliate%26utm_campaign%3Dpoke%2Bcottage","Kakuna")</f>
        <v>Kakuna</v>
      </c>
      <c r="D26" s="5" t="s">
        <v>8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28</v>
      </c>
      <c r="C27" s="6" t="str">
        <f aca="false">HYPERLINK("https://partner.tcgplayer.com/c/6278691/1780961/21018?u=https%3A%2F%2Fwww.tcgplayer.com%2Fproduct%2F502564%3Futm_source%3Dimpact%26utm_medium%3Daffiliate%26utm_campaign%3Dpoke%2Bcottage","Beedrill")</f>
        <v>Beedrill</v>
      </c>
      <c r="D27" s="5" t="s">
        <v>29</v>
      </c>
      <c r="E27" s="5" t="s">
        <v>16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28</v>
      </c>
      <c r="C28" s="6" t="str">
        <f aca="false">HYPERLINK("https://partner.tcgplayer.com/c/6278691/1780961/21018?u=https%3A%2F%2Fwww.tcgplayer.com%2Fproduct%2F502564%3Futm_source%3Dimpact%26utm_medium%3Daffiliate%26utm_campaign%3Dpoke%2Bcottage","Beedrill")</f>
        <v>Beedrill</v>
      </c>
      <c r="D28" s="5" t="s">
        <v>29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30</v>
      </c>
      <c r="C29" s="6" t="str">
        <f aca="false">HYPERLINK("https://partner.tcgplayer.com/c/6278691/1780961/21018?u=https%3A%2F%2Fwww.tcgplayer.com%2Fproduct%2F502565%3Futm_source%3Dimpact%26utm_medium%3Daffiliate%26utm_campaign%3Dpoke%2Bcottage","Pidgey")</f>
        <v>Pidgey</v>
      </c>
      <c r="D29" s="5" t="s">
        <v>8</v>
      </c>
      <c r="E29" s="5" t="s">
        <v>9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30</v>
      </c>
      <c r="C30" s="6" t="str">
        <f aca="false">HYPERLINK("https://partner.tcgplayer.com/c/6278691/1780961/21018?u=https%3A%2F%2Fwww.tcgplayer.com%2Fproduct%2F502565%3Futm_source%3Dimpact%26utm_medium%3Daffiliate%26utm_campaign%3Dpoke%2Bcottage","Pidgey")</f>
        <v>Pidgey</v>
      </c>
      <c r="D30" s="5" t="s">
        <v>8</v>
      </c>
      <c r="E30" s="5" t="s">
        <v>11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31</v>
      </c>
      <c r="C31" s="6" t="str">
        <f aca="false">HYPERLINK("https://partner.tcgplayer.com/c/6278691/1780961/21018?u=https%3A%2F%2Fwww.tcgplayer.com%2Fproduct%2F502566%3Futm_source%3Dimpact%26utm_medium%3Daffiliate%26utm_campaign%3Dpoke%2Bcottage","Pidgeotto")</f>
        <v>Pidgeotto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31</v>
      </c>
      <c r="C32" s="6" t="str">
        <f aca="false">HYPERLINK("https://partner.tcgplayer.com/c/6278691/1780961/21018?u=https%3A%2F%2Fwww.tcgplayer.com%2Fproduct%2F502566%3Futm_source%3Dimpact%26utm_medium%3Daffiliate%26utm_campaign%3Dpoke%2Bcottage","Pidgeotto")</f>
        <v>Pidgeotto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32</v>
      </c>
      <c r="C33" s="6" t="str">
        <f aca="false">HYPERLINK("https://partner.tcgplayer.com/c/6278691/1780961/21018?u=https%3A%2F%2Fwww.tcgplayer.com%2Fproduct%2F502567%3Futm_source%3Dimpact%26utm_medium%3Daffiliate%26utm_campaign%3Dpoke%2Bcottage","Pidgeot")</f>
        <v>Pidgeot</v>
      </c>
      <c r="D33" s="5" t="s">
        <v>13</v>
      </c>
      <c r="E33" s="5" t="s">
        <v>9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32</v>
      </c>
      <c r="C34" s="6" t="str">
        <f aca="false">HYPERLINK("https://partner.tcgplayer.com/c/6278691/1780961/21018?u=https%3A%2F%2Fwww.tcgplayer.com%2Fproduct%2F502567%3Futm_source%3Dimpact%26utm_medium%3Daffiliate%26utm_campaign%3Dpoke%2Bcottage","Pidgeot")</f>
        <v>Pidgeot</v>
      </c>
      <c r="D34" s="5" t="s">
        <v>13</v>
      </c>
      <c r="E34" s="5" t="s">
        <v>11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33</v>
      </c>
      <c r="C35" s="6" t="str">
        <f aca="false">HYPERLINK("https://partner.tcgplayer.com/c/6278691/1780961/21018?u=https%3A%2F%2Fwww.tcgplayer.com%2Fproduct%2F502568%3Futm_source%3Dimpact%26utm_medium%3Daffiliate%26utm_campaign%3Dpoke%2Bcottage","Rattata")</f>
        <v>Rattata</v>
      </c>
      <c r="D35" s="5" t="s">
        <v>8</v>
      </c>
      <c r="E35" s="5" t="s">
        <v>9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33</v>
      </c>
      <c r="C36" s="6" t="str">
        <f aca="false">HYPERLINK("https://partner.tcgplayer.com/c/6278691/1780961/21018?u=https%3A%2F%2Fwww.tcgplayer.com%2Fproduct%2F502568%3Futm_source%3Dimpact%26utm_medium%3Daffiliate%26utm_campaign%3Dpoke%2Bcottage","Rattata")</f>
        <v>Rattata</v>
      </c>
      <c r="D36" s="5" t="s">
        <v>8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34</v>
      </c>
      <c r="C37" s="6" t="str">
        <f aca="false">HYPERLINK("https://partner.tcgplayer.com/c/6278691/1780961/21018?u=https%3A%2F%2Fwww.tcgplayer.com%2Fproduct%2F502569%3Futm_source%3Dimpact%26utm_medium%3Daffiliate%26utm_campaign%3Dpoke%2Bcottage","Raticate")</f>
        <v>Raticate</v>
      </c>
      <c r="D37" s="5" t="s">
        <v>13</v>
      </c>
      <c r="E37" s="5" t="s">
        <v>9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34</v>
      </c>
      <c r="C38" s="6" t="str">
        <f aca="false">HYPERLINK("https://partner.tcgplayer.com/c/6278691/1780961/21018?u=https%3A%2F%2Fwww.tcgplayer.com%2Fproduct%2F502569%3Futm_source%3Dimpact%26utm_medium%3Daffiliate%26utm_campaign%3Dpoke%2Bcottage","Raticate")</f>
        <v>Raticate</v>
      </c>
      <c r="D38" s="5" t="s">
        <v>13</v>
      </c>
      <c r="E38" s="5" t="s">
        <v>11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35</v>
      </c>
      <c r="C39" s="6" t="str">
        <f aca="false">HYPERLINK("https://partner.tcgplayer.com/c/6278691/1780961/21018?u=https%3A%2F%2Fwww.tcgplayer.com%2Fproduct%2F502587%3Futm_source%3Dimpact%26utm_medium%3Daffiliate%26utm_campaign%3Dpoke%2Bcottage","Spearow")</f>
        <v>Spearow</v>
      </c>
      <c r="D39" s="5" t="s">
        <v>8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35</v>
      </c>
      <c r="C40" s="6" t="str">
        <f aca="false">HYPERLINK("https://partner.tcgplayer.com/c/6278691/1780961/21018?u=https%3A%2F%2Fwww.tcgplayer.com%2Fproduct%2F502587%3Futm_source%3Dimpact%26utm_medium%3Daffiliate%26utm_campaign%3Dpoke%2Bcottage","Spearow")</f>
        <v>Spearow</v>
      </c>
      <c r="D40" s="5" t="s">
        <v>8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36</v>
      </c>
      <c r="C41" s="6" t="str">
        <f aca="false">HYPERLINK("https://partner.tcgplayer.com/c/6278691/1780961/21018?u=https%3A%2F%2Fwww.tcgplayer.com%2Fproduct%2F502589%3Futm_source%3Dimpact%26utm_medium%3Daffiliate%26utm_campaign%3Dpoke%2Bcottage","Fearow")</f>
        <v>Fearow</v>
      </c>
      <c r="D41" s="5" t="s">
        <v>13</v>
      </c>
      <c r="E41" s="5" t="s">
        <v>9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36</v>
      </c>
      <c r="C42" s="6" t="str">
        <f aca="false">HYPERLINK("https://partner.tcgplayer.com/c/6278691/1780961/21018?u=https%3A%2F%2Fwww.tcgplayer.com%2Fproduct%2F502589%3Futm_source%3Dimpact%26utm_medium%3Daffiliate%26utm_campaign%3Dpoke%2Bcottage","Fearow")</f>
        <v>Fearow</v>
      </c>
      <c r="D42" s="5" t="s">
        <v>13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37</v>
      </c>
      <c r="C43" s="6" t="str">
        <f aca="false">HYPERLINK("https://partner.tcgplayer.com/c/6278691/1780961/21018?u=https%3A%2F%2Fwww.tcgplayer.com%2Fproduct%2F515955%3Futm_source%3Dimpact%26utm_medium%3Daffiliate%26utm_campaign%3Dpoke%2Bcottage","Ekans")</f>
        <v>Ekans</v>
      </c>
      <c r="D43" s="5" t="s">
        <v>8</v>
      </c>
      <c r="E43" s="5" t="s">
        <v>9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37</v>
      </c>
      <c r="C44" s="6" t="str">
        <f aca="false">HYPERLINK("https://partner.tcgplayer.com/c/6278691/1780961/21018?u=https%3A%2F%2Fwww.tcgplayer.com%2Fproduct%2F515955%3Futm_source%3Dimpact%26utm_medium%3Daffiliate%26utm_campaign%3Dpoke%2Bcottage","Ekans")</f>
        <v>Ekans</v>
      </c>
      <c r="D44" s="5" t="s">
        <v>8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38</v>
      </c>
      <c r="C45" s="6" t="str">
        <f aca="false">HYPERLINK("https://partner.tcgplayer.com/c/6278691/1780961/21018?u=https%3A%2F%2Fwww.tcgplayer.com%2Fproduct%2F515956%3Futm_source%3Dimpact%26utm_medium%3Daffiliate%26utm_campaign%3Dpoke%2Bcottage","Arbok ex")</f>
        <v>Arbok ex</v>
      </c>
      <c r="D45" s="5" t="s">
        <v>15</v>
      </c>
      <c r="E45" s="5" t="s">
        <v>16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39</v>
      </c>
      <c r="C46" s="6" t="str">
        <f aca="false">HYPERLINK("https://partner.tcgplayer.com/c/6278691/1780961/21018?u=https%3A%2F%2Fwww.tcgplayer.com%2Fproduct%2F517033%3Futm_source%3Dimpact%26utm_medium%3Daffiliate%26utm_campaign%3Dpoke%2Bcottage","Pikachu")</f>
        <v>Pikachu</v>
      </c>
      <c r="D46" s="5" t="s">
        <v>8</v>
      </c>
      <c r="E46" s="5" t="s">
        <v>9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39</v>
      </c>
      <c r="C47" s="6" t="str">
        <f aca="false">HYPERLINK("https://partner.tcgplayer.com/c/6278691/1780961/21018?u=https%3A%2F%2Fwww.tcgplayer.com%2Fproduct%2F517033%3Futm_source%3Dimpact%26utm_medium%3Daffiliate%26utm_campaign%3Dpoke%2Bcottage","Pikachu")</f>
        <v>Pikachu</v>
      </c>
      <c r="D47" s="5" t="s">
        <v>8</v>
      </c>
      <c r="E47" s="5" t="s">
        <v>11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40</v>
      </c>
      <c r="C48" s="6" t="str">
        <f aca="false">HYPERLINK("https://partner.tcgplayer.com/c/6278691/1780961/21018?u=https%3A%2F%2Fwww.tcgplayer.com%2Fproduct%2F515957%3Futm_source%3Dimpact%26utm_medium%3Daffiliate%26utm_campaign%3Dpoke%2Bcottage","Raichu")</f>
        <v>Raichu</v>
      </c>
      <c r="D48" s="5" t="s">
        <v>29</v>
      </c>
      <c r="E48" s="5" t="s">
        <v>16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40</v>
      </c>
      <c r="C49" s="6" t="str">
        <f aca="false">HYPERLINK("https://partner.tcgplayer.com/c/6278691/1780961/21018?u=https%3A%2F%2Fwww.tcgplayer.com%2Fproduct%2F515957%3Futm_source%3Dimpact%26utm_medium%3Daffiliate%26utm_campaign%3Dpoke%2Bcottage","Raichu")</f>
        <v>Raichu</v>
      </c>
      <c r="D49" s="5" t="s">
        <v>29</v>
      </c>
      <c r="E49" s="5" t="s">
        <v>11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41</v>
      </c>
      <c r="C50" s="6" t="str">
        <f aca="false">HYPERLINK("https://partner.tcgplayer.com/c/6278691/1780961/21018?u=https%3A%2F%2Fwww.tcgplayer.com%2Fproduct%2F515978%3Futm_source%3Dimpact%26utm_medium%3Daffiliate%26utm_campaign%3Dpoke%2Bcottage","Sandshrew")</f>
        <v>Sandshrew</v>
      </c>
      <c r="D50" s="5" t="s">
        <v>8</v>
      </c>
      <c r="E50" s="5" t="s">
        <v>9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41</v>
      </c>
      <c r="C51" s="6" t="str">
        <f aca="false">HYPERLINK("https://partner.tcgplayer.com/c/6278691/1780961/21018?u=https%3A%2F%2Fwww.tcgplayer.com%2Fproduct%2F515978%3Futm_source%3Dimpact%26utm_medium%3Daffiliate%26utm_campaign%3Dpoke%2Bcottage","Sandshrew")</f>
        <v>Sandshrew</v>
      </c>
      <c r="D51" s="5" t="s">
        <v>8</v>
      </c>
      <c r="E51" s="5" t="s">
        <v>11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42</v>
      </c>
      <c r="C52" s="6" t="str">
        <f aca="false">HYPERLINK("https://partner.tcgplayer.com/c/6278691/1780961/21018?u=https%3A%2F%2Fwww.tcgplayer.com%2Fproduct%2F515989%3Futm_source%3Dimpact%26utm_medium%3Daffiliate%26utm_campaign%3Dpoke%2Bcottage","Sandslash")</f>
        <v>Sandslash</v>
      </c>
      <c r="D52" s="5" t="s">
        <v>13</v>
      </c>
      <c r="E52" s="5" t="s">
        <v>9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42</v>
      </c>
      <c r="C53" s="6" t="str">
        <f aca="false">HYPERLINK("https://partner.tcgplayer.com/c/6278691/1780961/21018?u=https%3A%2F%2Fwww.tcgplayer.com%2Fproduct%2F515989%3Futm_source%3Dimpact%26utm_medium%3Daffiliate%26utm_campaign%3Dpoke%2Bcottage","Sandslash")</f>
        <v>Sandslash</v>
      </c>
      <c r="D53" s="5" t="s">
        <v>13</v>
      </c>
      <c r="E53" s="5" t="s">
        <v>11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43</v>
      </c>
      <c r="C54" s="6" t="str">
        <f aca="false">HYPERLINK("https://partner.tcgplayer.com/c/6278691/1780961/21018?u=https%3A%2F%2Fwww.tcgplayer.com%2Fproduct%2F515994%3Futm_source%3Dimpact%26utm_medium%3Daffiliate%26utm_campaign%3Dpoke%2Bcottage","Nidoran ♀")</f>
        <v>Nidoran ♀</v>
      </c>
      <c r="D54" s="5" t="s">
        <v>8</v>
      </c>
      <c r="E54" s="5" t="s">
        <v>9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43</v>
      </c>
      <c r="C55" s="6" t="str">
        <f aca="false">HYPERLINK("https://partner.tcgplayer.com/c/6278691/1780961/21018?u=https%3A%2F%2Fwww.tcgplayer.com%2Fproduct%2F515994%3Futm_source%3Dimpact%26utm_medium%3Daffiliate%26utm_campaign%3Dpoke%2Bcottage","Nidoran ♀")</f>
        <v>Nidoran ♀</v>
      </c>
      <c r="D55" s="5" t="s">
        <v>8</v>
      </c>
      <c r="E55" s="5" t="s">
        <v>11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44</v>
      </c>
      <c r="C56" s="6" t="str">
        <f aca="false">HYPERLINK("https://partner.tcgplayer.com/c/6278691/1780961/21018?u=https%3A%2F%2Fwww.tcgplayer.com%2Fproduct%2F516000%3Futm_source%3Dimpact%26utm_medium%3Daffiliate%26utm_campaign%3Dpoke%2Bcottage","Nidorina")</f>
        <v>Nidorina</v>
      </c>
      <c r="D56" s="5" t="s">
        <v>13</v>
      </c>
      <c r="E56" s="5" t="s">
        <v>9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44</v>
      </c>
      <c r="C57" s="6" t="str">
        <f aca="false">HYPERLINK("https://partner.tcgplayer.com/c/6278691/1780961/21018?u=https%3A%2F%2Fwww.tcgplayer.com%2Fproduct%2F516000%3Futm_source%3Dimpact%26utm_medium%3Daffiliate%26utm_campaign%3Dpoke%2Bcottage","Nidorina")</f>
        <v>Nidorina</v>
      </c>
      <c r="D57" s="5" t="s">
        <v>13</v>
      </c>
      <c r="E57" s="5" t="s">
        <v>11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45</v>
      </c>
      <c r="C58" s="6" t="str">
        <f aca="false">HYPERLINK("https://partner.tcgplayer.com/c/6278691/1780961/21018?u=https%3A%2F%2Fwww.tcgplayer.com%2Fproduct%2F516004%3Futm_source%3Dimpact%26utm_medium%3Daffiliate%26utm_campaign%3Dpoke%2Bcottage","Nidoqueen")</f>
        <v>Nidoqueen</v>
      </c>
      <c r="D58" s="5" t="s">
        <v>13</v>
      </c>
      <c r="E58" s="5" t="s">
        <v>9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45</v>
      </c>
      <c r="C59" s="6" t="str">
        <f aca="false">HYPERLINK("https://partner.tcgplayer.com/c/6278691/1780961/21018?u=https%3A%2F%2Fwww.tcgplayer.com%2Fproduct%2F516004%3Futm_source%3Dimpact%26utm_medium%3Daffiliate%26utm_campaign%3Dpoke%2Bcottage","Nidoqueen")</f>
        <v>Nidoqueen</v>
      </c>
      <c r="D59" s="5" t="s">
        <v>13</v>
      </c>
      <c r="E59" s="5" t="s">
        <v>11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46</v>
      </c>
      <c r="C60" s="6" t="str">
        <f aca="false">HYPERLINK("https://partner.tcgplayer.com/c/6278691/1780961/21018?u=https%3A%2F%2Fwww.tcgplayer.com%2Fproduct%2F516006%3Futm_source%3Dimpact%26utm_medium%3Daffiliate%26utm_campaign%3Dpoke%2Bcottage","Nidoran ♂")</f>
        <v>Nidoran ♂</v>
      </c>
      <c r="D60" s="5" t="s">
        <v>8</v>
      </c>
      <c r="E60" s="5" t="s">
        <v>9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46</v>
      </c>
      <c r="C61" s="6" t="str">
        <f aca="false">HYPERLINK("https://partner.tcgplayer.com/c/6278691/1780961/21018?u=https%3A%2F%2Fwww.tcgplayer.com%2Fproduct%2F516006%3Futm_source%3Dimpact%26utm_medium%3Daffiliate%26utm_campaign%3Dpoke%2Bcottage","Nidoran ♂")</f>
        <v>Nidoran ♂</v>
      </c>
      <c r="D61" s="5" t="s">
        <v>8</v>
      </c>
      <c r="E61" s="5" t="s">
        <v>11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47</v>
      </c>
      <c r="C62" s="6" t="str">
        <f aca="false">HYPERLINK("https://partner.tcgplayer.com/c/6278691/1780961/21018?u=https%3A%2F%2Fwww.tcgplayer.com%2Fproduct%2F516016%3Futm_source%3Dimpact%26utm_medium%3Daffiliate%26utm_campaign%3Dpoke%2Bcottage","Nidorino")</f>
        <v>Nidorino</v>
      </c>
      <c r="D62" s="5" t="s">
        <v>13</v>
      </c>
      <c r="E62" s="5" t="s">
        <v>9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47</v>
      </c>
      <c r="C63" s="6" t="str">
        <f aca="false">HYPERLINK("https://partner.tcgplayer.com/c/6278691/1780961/21018?u=https%3A%2F%2Fwww.tcgplayer.com%2Fproduct%2F516016%3Futm_source%3Dimpact%26utm_medium%3Daffiliate%26utm_campaign%3Dpoke%2Bcottage","Nidorino")</f>
        <v>Nidorino</v>
      </c>
      <c r="D63" s="5" t="s">
        <v>13</v>
      </c>
      <c r="E63" s="5" t="s">
        <v>11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48</v>
      </c>
      <c r="C64" s="6" t="str">
        <f aca="false">HYPERLINK("https://partner.tcgplayer.com/c/6278691/1780961/21018?u=https%3A%2F%2Fwww.tcgplayer.com%2Fproduct%2F516024%3Futm_source%3Dimpact%26utm_medium%3Daffiliate%26utm_campaign%3Dpoke%2Bcottage","Nidoking")</f>
        <v>Nidoking</v>
      </c>
      <c r="D64" s="5" t="s">
        <v>29</v>
      </c>
      <c r="E64" s="5" t="s">
        <v>16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48</v>
      </c>
      <c r="C65" s="6" t="str">
        <f aca="false">HYPERLINK("https://partner.tcgplayer.com/c/6278691/1780961/21018?u=https%3A%2F%2Fwww.tcgplayer.com%2Fproduct%2F516024%3Futm_source%3Dimpact%26utm_medium%3Daffiliate%26utm_campaign%3Dpoke%2Bcottage","Nidoking")</f>
        <v>Nidoking</v>
      </c>
      <c r="D65" s="5" t="s">
        <v>29</v>
      </c>
      <c r="E65" s="5" t="s">
        <v>11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49</v>
      </c>
      <c r="C66" s="6" t="str">
        <f aca="false">HYPERLINK("https://partner.tcgplayer.com/c/6278691/1780961/21018?u=https%3A%2F%2Fwww.tcgplayer.com%2Fproduct%2F516030%3Futm_source%3Dimpact%26utm_medium%3Daffiliate%26utm_campaign%3Dpoke%2Bcottage","Clefairy")</f>
        <v>Clefairy</v>
      </c>
      <c r="D66" s="5" t="s">
        <v>8</v>
      </c>
      <c r="E66" s="5" t="s">
        <v>9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49</v>
      </c>
      <c r="C67" s="6" t="str">
        <f aca="false">HYPERLINK("https://partner.tcgplayer.com/c/6278691/1780961/21018?u=https%3A%2F%2Fwww.tcgplayer.com%2Fproduct%2F516030%3Futm_source%3Dimpact%26utm_medium%3Daffiliate%26utm_campaign%3Dpoke%2Bcottage","Clefairy")</f>
        <v>Clefairy</v>
      </c>
      <c r="D67" s="5" t="s">
        <v>8</v>
      </c>
      <c r="E67" s="5" t="s">
        <v>11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50</v>
      </c>
      <c r="C68" s="6" t="str">
        <f aca="false">HYPERLINK("https://partner.tcgplayer.com/c/6278691/1780961/21018?u=https%3A%2F%2Fwww.tcgplayer.com%2Fproduct%2F516036%3Futm_source%3Dimpact%26utm_medium%3Daffiliate%26utm_campaign%3Dpoke%2Bcottage","Clefable")</f>
        <v>Clefable</v>
      </c>
      <c r="D68" s="5" t="s">
        <v>13</v>
      </c>
      <c r="E68" s="5" t="s">
        <v>9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50</v>
      </c>
      <c r="C69" s="6" t="str">
        <f aca="false">HYPERLINK("https://partner.tcgplayer.com/c/6278691/1780961/21018?u=https%3A%2F%2Fwww.tcgplayer.com%2Fproduct%2F516036%3Futm_source%3Dimpact%26utm_medium%3Daffiliate%26utm_campaign%3Dpoke%2Bcottage","Clefable")</f>
        <v>Clefable</v>
      </c>
      <c r="D69" s="5" t="s">
        <v>13</v>
      </c>
      <c r="E69" s="5" t="s">
        <v>11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51</v>
      </c>
      <c r="C70" s="6" t="str">
        <f aca="false">HYPERLINK("https://partner.tcgplayer.com/c/6278691/1780961/21018?u=https%3A%2F%2Fwww.tcgplayer.com%2Fproduct%2F516060%3Futm_source%3Dimpact%26utm_medium%3Daffiliate%26utm_campaign%3Dpoke%2Bcottage","Vulpix")</f>
        <v>Vulpix</v>
      </c>
      <c r="D70" s="5" t="s">
        <v>8</v>
      </c>
      <c r="E70" s="5" t="s">
        <v>9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HYPERLINK("https://partner.tcgplayer.com/c/6278691/1780961/21018?u=https%3A%2F%2Fwww.tcgplayer.com%2Fproduct%2F516060%3Futm_source%3Dimpact%26utm_medium%3Daffiliate%26utm_campaign%3Dpoke%2Bcottage","Vulpix")</f>
        <v>Vulpix</v>
      </c>
      <c r="D71" s="5" t="s">
        <v>8</v>
      </c>
      <c r="E71" s="5" t="s">
        <v>11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52</v>
      </c>
      <c r="C72" s="6" t="str">
        <f aca="false">HYPERLINK("https://partner.tcgplayer.com/c/6278691/1780961/21018?u=https%3A%2F%2Fwww.tcgplayer.com%2Fproduct%2F516072%3Futm_source%3Dimpact%26utm_medium%3Daffiliate%26utm_campaign%3Dpoke%2Bcottage","Ninetales ex")</f>
        <v>Ninetales ex</v>
      </c>
      <c r="D72" s="5" t="s">
        <v>15</v>
      </c>
      <c r="E72" s="5" t="s">
        <v>16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53</v>
      </c>
      <c r="C73" s="6" t="str">
        <f aca="false">HYPERLINK("https://partner.tcgplayer.com/c/6278691/1780961/21018?u=https%3A%2F%2Fwww.tcgplayer.com%2Fproduct%2F516108%3Futm_source%3Dimpact%26utm_medium%3Daffiliate%26utm_campaign%3Dpoke%2Bcottage","Jigglypuff")</f>
        <v>Jigglypuff</v>
      </c>
      <c r="D73" s="5" t="s">
        <v>8</v>
      </c>
      <c r="E73" s="5" t="s">
        <v>9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53</v>
      </c>
      <c r="C74" s="6" t="str">
        <f aca="false">HYPERLINK("https://partner.tcgplayer.com/c/6278691/1780961/21018?u=https%3A%2F%2Fwww.tcgplayer.com%2Fproduct%2F516108%3Futm_source%3Dimpact%26utm_medium%3Daffiliate%26utm_campaign%3Dpoke%2Bcottage","Jigglypuff")</f>
        <v>Jigglypuff</v>
      </c>
      <c r="D74" s="5" t="s">
        <v>8</v>
      </c>
      <c r="E74" s="5" t="s">
        <v>11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54</v>
      </c>
      <c r="C75" s="6" t="str">
        <f aca="false">HYPERLINK("https://partner.tcgplayer.com/c/6278691/1780961/21018?u=https%3A%2F%2Fwww.tcgplayer.com%2Fproduct%2F516145%3Futm_source%3Dimpact%26utm_medium%3Daffiliate%26utm_campaign%3Dpoke%2Bcottage","Wigglytuff ex")</f>
        <v>Wigglytuff ex</v>
      </c>
      <c r="D75" s="5" t="s">
        <v>15</v>
      </c>
      <c r="E75" s="5" t="s">
        <v>16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55</v>
      </c>
      <c r="C76" s="6" t="str">
        <f aca="false">HYPERLINK("https://partner.tcgplayer.com/c/6278691/1780961/21018?u=https%3A%2F%2Fwww.tcgplayer.com%2Fproduct%2F516150%3Futm_source%3Dimpact%26utm_medium%3Daffiliate%26utm_campaign%3Dpoke%2Bcottage","Zubat")</f>
        <v>Zubat</v>
      </c>
      <c r="D76" s="5" t="s">
        <v>8</v>
      </c>
      <c r="E76" s="5" t="s">
        <v>9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55</v>
      </c>
      <c r="C77" s="6" t="str">
        <f aca="false">HYPERLINK("https://partner.tcgplayer.com/c/6278691/1780961/21018?u=https%3A%2F%2Fwww.tcgplayer.com%2Fproduct%2F516150%3Futm_source%3Dimpact%26utm_medium%3Daffiliate%26utm_campaign%3Dpoke%2Bcottage","Zubat")</f>
        <v>Zubat</v>
      </c>
      <c r="D77" s="5" t="s">
        <v>8</v>
      </c>
      <c r="E77" s="5" t="s">
        <v>11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56</v>
      </c>
      <c r="C78" s="6" t="str">
        <f aca="false">HYPERLINK("https://partner.tcgplayer.com/c/6278691/1780961/21018?u=https%3A%2F%2Fwww.tcgplayer.com%2Fproduct%2F516152%3Futm_source%3Dimpact%26utm_medium%3Daffiliate%26utm_campaign%3Dpoke%2Bcottage","Golbat")</f>
        <v>Golbat</v>
      </c>
      <c r="D78" s="5" t="s">
        <v>13</v>
      </c>
      <c r="E78" s="5" t="s">
        <v>9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56</v>
      </c>
      <c r="C79" s="6" t="str">
        <f aca="false">HYPERLINK("https://partner.tcgplayer.com/c/6278691/1780961/21018?u=https%3A%2F%2Fwww.tcgplayer.com%2Fproduct%2F516152%3Futm_source%3Dimpact%26utm_medium%3Daffiliate%26utm_campaign%3Dpoke%2Bcottage","Golbat")</f>
        <v>Golbat</v>
      </c>
      <c r="D79" s="5" t="s">
        <v>13</v>
      </c>
      <c r="E79" s="5" t="s">
        <v>11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57</v>
      </c>
      <c r="C80" s="6" t="str">
        <f aca="false">HYPERLINK("https://partner.tcgplayer.com/c/6278691/1780961/21018?u=https%3A%2F%2Fwww.tcgplayer.com%2Fproduct%2F516156%3Futm_source%3Dimpact%26utm_medium%3Daffiliate%26utm_campaign%3Dpoke%2Bcottage","Oddish")</f>
        <v>Oddish</v>
      </c>
      <c r="D80" s="5" t="s">
        <v>8</v>
      </c>
      <c r="E80" s="5" t="s">
        <v>9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57</v>
      </c>
      <c r="C81" s="6" t="str">
        <f aca="false">HYPERLINK("https://partner.tcgplayer.com/c/6278691/1780961/21018?u=https%3A%2F%2Fwww.tcgplayer.com%2Fproduct%2F516156%3Futm_source%3Dimpact%26utm_medium%3Daffiliate%26utm_campaign%3Dpoke%2Bcottage","Oddish")</f>
        <v>Oddish</v>
      </c>
      <c r="D81" s="5" t="s">
        <v>8</v>
      </c>
      <c r="E81" s="5" t="s">
        <v>11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58</v>
      </c>
      <c r="C82" s="6" t="str">
        <f aca="false">HYPERLINK("https://partner.tcgplayer.com/c/6278691/1780961/21018?u=https%3A%2F%2Fwww.tcgplayer.com%2Fproduct%2F516157%3Futm_source%3Dimpact%26utm_medium%3Daffiliate%26utm_campaign%3Dpoke%2Bcottage","Gloom")</f>
        <v>Gloom</v>
      </c>
      <c r="D82" s="5" t="s">
        <v>13</v>
      </c>
      <c r="E82" s="5" t="s">
        <v>9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58</v>
      </c>
      <c r="C83" s="6" t="str">
        <f aca="false">HYPERLINK("https://partner.tcgplayer.com/c/6278691/1780961/21018?u=https%3A%2F%2Fwww.tcgplayer.com%2Fproduct%2F516157%3Futm_source%3Dimpact%26utm_medium%3Daffiliate%26utm_campaign%3Dpoke%2Bcottage","Gloom")</f>
        <v>Gloom</v>
      </c>
      <c r="D83" s="5" t="s">
        <v>13</v>
      </c>
      <c r="E83" s="5" t="s">
        <v>11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59</v>
      </c>
      <c r="C84" s="6" t="str">
        <f aca="false">HYPERLINK("https://partner.tcgplayer.com/c/6278691/1780961/21018?u=https%3A%2F%2Fwww.tcgplayer.com%2Fproduct%2F516159%3Futm_source%3Dimpact%26utm_medium%3Daffiliate%26utm_campaign%3Dpoke%2Bcottage","Vileplume")</f>
        <v>Vileplume</v>
      </c>
      <c r="D84" s="5" t="s">
        <v>29</v>
      </c>
      <c r="E84" s="5" t="s">
        <v>16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59</v>
      </c>
      <c r="C85" s="6" t="str">
        <f aca="false">HYPERLINK("https://partner.tcgplayer.com/c/6278691/1780961/21018?u=https%3A%2F%2Fwww.tcgplayer.com%2Fproduct%2F516159%3Futm_source%3Dimpact%26utm_medium%3Daffiliate%26utm_campaign%3Dpoke%2Bcottage","Vileplume")</f>
        <v>Vileplume</v>
      </c>
      <c r="D85" s="5" t="s">
        <v>29</v>
      </c>
      <c r="E85" s="5" t="s">
        <v>11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60</v>
      </c>
      <c r="C86" s="6" t="str">
        <f aca="false">HYPERLINK("https://partner.tcgplayer.com/c/6278691/1780961/21018?u=https%3A%2F%2Fwww.tcgplayer.com%2Fproduct%2F516163%3Futm_source%3Dimpact%26utm_medium%3Daffiliate%26utm_campaign%3Dpoke%2Bcottage","Paras")</f>
        <v>Paras</v>
      </c>
      <c r="D86" s="5" t="s">
        <v>8</v>
      </c>
      <c r="E86" s="5" t="s">
        <v>9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60</v>
      </c>
      <c r="C87" s="6" t="str">
        <f aca="false">HYPERLINK("https://partner.tcgplayer.com/c/6278691/1780961/21018?u=https%3A%2F%2Fwww.tcgplayer.com%2Fproduct%2F516163%3Futm_source%3Dimpact%26utm_medium%3Daffiliate%26utm_campaign%3Dpoke%2Bcottage","Paras")</f>
        <v>Paras</v>
      </c>
      <c r="D87" s="5" t="s">
        <v>8</v>
      </c>
      <c r="E87" s="5" t="s">
        <v>11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61</v>
      </c>
      <c r="C88" s="6" t="str">
        <f aca="false">HYPERLINK("https://partner.tcgplayer.com/c/6278691/1780961/21018?u=https%3A%2F%2Fwww.tcgplayer.com%2Fproduct%2F516170%3Futm_source%3Dimpact%26utm_medium%3Daffiliate%26utm_campaign%3Dpoke%2Bcottage","Parasect")</f>
        <v>Parasect</v>
      </c>
      <c r="D88" s="5" t="s">
        <v>13</v>
      </c>
      <c r="E88" s="5" t="s">
        <v>9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61</v>
      </c>
      <c r="C89" s="6" t="str">
        <f aca="false">HYPERLINK("https://partner.tcgplayer.com/c/6278691/1780961/21018?u=https%3A%2F%2Fwww.tcgplayer.com%2Fproduct%2F516170%3Futm_source%3Dimpact%26utm_medium%3Daffiliate%26utm_campaign%3Dpoke%2Bcottage","Parasect")</f>
        <v>Parasect</v>
      </c>
      <c r="D89" s="5" t="s">
        <v>13</v>
      </c>
      <c r="E89" s="5" t="s">
        <v>11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62</v>
      </c>
      <c r="C90" s="6" t="str">
        <f aca="false">HYPERLINK("https://partner.tcgplayer.com/c/6278691/1780961/21018?u=https%3A%2F%2Fwww.tcgplayer.com%2Fproduct%2F516206%3Futm_source%3Dimpact%26utm_medium%3Daffiliate%26utm_campaign%3Dpoke%2Bcottage","Venonat")</f>
        <v>Venonat</v>
      </c>
      <c r="D90" s="5" t="s">
        <v>8</v>
      </c>
      <c r="E90" s="5" t="s">
        <v>9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62</v>
      </c>
      <c r="C91" s="6" t="str">
        <f aca="false">HYPERLINK("https://partner.tcgplayer.com/c/6278691/1780961/21018?u=https%3A%2F%2Fwww.tcgplayer.com%2Fproduct%2F516206%3Futm_source%3Dimpact%26utm_medium%3Daffiliate%26utm_campaign%3Dpoke%2Bcottage","Venonat")</f>
        <v>Venonat</v>
      </c>
      <c r="D91" s="5" t="s">
        <v>8</v>
      </c>
      <c r="E91" s="5" t="s">
        <v>11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63</v>
      </c>
      <c r="C92" s="6" t="str">
        <f aca="false">HYPERLINK("https://partner.tcgplayer.com/c/6278691/1780961/21018?u=https%3A%2F%2Fwww.tcgplayer.com%2Fproduct%2F516213%3Futm_source%3Dimpact%26utm_medium%3Daffiliate%26utm_campaign%3Dpoke%2Bcottage","Venomoth")</f>
        <v>Venomoth</v>
      </c>
      <c r="D92" s="5" t="s">
        <v>13</v>
      </c>
      <c r="E92" s="5" t="s">
        <v>9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63</v>
      </c>
      <c r="C93" s="6" t="str">
        <f aca="false">HYPERLINK("https://partner.tcgplayer.com/c/6278691/1780961/21018?u=https%3A%2F%2Fwww.tcgplayer.com%2Fproduct%2F516213%3Futm_source%3Dimpact%26utm_medium%3Daffiliate%26utm_campaign%3Dpoke%2Bcottage","Venomoth")</f>
        <v>Venomoth</v>
      </c>
      <c r="D93" s="5" t="s">
        <v>13</v>
      </c>
      <c r="E93" s="5" t="s">
        <v>11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64</v>
      </c>
      <c r="C94" s="6" t="str">
        <f aca="false">HYPERLINK("https://partner.tcgplayer.com/c/6278691/1780961/21018?u=https%3A%2F%2Fwww.tcgplayer.com%2Fproduct%2F516215%3Futm_source%3Dimpact%26utm_medium%3Daffiliate%26utm_campaign%3Dpoke%2Bcottage","Diglett")</f>
        <v>Diglett</v>
      </c>
      <c r="D94" s="5" t="s">
        <v>8</v>
      </c>
      <c r="E94" s="5" t="s">
        <v>9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64</v>
      </c>
      <c r="C95" s="6" t="str">
        <f aca="false">HYPERLINK("https://partner.tcgplayer.com/c/6278691/1780961/21018?u=https%3A%2F%2Fwww.tcgplayer.com%2Fproduct%2F516215%3Futm_source%3Dimpact%26utm_medium%3Daffiliate%26utm_campaign%3Dpoke%2Bcottage","Diglett")</f>
        <v>Diglett</v>
      </c>
      <c r="D95" s="5" t="s">
        <v>8</v>
      </c>
      <c r="E95" s="5" t="s">
        <v>11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65</v>
      </c>
      <c r="C96" s="6" t="str">
        <f aca="false">HYPERLINK("https://partner.tcgplayer.com/c/6278691/1780961/21018?u=https%3A%2F%2Fwww.tcgplayer.com%2Fproduct%2F516216%3Futm_source%3Dimpact%26utm_medium%3Daffiliate%26utm_campaign%3Dpoke%2Bcottage","Dugtrio")</f>
        <v>Dugtrio</v>
      </c>
      <c r="D96" s="5" t="s">
        <v>13</v>
      </c>
      <c r="E96" s="5" t="s">
        <v>9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65</v>
      </c>
      <c r="C97" s="6" t="str">
        <f aca="false">HYPERLINK("https://partner.tcgplayer.com/c/6278691/1780961/21018?u=https%3A%2F%2Fwww.tcgplayer.com%2Fproduct%2F516216%3Futm_source%3Dimpact%26utm_medium%3Daffiliate%26utm_campaign%3Dpoke%2Bcottage","Dugtrio")</f>
        <v>Dugtrio</v>
      </c>
      <c r="D97" s="5" t="s">
        <v>13</v>
      </c>
      <c r="E97" s="5" t="s">
        <v>11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66</v>
      </c>
      <c r="C98" s="6" t="str">
        <f aca="false">HYPERLINK("https://partner.tcgplayer.com/c/6278691/1780961/21018?u=https%3A%2F%2Fwww.tcgplayer.com%2Fproduct%2F516221%3Futm_source%3Dimpact%26utm_medium%3Daffiliate%26utm_campaign%3Dpoke%2Bcottage","Meowth")</f>
        <v>Meowth</v>
      </c>
      <c r="D98" s="5" t="s">
        <v>8</v>
      </c>
      <c r="E98" s="5" t="s">
        <v>9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66</v>
      </c>
      <c r="C99" s="6" t="str">
        <f aca="false">HYPERLINK("https://partner.tcgplayer.com/c/6278691/1780961/21018?u=https%3A%2F%2Fwww.tcgplayer.com%2Fproduct%2F516221%3Futm_source%3Dimpact%26utm_medium%3Daffiliate%26utm_campaign%3Dpoke%2Bcottage","Meowth")</f>
        <v>Meowth</v>
      </c>
      <c r="D99" s="5" t="s">
        <v>8</v>
      </c>
      <c r="E99" s="5" t="s">
        <v>11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67</v>
      </c>
      <c r="C100" s="6" t="str">
        <f aca="false">HYPERLINK("https://partner.tcgplayer.com/c/6278691/1780961/21018?u=https%3A%2F%2Fwww.tcgplayer.com%2Fproduct%2F516223%3Futm_source%3Dimpact%26utm_medium%3Daffiliate%26utm_campaign%3Dpoke%2Bcottage","Persian")</f>
        <v>Persian</v>
      </c>
      <c r="D100" s="5" t="s">
        <v>13</v>
      </c>
      <c r="E100" s="5" t="s">
        <v>9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67</v>
      </c>
      <c r="C101" s="6" t="str">
        <f aca="false">HYPERLINK("https://partner.tcgplayer.com/c/6278691/1780961/21018?u=https%3A%2F%2Fwww.tcgplayer.com%2Fproduct%2F516223%3Futm_source%3Dimpact%26utm_medium%3Daffiliate%26utm_campaign%3Dpoke%2Bcottage","Persian")</f>
        <v>Persian</v>
      </c>
      <c r="D101" s="5" t="s">
        <v>13</v>
      </c>
      <c r="E101" s="5" t="s">
        <v>11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68</v>
      </c>
      <c r="C102" s="6" t="str">
        <f aca="false">HYPERLINK("https://partner.tcgplayer.com/c/6278691/1780961/21018?u=https%3A%2F%2Fwww.tcgplayer.com%2Fproduct%2F516231%3Futm_source%3Dimpact%26utm_medium%3Daffiliate%26utm_campaign%3Dpoke%2Bcottage","Psyduck")</f>
        <v>Psyduck</v>
      </c>
      <c r="D102" s="5" t="s">
        <v>8</v>
      </c>
      <c r="E102" s="5" t="s">
        <v>9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68</v>
      </c>
      <c r="C103" s="6" t="str">
        <f aca="false">HYPERLINK("https://partner.tcgplayer.com/c/6278691/1780961/21018?u=https%3A%2F%2Fwww.tcgplayer.com%2Fproduct%2F516231%3Futm_source%3Dimpact%26utm_medium%3Daffiliate%26utm_campaign%3Dpoke%2Bcottage","Psyduck")</f>
        <v>Psyduck</v>
      </c>
      <c r="D103" s="5" t="s">
        <v>8</v>
      </c>
      <c r="E103" s="5" t="s">
        <v>11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69</v>
      </c>
      <c r="C104" s="6" t="str">
        <f aca="false">HYPERLINK("https://partner.tcgplayer.com/c/6278691/1780961/21018?u=https%3A%2F%2Fwww.tcgplayer.com%2Fproduct%2F516232%3Futm_source%3Dimpact%26utm_medium%3Daffiliate%26utm_campaign%3Dpoke%2Bcottage","Golduck")</f>
        <v>Golduck</v>
      </c>
      <c r="D104" s="5" t="s">
        <v>13</v>
      </c>
      <c r="E104" s="5" t="s">
        <v>9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69</v>
      </c>
      <c r="C105" s="6" t="str">
        <f aca="false">HYPERLINK("https://partner.tcgplayer.com/c/6278691/1780961/21018?u=https%3A%2F%2Fwww.tcgplayer.com%2Fproduct%2F516232%3Futm_source%3Dimpact%26utm_medium%3Daffiliate%26utm_campaign%3Dpoke%2Bcottage","Golduck")</f>
        <v>Golduck</v>
      </c>
      <c r="D105" s="5" t="s">
        <v>13</v>
      </c>
      <c r="E105" s="5" t="s">
        <v>11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70</v>
      </c>
      <c r="C106" s="6" t="str">
        <f aca="false">HYPERLINK("https://partner.tcgplayer.com/c/6278691/1780961/21018?u=https%3A%2F%2Fwww.tcgplayer.com%2Fproduct%2F516242%3Futm_source%3Dimpact%26utm_medium%3Daffiliate%26utm_campaign%3Dpoke%2Bcottage","Mankey")</f>
        <v>Mankey</v>
      </c>
      <c r="D106" s="5" t="s">
        <v>8</v>
      </c>
      <c r="E106" s="5" t="s">
        <v>9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70</v>
      </c>
      <c r="C107" s="6" t="str">
        <f aca="false">HYPERLINK("https://partner.tcgplayer.com/c/6278691/1780961/21018?u=https%3A%2F%2Fwww.tcgplayer.com%2Fproduct%2F516242%3Futm_source%3Dimpact%26utm_medium%3Daffiliate%26utm_campaign%3Dpoke%2Bcottage","Mankey")</f>
        <v>Mankey</v>
      </c>
      <c r="D107" s="5" t="s">
        <v>8</v>
      </c>
      <c r="E107" s="5" t="s">
        <v>11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71</v>
      </c>
      <c r="C108" s="6" t="str">
        <f aca="false">HYPERLINK("https://partner.tcgplayer.com/c/6278691/1780961/21018?u=https%3A%2F%2Fwww.tcgplayer.com%2Fproduct%2F516246%3Futm_source%3Dimpact%26utm_medium%3Daffiliate%26utm_campaign%3Dpoke%2Bcottage","Primeape")</f>
        <v>Primeape</v>
      </c>
      <c r="D108" s="5" t="s">
        <v>13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71</v>
      </c>
      <c r="C109" s="6" t="str">
        <f aca="false">HYPERLINK("https://partner.tcgplayer.com/c/6278691/1780961/21018?u=https%3A%2F%2Fwww.tcgplayer.com%2Fproduct%2F516246%3Futm_source%3Dimpact%26utm_medium%3Daffiliate%26utm_campaign%3Dpoke%2Bcottage","Primeape")</f>
        <v>Primeape</v>
      </c>
      <c r="D109" s="5" t="s">
        <v>13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72</v>
      </c>
      <c r="C110" s="6" t="str">
        <f aca="false">HYPERLINK("https://partner.tcgplayer.com/c/6278691/1780961/21018?u=https%3A%2F%2Fwww.tcgplayer.com%2Fproduct%2F516247%3Futm_source%3Dimpact%26utm_medium%3Daffiliate%26utm_campaign%3Dpoke%2Bcottage","Growlithe")</f>
        <v>Growlithe</v>
      </c>
      <c r="D110" s="5" t="s">
        <v>8</v>
      </c>
      <c r="E110" s="5" t="s">
        <v>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72</v>
      </c>
      <c r="C111" s="6" t="str">
        <f aca="false">HYPERLINK("https://partner.tcgplayer.com/c/6278691/1780961/21018?u=https%3A%2F%2Fwww.tcgplayer.com%2Fproduct%2F516247%3Futm_source%3Dimpact%26utm_medium%3Daffiliate%26utm_campaign%3Dpoke%2Bcottage","Growlithe")</f>
        <v>Growlithe</v>
      </c>
      <c r="D111" s="5" t="s">
        <v>8</v>
      </c>
      <c r="E111" s="5" t="s">
        <v>11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73</v>
      </c>
      <c r="C112" s="6" t="str">
        <f aca="false">HYPERLINK("https://partner.tcgplayer.com/c/6278691/1780961/21018?u=https%3A%2F%2Fwww.tcgplayer.com%2Fproduct%2F516248%3Futm_source%3Dimpact%26utm_medium%3Daffiliate%26utm_campaign%3Dpoke%2Bcottage","Arcanine")</f>
        <v>Arcanine</v>
      </c>
      <c r="D112" s="5" t="s">
        <v>13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73</v>
      </c>
      <c r="C113" s="6" t="str">
        <f aca="false">HYPERLINK("https://partner.tcgplayer.com/c/6278691/1780961/21018?u=https%3A%2F%2Fwww.tcgplayer.com%2Fproduct%2F516248%3Futm_source%3Dimpact%26utm_medium%3Daffiliate%26utm_campaign%3Dpoke%2Bcottage","Arcanine")</f>
        <v>Arcanine</v>
      </c>
      <c r="D113" s="5" t="s">
        <v>13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74</v>
      </c>
      <c r="C114" s="6" t="str">
        <f aca="false">HYPERLINK("https://partner.tcgplayer.com/c/6278691/1780961/21018?u=https%3A%2F%2Fwww.tcgplayer.com%2Fproduct%2F516249%3Futm_source%3Dimpact%26utm_medium%3Daffiliate%26utm_campaign%3Dpoke%2Bcottage","Poliwag")</f>
        <v>Poliwag</v>
      </c>
      <c r="D114" s="5" t="s">
        <v>8</v>
      </c>
      <c r="E114" s="5" t="s">
        <v>9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74</v>
      </c>
      <c r="C115" s="6" t="str">
        <f aca="false">HYPERLINK("https://partner.tcgplayer.com/c/6278691/1780961/21018?u=https%3A%2F%2Fwww.tcgplayer.com%2Fproduct%2F516249%3Futm_source%3Dimpact%26utm_medium%3Daffiliate%26utm_campaign%3Dpoke%2Bcottage","Poliwag")</f>
        <v>Poliwag</v>
      </c>
      <c r="D115" s="5" t="s">
        <v>8</v>
      </c>
      <c r="E115" s="5" t="s">
        <v>11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75</v>
      </c>
      <c r="C116" s="6" t="str">
        <f aca="false">HYPERLINK("https://partner.tcgplayer.com/c/6278691/1780961/21018?u=https%3A%2F%2Fwww.tcgplayer.com%2Fproduct%2F516250%3Futm_source%3Dimpact%26utm_medium%3Daffiliate%26utm_campaign%3Dpoke%2Bcottage","Poliwhirl")</f>
        <v>Poliwhirl</v>
      </c>
      <c r="D116" s="5" t="s">
        <v>8</v>
      </c>
      <c r="E116" s="5" t="s">
        <v>9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75</v>
      </c>
      <c r="C117" s="6" t="str">
        <f aca="false">HYPERLINK("https://partner.tcgplayer.com/c/6278691/1780961/21018?u=https%3A%2F%2Fwww.tcgplayer.com%2Fproduct%2F516250%3Futm_source%3Dimpact%26utm_medium%3Daffiliate%26utm_campaign%3Dpoke%2Bcottage","Poliwhirl")</f>
        <v>Poliwhirl</v>
      </c>
      <c r="D117" s="5" t="s">
        <v>8</v>
      </c>
      <c r="E117" s="5" t="s">
        <v>11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76</v>
      </c>
      <c r="C118" s="6" t="str">
        <f aca="false">HYPERLINK("https://partner.tcgplayer.com/c/6278691/1780961/21018?u=https%3A%2F%2Fwww.tcgplayer.com%2Fproduct%2F516251%3Futm_source%3Dimpact%26utm_medium%3Daffiliate%26utm_campaign%3Dpoke%2Bcottage","Poliwrath")</f>
        <v>Poliwrath</v>
      </c>
      <c r="D118" s="5" t="s">
        <v>13</v>
      </c>
      <c r="E118" s="5" t="s">
        <v>9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76</v>
      </c>
      <c r="C119" s="6" t="str">
        <f aca="false">HYPERLINK("https://partner.tcgplayer.com/c/6278691/1780961/21018?u=https%3A%2F%2Fwww.tcgplayer.com%2Fproduct%2F516251%3Futm_source%3Dimpact%26utm_medium%3Daffiliate%26utm_campaign%3Dpoke%2Bcottage","Poliwrath")</f>
        <v>Poliwrath</v>
      </c>
      <c r="D119" s="5" t="s">
        <v>13</v>
      </c>
      <c r="E119" s="5" t="s">
        <v>11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77</v>
      </c>
      <c r="C120" s="6" t="str">
        <f aca="false">HYPERLINK("https://partner.tcgplayer.com/c/6278691/1780961/21018?u=https%3A%2F%2Fwww.tcgplayer.com%2Fproduct%2F516268%3Futm_source%3Dimpact%26utm_medium%3Daffiliate%26utm_campaign%3Dpoke%2Bcottage","Abra")</f>
        <v>Abra</v>
      </c>
      <c r="D120" s="5" t="s">
        <v>8</v>
      </c>
      <c r="E120" s="5" t="s">
        <v>9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77</v>
      </c>
      <c r="C121" s="6" t="str">
        <f aca="false">HYPERLINK("https://partner.tcgplayer.com/c/6278691/1780961/21018?u=https%3A%2F%2Fwww.tcgplayer.com%2Fproduct%2F516268%3Futm_source%3Dimpact%26utm_medium%3Daffiliate%26utm_campaign%3Dpoke%2Bcottage","Abra")</f>
        <v>Abra</v>
      </c>
      <c r="D121" s="5" t="s">
        <v>8</v>
      </c>
      <c r="E121" s="5" t="s">
        <v>11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78</v>
      </c>
      <c r="C122" s="6" t="str">
        <f aca="false">HYPERLINK("https://partner.tcgplayer.com/c/6278691/1780961/21018?u=https%3A%2F%2Fwww.tcgplayer.com%2Fproduct%2F516269%3Futm_source%3Dimpact%26utm_medium%3Daffiliate%26utm_campaign%3Dpoke%2Bcottage","Kadabra")</f>
        <v>Kadabra</v>
      </c>
      <c r="D122" s="5" t="s">
        <v>13</v>
      </c>
      <c r="E122" s="5" t="s">
        <v>9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78</v>
      </c>
      <c r="C123" s="6" t="str">
        <f aca="false">HYPERLINK("https://partner.tcgplayer.com/c/6278691/1780961/21018?u=https%3A%2F%2Fwww.tcgplayer.com%2Fproduct%2F516269%3Futm_source%3Dimpact%26utm_medium%3Daffiliate%26utm_campaign%3Dpoke%2Bcottage","Kadabra")</f>
        <v>Kadabra</v>
      </c>
      <c r="D123" s="5" t="s">
        <v>13</v>
      </c>
      <c r="E123" s="5" t="s">
        <v>11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79</v>
      </c>
      <c r="C124" s="6" t="str">
        <f aca="false">HYPERLINK("https://partner.tcgplayer.com/c/6278691/1780961/21018?u=https%3A%2F%2Fwww.tcgplayer.com%2Fproduct%2F516381%3Futm_source%3Dimpact%26utm_medium%3Daffiliate%26utm_campaign%3Dpoke%2Bcottage","Alakazam ex")</f>
        <v>Alakazam ex</v>
      </c>
      <c r="D124" s="5" t="s">
        <v>15</v>
      </c>
      <c r="E124" s="5" t="s">
        <v>16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80</v>
      </c>
      <c r="C125" s="6" t="str">
        <f aca="false">HYPERLINK("https://partner.tcgplayer.com/c/6278691/1780961/21018?u=https%3A%2F%2Fwww.tcgplayer.com%2Fproduct%2F516382%3Futm_source%3Dimpact%26utm_medium%3Daffiliate%26utm_campaign%3Dpoke%2Bcottage","Machop")</f>
        <v>Machop</v>
      </c>
      <c r="D125" s="5" t="s">
        <v>8</v>
      </c>
      <c r="E125" s="5" t="s">
        <v>9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80</v>
      </c>
      <c r="C126" s="6" t="str">
        <f aca="false">HYPERLINK("https://partner.tcgplayer.com/c/6278691/1780961/21018?u=https%3A%2F%2Fwww.tcgplayer.com%2Fproduct%2F516382%3Futm_source%3Dimpact%26utm_medium%3Daffiliate%26utm_campaign%3Dpoke%2Bcottage","Machop")</f>
        <v>Machop</v>
      </c>
      <c r="D126" s="5" t="s">
        <v>8</v>
      </c>
      <c r="E126" s="5" t="s">
        <v>11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81</v>
      </c>
      <c r="C127" s="6" t="str">
        <f aca="false">HYPERLINK("https://partner.tcgplayer.com/c/6278691/1780961/21018?u=https%3A%2F%2Fwww.tcgplayer.com%2Fproduct%2F516383%3Futm_source%3Dimpact%26utm_medium%3Daffiliate%26utm_campaign%3Dpoke%2Bcottage","Machoke")</f>
        <v>Machoke</v>
      </c>
      <c r="D127" s="5" t="s">
        <v>13</v>
      </c>
      <c r="E127" s="5" t="s">
        <v>9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81</v>
      </c>
      <c r="C128" s="6" t="str">
        <f aca="false">HYPERLINK("https://partner.tcgplayer.com/c/6278691/1780961/21018?u=https%3A%2F%2Fwww.tcgplayer.com%2Fproduct%2F516383%3Futm_source%3Dimpact%26utm_medium%3Daffiliate%26utm_campaign%3Dpoke%2Bcottage","Machoke")</f>
        <v>Machoke</v>
      </c>
      <c r="D128" s="5" t="s">
        <v>13</v>
      </c>
      <c r="E128" s="5" t="s">
        <v>11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82</v>
      </c>
      <c r="C129" s="6" t="str">
        <f aca="false">HYPERLINK("https://partner.tcgplayer.com/c/6278691/1780961/21018?u=https%3A%2F%2Fwww.tcgplayer.com%2Fproduct%2F516385%3Futm_source%3Dimpact%26utm_medium%3Daffiliate%26utm_campaign%3Dpoke%2Bcottage","Machamp")</f>
        <v>Machamp</v>
      </c>
      <c r="D129" s="5" t="s">
        <v>29</v>
      </c>
      <c r="E129" s="5" t="s">
        <v>16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82</v>
      </c>
      <c r="C130" s="6" t="str">
        <f aca="false">HYPERLINK("https://partner.tcgplayer.com/c/6278691/1780961/21018?u=https%3A%2F%2Fwww.tcgplayer.com%2Fproduct%2F516385%3Futm_source%3Dimpact%26utm_medium%3Daffiliate%26utm_campaign%3Dpoke%2Bcottage","Machamp")</f>
        <v>Machamp</v>
      </c>
      <c r="D130" s="5" t="s">
        <v>29</v>
      </c>
      <c r="E130" s="5" t="s">
        <v>11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83</v>
      </c>
      <c r="C131" s="6" t="str">
        <f aca="false">HYPERLINK("https://partner.tcgplayer.com/c/6278691/1780961/21018?u=https%3A%2F%2Fwww.tcgplayer.com%2Fproduct%2F516560%3Futm_source%3Dimpact%26utm_medium%3Daffiliate%26utm_campaign%3Dpoke%2Bcottage","Bellsprout")</f>
        <v>Bellsprout</v>
      </c>
      <c r="D131" s="5" t="s">
        <v>8</v>
      </c>
      <c r="E131" s="5" t="s">
        <v>9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83</v>
      </c>
      <c r="C132" s="6" t="str">
        <f aca="false">HYPERLINK("https://partner.tcgplayer.com/c/6278691/1780961/21018?u=https%3A%2F%2Fwww.tcgplayer.com%2Fproduct%2F516560%3Futm_source%3Dimpact%26utm_medium%3Daffiliate%26utm_campaign%3Dpoke%2Bcottage","Bellsprout")</f>
        <v>Bellsprout</v>
      </c>
      <c r="D132" s="5" t="s">
        <v>8</v>
      </c>
      <c r="E132" s="5" t="s">
        <v>11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84</v>
      </c>
      <c r="C133" s="6" t="str">
        <f aca="false">HYPERLINK("https://partner.tcgplayer.com/c/6278691/1780961/21018?u=https%3A%2F%2Fwww.tcgplayer.com%2Fproduct%2F516563%3Futm_source%3Dimpact%26utm_medium%3Daffiliate%26utm_campaign%3Dpoke%2Bcottage","Weepinbell")</f>
        <v>Weepinbell</v>
      </c>
      <c r="D133" s="5" t="s">
        <v>8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84</v>
      </c>
      <c r="C134" s="6" t="str">
        <f aca="false">HYPERLINK("https://partner.tcgplayer.com/c/6278691/1780961/21018?u=https%3A%2F%2Fwww.tcgplayer.com%2Fproduct%2F516563%3Futm_source%3Dimpact%26utm_medium%3Daffiliate%26utm_campaign%3Dpoke%2Bcottage","Weepinbell")</f>
        <v>Weepinbell</v>
      </c>
      <c r="D134" s="5" t="s">
        <v>8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85</v>
      </c>
      <c r="C135" s="6" t="str">
        <f aca="false">HYPERLINK("https://partner.tcgplayer.com/c/6278691/1780961/21018?u=https%3A%2F%2Fwww.tcgplayer.com%2Fproduct%2F516564%3Futm_source%3Dimpact%26utm_medium%3Daffiliate%26utm_campaign%3Dpoke%2Bcottage","Victreebel")</f>
        <v>Victreebel</v>
      </c>
      <c r="D135" s="5" t="s">
        <v>13</v>
      </c>
      <c r="E135" s="5" t="s">
        <v>9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85</v>
      </c>
      <c r="C136" s="6" t="str">
        <f aca="false">HYPERLINK("https://partner.tcgplayer.com/c/6278691/1780961/21018?u=https%3A%2F%2Fwww.tcgplayer.com%2Fproduct%2F516564%3Futm_source%3Dimpact%26utm_medium%3Daffiliate%26utm_campaign%3Dpoke%2Bcottage","Victreebel")</f>
        <v>Victreebel</v>
      </c>
      <c r="D136" s="5" t="s">
        <v>13</v>
      </c>
      <c r="E136" s="5" t="s">
        <v>11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86</v>
      </c>
      <c r="C137" s="6" t="str">
        <f aca="false">HYPERLINK("https://partner.tcgplayer.com/c/6278691/1780961/21018?u=https%3A%2F%2Fwww.tcgplayer.com%2Fproduct%2F516565%3Futm_source%3Dimpact%26utm_medium%3Daffiliate%26utm_campaign%3Dpoke%2Bcottage","Tentacool")</f>
        <v>Tentacool</v>
      </c>
      <c r="D137" s="5" t="s">
        <v>8</v>
      </c>
      <c r="E137" s="5" t="s">
        <v>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86</v>
      </c>
      <c r="C138" s="6" t="str">
        <f aca="false">HYPERLINK("https://partner.tcgplayer.com/c/6278691/1780961/21018?u=https%3A%2F%2Fwww.tcgplayer.com%2Fproduct%2F516565%3Futm_source%3Dimpact%26utm_medium%3Daffiliate%26utm_campaign%3Dpoke%2Bcottage","Tentacool")</f>
        <v>Tentacool</v>
      </c>
      <c r="D138" s="5" t="s">
        <v>8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87</v>
      </c>
      <c r="C139" s="6" t="str">
        <f aca="false">HYPERLINK("https://partner.tcgplayer.com/c/6278691/1780961/21018?u=https%3A%2F%2Fwww.tcgplayer.com%2Fproduct%2F516567%3Futm_source%3Dimpact%26utm_medium%3Daffiliate%26utm_campaign%3Dpoke%2Bcottage","Tentacruel")</f>
        <v>Tentacruel</v>
      </c>
      <c r="D139" s="5" t="s">
        <v>13</v>
      </c>
      <c r="E139" s="5" t="s">
        <v>9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87</v>
      </c>
      <c r="C140" s="6" t="str">
        <f aca="false">HYPERLINK("https://partner.tcgplayer.com/c/6278691/1780961/21018?u=https%3A%2F%2Fwww.tcgplayer.com%2Fproduct%2F516567%3Futm_source%3Dimpact%26utm_medium%3Daffiliate%26utm_campaign%3Dpoke%2Bcottage","Tentacruel")</f>
        <v>Tentacruel</v>
      </c>
      <c r="D140" s="5" t="s">
        <v>13</v>
      </c>
      <c r="E140" s="5" t="s">
        <v>11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88</v>
      </c>
      <c r="C141" s="6" t="str">
        <f aca="false">HYPERLINK("https://partner.tcgplayer.com/c/6278691/1780961/21018?u=https%3A%2F%2Fwww.tcgplayer.com%2Fproduct%2F516569%3Futm_source%3Dimpact%26utm_medium%3Daffiliate%26utm_campaign%3Dpoke%2Bcottage","Geodude")</f>
        <v>Geodude</v>
      </c>
      <c r="D141" s="5" t="s">
        <v>8</v>
      </c>
      <c r="E141" s="5" t="s">
        <v>9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88</v>
      </c>
      <c r="C142" s="6" t="str">
        <f aca="false">HYPERLINK("https://partner.tcgplayer.com/c/6278691/1780961/21018?u=https%3A%2F%2Fwww.tcgplayer.com%2Fproduct%2F516569%3Futm_source%3Dimpact%26utm_medium%3Daffiliate%26utm_campaign%3Dpoke%2Bcottage","Geodude")</f>
        <v>Geodude</v>
      </c>
      <c r="D142" s="5" t="s">
        <v>8</v>
      </c>
      <c r="E142" s="5" t="s">
        <v>11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89</v>
      </c>
      <c r="C143" s="6" t="str">
        <f aca="false">HYPERLINK("https://partner.tcgplayer.com/c/6278691/1780961/21018?u=https%3A%2F%2Fwww.tcgplayer.com%2Fproduct%2F516572%3Futm_source%3Dimpact%26utm_medium%3Daffiliate%26utm_campaign%3Dpoke%2Bcottage","Graveler")</f>
        <v>Graveler</v>
      </c>
      <c r="D143" s="5" t="s">
        <v>13</v>
      </c>
      <c r="E143" s="5" t="s">
        <v>9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89</v>
      </c>
      <c r="C144" s="6" t="str">
        <f aca="false">HYPERLINK("https://partner.tcgplayer.com/c/6278691/1780961/21018?u=https%3A%2F%2Fwww.tcgplayer.com%2Fproduct%2F516572%3Futm_source%3Dimpact%26utm_medium%3Daffiliate%26utm_campaign%3Dpoke%2Bcottage","Graveler")</f>
        <v>Graveler</v>
      </c>
      <c r="D144" s="5" t="s">
        <v>13</v>
      </c>
      <c r="E144" s="5" t="s">
        <v>11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90</v>
      </c>
      <c r="C145" s="6" t="str">
        <f aca="false">HYPERLINK("https://partner.tcgplayer.com/c/6278691/1780961/21018?u=https%3A%2F%2Fwww.tcgplayer.com%2Fproduct%2F516574%3Futm_source%3Dimpact%26utm_medium%3Daffiliate%26utm_campaign%3Dpoke%2Bcottage","Golem ex")</f>
        <v>Golem ex</v>
      </c>
      <c r="D145" s="5" t="s">
        <v>15</v>
      </c>
      <c r="E145" s="5" t="s">
        <v>16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91</v>
      </c>
      <c r="C146" s="6" t="str">
        <f aca="false">HYPERLINK("https://partner.tcgplayer.com/c/6278691/1780961/21018?u=https%3A%2F%2Fwww.tcgplayer.com%2Fproduct%2F516601%3Futm_source%3Dimpact%26utm_medium%3Daffiliate%26utm_campaign%3Dpoke%2Bcottage","Ponyta")</f>
        <v>Ponyta</v>
      </c>
      <c r="D146" s="5" t="s">
        <v>8</v>
      </c>
      <c r="E146" s="5" t="s">
        <v>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91</v>
      </c>
      <c r="C147" s="6" t="str">
        <f aca="false">HYPERLINK("https://partner.tcgplayer.com/c/6278691/1780961/21018?u=https%3A%2F%2Fwww.tcgplayer.com%2Fproduct%2F516601%3Futm_source%3Dimpact%26utm_medium%3Daffiliate%26utm_campaign%3Dpoke%2Bcottage","Ponyta")</f>
        <v>Ponyta</v>
      </c>
      <c r="D147" s="5" t="s">
        <v>8</v>
      </c>
      <c r="E147" s="5" t="s">
        <v>11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92</v>
      </c>
      <c r="C148" s="6" t="str">
        <f aca="false">HYPERLINK("https://partner.tcgplayer.com/c/6278691/1780961/21018?u=https%3A%2F%2Fwww.tcgplayer.com%2Fproduct%2F516607%3Futm_source%3Dimpact%26utm_medium%3Daffiliate%26utm_campaign%3Dpoke%2Bcottage","Rapidash")</f>
        <v>Rapidash</v>
      </c>
      <c r="D148" s="5" t="s">
        <v>13</v>
      </c>
      <c r="E148" s="5" t="s">
        <v>9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92</v>
      </c>
      <c r="C149" s="6" t="str">
        <f aca="false">HYPERLINK("https://partner.tcgplayer.com/c/6278691/1780961/21018?u=https%3A%2F%2Fwww.tcgplayer.com%2Fproduct%2F516607%3Futm_source%3Dimpact%26utm_medium%3Daffiliate%26utm_campaign%3Dpoke%2Bcottage","Rapidash")</f>
        <v>Rapidash</v>
      </c>
      <c r="D149" s="5" t="s">
        <v>13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93</v>
      </c>
      <c r="C150" s="6" t="str">
        <f aca="false">HYPERLINK("https://partner.tcgplayer.com/c/6278691/1780961/21018?u=https%3A%2F%2Fwww.tcgplayer.com%2Fproduct%2F516650%3Futm_source%3Dimpact%26utm_medium%3Daffiliate%26utm_campaign%3Dpoke%2Bcottage","Slowpoke")</f>
        <v>Slowpoke</v>
      </c>
      <c r="D150" s="5" t="s">
        <v>8</v>
      </c>
      <c r="E150" s="5" t="s">
        <v>9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93</v>
      </c>
      <c r="C151" s="6" t="str">
        <f aca="false">HYPERLINK("https://partner.tcgplayer.com/c/6278691/1780961/21018?u=https%3A%2F%2Fwww.tcgplayer.com%2Fproduct%2F516650%3Futm_source%3Dimpact%26utm_medium%3Daffiliate%26utm_campaign%3Dpoke%2Bcottage","Slowpoke")</f>
        <v>Slowpoke</v>
      </c>
      <c r="D151" s="5" t="s">
        <v>8</v>
      </c>
      <c r="E151" s="5" t="s">
        <v>11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94</v>
      </c>
      <c r="C152" s="6" t="str">
        <f aca="false">HYPERLINK("https://partner.tcgplayer.com/c/6278691/1780961/21018?u=https%3A%2F%2Fwww.tcgplayer.com%2Fproduct%2F516651%3Futm_source%3Dimpact%26utm_medium%3Daffiliate%26utm_campaign%3Dpoke%2Bcottage","Slowbro")</f>
        <v>Slowbro</v>
      </c>
      <c r="D152" s="5" t="s">
        <v>13</v>
      </c>
      <c r="E152" s="5" t="s">
        <v>9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94</v>
      </c>
      <c r="C153" s="6" t="str">
        <f aca="false">HYPERLINK("https://partner.tcgplayer.com/c/6278691/1780961/21018?u=https%3A%2F%2Fwww.tcgplayer.com%2Fproduct%2F516651%3Futm_source%3Dimpact%26utm_medium%3Daffiliate%26utm_campaign%3Dpoke%2Bcottage","Slowbro")</f>
        <v>Slowbro</v>
      </c>
      <c r="D153" s="5" t="s">
        <v>13</v>
      </c>
      <c r="E153" s="5" t="s">
        <v>11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95</v>
      </c>
      <c r="C154" s="6" t="str">
        <f aca="false">HYPERLINK("https://partner.tcgplayer.com/c/6278691/1780961/21018?u=https%3A%2F%2Fwww.tcgplayer.com%2Fproduct%2F516648%3Futm_source%3Dimpact%26utm_medium%3Daffiliate%26utm_campaign%3Dpoke%2Bcottage","Magnemite")</f>
        <v>Magnemite</v>
      </c>
      <c r="D154" s="5" t="s">
        <v>8</v>
      </c>
      <c r="E154" s="5" t="s">
        <v>9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95</v>
      </c>
      <c r="C155" s="6" t="str">
        <f aca="false">HYPERLINK("https://partner.tcgplayer.com/c/6278691/1780961/21018?u=https%3A%2F%2Fwww.tcgplayer.com%2Fproduct%2F516648%3Futm_source%3Dimpact%26utm_medium%3Daffiliate%26utm_campaign%3Dpoke%2Bcottage","Magnemite")</f>
        <v>Magnemite</v>
      </c>
      <c r="D155" s="5" t="s">
        <v>8</v>
      </c>
      <c r="E155" s="5" t="s">
        <v>11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96</v>
      </c>
      <c r="C156" s="6" t="str">
        <f aca="false">HYPERLINK("https://partner.tcgplayer.com/c/6278691/1780961/21018?u=https%3A%2F%2Fwww.tcgplayer.com%2Fproduct%2F516649%3Futm_source%3Dimpact%26utm_medium%3Daffiliate%26utm_campaign%3Dpoke%2Bcottage","Magneton")</f>
        <v>Magneton</v>
      </c>
      <c r="D156" s="5" t="s">
        <v>13</v>
      </c>
      <c r="E156" s="5" t="s">
        <v>9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96</v>
      </c>
      <c r="C157" s="6" t="str">
        <f aca="false">HYPERLINK("https://partner.tcgplayer.com/c/6278691/1780961/21018?u=https%3A%2F%2Fwww.tcgplayer.com%2Fproduct%2F516649%3Futm_source%3Dimpact%26utm_medium%3Daffiliate%26utm_campaign%3Dpoke%2Bcottage","Magneton")</f>
        <v>Magneton</v>
      </c>
      <c r="D157" s="5" t="s">
        <v>13</v>
      </c>
      <c r="E157" s="5" t="s">
        <v>11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97</v>
      </c>
      <c r="C158" s="6" t="str">
        <f aca="false">HYPERLINK("https://partner.tcgplayer.com/c/6278691/1780961/21018?u=https%3A%2F%2Fwww.tcgplayer.com%2Fproduct%2F516652%3Futm_source%3Dimpact%26utm_medium%3Daffiliate%26utm_campaign%3Dpoke%2Bcottage","Farfetch'd")</f>
        <v>Farfetch'd</v>
      </c>
      <c r="D158" s="5" t="s">
        <v>8</v>
      </c>
      <c r="E158" s="5" t="s">
        <v>9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97</v>
      </c>
      <c r="C159" s="6" t="str">
        <f aca="false">HYPERLINK("https://partner.tcgplayer.com/c/6278691/1780961/21018?u=https%3A%2F%2Fwww.tcgplayer.com%2Fproduct%2F516652%3Futm_source%3Dimpact%26utm_medium%3Daffiliate%26utm_campaign%3Dpoke%2Bcottage","Farfetch'd")</f>
        <v>Farfetch'd</v>
      </c>
      <c r="D159" s="5" t="s">
        <v>8</v>
      </c>
      <c r="E159" s="5" t="s">
        <v>11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98</v>
      </c>
      <c r="C160" s="6" t="str">
        <f aca="false">HYPERLINK("https://partner.tcgplayer.com/c/6278691/1780961/21018?u=https%3A%2F%2Fwww.tcgplayer.com%2Fproduct%2F516653%3Futm_source%3Dimpact%26utm_medium%3Daffiliate%26utm_campaign%3Dpoke%2Bcottage","Doduo")</f>
        <v>Doduo</v>
      </c>
      <c r="D160" s="5" t="s">
        <v>8</v>
      </c>
      <c r="E160" s="5" t="s">
        <v>9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98</v>
      </c>
      <c r="C161" s="6" t="str">
        <f aca="false">HYPERLINK("https://partner.tcgplayer.com/c/6278691/1780961/21018?u=https%3A%2F%2Fwww.tcgplayer.com%2Fproduct%2F516653%3Futm_source%3Dimpact%26utm_medium%3Daffiliate%26utm_campaign%3Dpoke%2Bcottage","Doduo")</f>
        <v>Doduo</v>
      </c>
      <c r="D161" s="5" t="s">
        <v>8</v>
      </c>
      <c r="E161" s="5" t="s">
        <v>11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99</v>
      </c>
      <c r="C162" s="6" t="str">
        <f aca="false">HYPERLINK("https://partner.tcgplayer.com/c/6278691/1780961/21018?u=https%3A%2F%2Fwww.tcgplayer.com%2Fproduct%2F516654%3Futm_source%3Dimpact%26utm_medium%3Daffiliate%26utm_campaign%3Dpoke%2Bcottage","Dodrio")</f>
        <v>Dodrio</v>
      </c>
      <c r="D162" s="5" t="s">
        <v>29</v>
      </c>
      <c r="E162" s="5" t="s">
        <v>16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99</v>
      </c>
      <c r="C163" s="6" t="str">
        <f aca="false">HYPERLINK("https://partner.tcgplayer.com/c/6278691/1780961/21018?u=https%3A%2F%2Fwww.tcgplayer.com%2Fproduct%2F516654%3Futm_source%3Dimpact%26utm_medium%3Daffiliate%26utm_campaign%3Dpoke%2Bcottage","Dodrio")</f>
        <v>Dodrio</v>
      </c>
      <c r="D163" s="5" t="s">
        <v>29</v>
      </c>
      <c r="E163" s="5" t="s">
        <v>11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100</v>
      </c>
      <c r="C164" s="6" t="str">
        <f aca="false">HYPERLINK("https://partner.tcgplayer.com/c/6278691/1780961/21018?u=https%3A%2F%2Fwww.tcgplayer.com%2Fproduct%2F516655%3Futm_source%3Dimpact%26utm_medium%3Daffiliate%26utm_campaign%3Dpoke%2Bcottage","Seel")</f>
        <v>Seel</v>
      </c>
      <c r="D164" s="5" t="s">
        <v>8</v>
      </c>
      <c r="E164" s="5" t="s">
        <v>9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100</v>
      </c>
      <c r="C165" s="6" t="str">
        <f aca="false">HYPERLINK("https://partner.tcgplayer.com/c/6278691/1780961/21018?u=https%3A%2F%2Fwww.tcgplayer.com%2Fproduct%2F516655%3Futm_source%3Dimpact%26utm_medium%3Daffiliate%26utm_campaign%3Dpoke%2Bcottage","Seel")</f>
        <v>Seel</v>
      </c>
      <c r="D165" s="5" t="s">
        <v>8</v>
      </c>
      <c r="E165" s="5" t="s">
        <v>11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101</v>
      </c>
      <c r="C166" s="6" t="str">
        <f aca="false">HYPERLINK("https://partner.tcgplayer.com/c/6278691/1780961/21018?u=https%3A%2F%2Fwww.tcgplayer.com%2Fproduct%2F516656%3Futm_source%3Dimpact%26utm_medium%3Daffiliate%26utm_campaign%3Dpoke%2Bcottage","Dewgong")</f>
        <v>Dewgong</v>
      </c>
      <c r="D166" s="5" t="s">
        <v>13</v>
      </c>
      <c r="E166" s="5" t="s">
        <v>9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101</v>
      </c>
      <c r="C167" s="6" t="str">
        <f aca="false">HYPERLINK("https://partner.tcgplayer.com/c/6278691/1780961/21018?u=https%3A%2F%2Fwww.tcgplayer.com%2Fproduct%2F516656%3Futm_source%3Dimpact%26utm_medium%3Daffiliate%26utm_campaign%3Dpoke%2Bcottage","Dewgong")</f>
        <v>Dewgong</v>
      </c>
      <c r="D167" s="5" t="s">
        <v>13</v>
      </c>
      <c r="E167" s="5" t="s">
        <v>11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102</v>
      </c>
      <c r="C168" s="6" t="str">
        <f aca="false">HYPERLINK("https://partner.tcgplayer.com/c/6278691/1780961/21018?u=https%3A%2F%2Fwww.tcgplayer.com%2Fproduct%2F516657%3Futm_source%3Dimpact%26utm_medium%3Daffiliate%26utm_campaign%3Dpoke%2Bcottage","Grimer")</f>
        <v>Grimer</v>
      </c>
      <c r="D168" s="5" t="s">
        <v>8</v>
      </c>
      <c r="E168" s="5" t="s">
        <v>9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102</v>
      </c>
      <c r="C169" s="6" t="str">
        <f aca="false">HYPERLINK("https://partner.tcgplayer.com/c/6278691/1780961/21018?u=https%3A%2F%2Fwww.tcgplayer.com%2Fproduct%2F516657%3Futm_source%3Dimpact%26utm_medium%3Daffiliate%26utm_campaign%3Dpoke%2Bcottage","Grimer")</f>
        <v>Grimer</v>
      </c>
      <c r="D169" s="5" t="s">
        <v>8</v>
      </c>
      <c r="E169" s="5" t="s">
        <v>11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103</v>
      </c>
      <c r="C170" s="6" t="str">
        <f aca="false">HYPERLINK("https://partner.tcgplayer.com/c/6278691/1780961/21018?u=https%3A%2F%2Fwww.tcgplayer.com%2Fproduct%2F516658%3Futm_source%3Dimpact%26utm_medium%3Daffiliate%26utm_campaign%3Dpoke%2Bcottage","Muk")</f>
        <v>Muk</v>
      </c>
      <c r="D170" s="5" t="s">
        <v>13</v>
      </c>
      <c r="E170" s="5" t="s">
        <v>9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103</v>
      </c>
      <c r="C171" s="6" t="str">
        <f aca="false">HYPERLINK("https://partner.tcgplayer.com/c/6278691/1780961/21018?u=https%3A%2F%2Fwww.tcgplayer.com%2Fproduct%2F516658%3Futm_source%3Dimpact%26utm_medium%3Daffiliate%26utm_campaign%3Dpoke%2Bcottage","Muk")</f>
        <v>Muk</v>
      </c>
      <c r="D171" s="5" t="s">
        <v>13</v>
      </c>
      <c r="E171" s="5" t="s">
        <v>11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104</v>
      </c>
      <c r="C172" s="6" t="str">
        <f aca="false">HYPERLINK("https://partner.tcgplayer.com/c/6278691/1780961/21018?u=https%3A%2F%2Fwww.tcgplayer.com%2Fproduct%2F516659%3Futm_source%3Dimpact%26utm_medium%3Daffiliate%26utm_campaign%3Dpoke%2Bcottage","Shellder")</f>
        <v>Shellder</v>
      </c>
      <c r="D172" s="5" t="s">
        <v>8</v>
      </c>
      <c r="E172" s="5" t="s">
        <v>9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104</v>
      </c>
      <c r="C173" s="6" t="str">
        <f aca="false">HYPERLINK("https://partner.tcgplayer.com/c/6278691/1780961/21018?u=https%3A%2F%2Fwww.tcgplayer.com%2Fproduct%2F516659%3Futm_source%3Dimpact%26utm_medium%3Daffiliate%26utm_campaign%3Dpoke%2Bcottage","Shellder")</f>
        <v>Shellder</v>
      </c>
      <c r="D173" s="5" t="s">
        <v>8</v>
      </c>
      <c r="E173" s="5" t="s">
        <v>11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105</v>
      </c>
      <c r="C174" s="6" t="str">
        <f aca="false">HYPERLINK("https://partner.tcgplayer.com/c/6278691/1780961/21018?u=https%3A%2F%2Fwww.tcgplayer.com%2Fproduct%2F516660%3Futm_source%3Dimpact%26utm_medium%3Daffiliate%26utm_campaign%3Dpoke%2Bcottage","Cloyster")</f>
        <v>Cloyster</v>
      </c>
      <c r="D174" s="5" t="s">
        <v>13</v>
      </c>
      <c r="E174" s="5" t="s">
        <v>9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105</v>
      </c>
      <c r="C175" s="6" t="str">
        <f aca="false">HYPERLINK("https://partner.tcgplayer.com/c/6278691/1780961/21018?u=https%3A%2F%2Fwww.tcgplayer.com%2Fproduct%2F516660%3Futm_source%3Dimpact%26utm_medium%3Daffiliate%26utm_campaign%3Dpoke%2Bcottage","Cloyster")</f>
        <v>Cloyster</v>
      </c>
      <c r="D175" s="5" t="s">
        <v>13</v>
      </c>
      <c r="E175" s="5" t="s">
        <v>11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106</v>
      </c>
      <c r="C176" s="6" t="str">
        <f aca="false">HYPERLINK("https://partner.tcgplayer.com/c/6278691/1780961/21018?u=https%3A%2F%2Fwww.tcgplayer.com%2Fproduct%2F516661%3Futm_source%3Dimpact%26utm_medium%3Daffiliate%26utm_campaign%3Dpoke%2Bcottage","Gastly")</f>
        <v>Gastly</v>
      </c>
      <c r="D176" s="5" t="s">
        <v>8</v>
      </c>
      <c r="E176" s="5" t="s">
        <v>9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106</v>
      </c>
      <c r="C177" s="6" t="str">
        <f aca="false">HYPERLINK("https://partner.tcgplayer.com/c/6278691/1780961/21018?u=https%3A%2F%2Fwww.tcgplayer.com%2Fproduct%2F516661%3Futm_source%3Dimpact%26utm_medium%3Daffiliate%26utm_campaign%3Dpoke%2Bcottage","Gastly")</f>
        <v>Gastly</v>
      </c>
      <c r="D177" s="5" t="s">
        <v>8</v>
      </c>
      <c r="E177" s="5" t="s">
        <v>11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107</v>
      </c>
      <c r="C178" s="6" t="str">
        <f aca="false">HYPERLINK("https://partner.tcgplayer.com/c/6278691/1780961/21018?u=https%3A%2F%2Fwww.tcgplayer.com%2Fproduct%2F516662%3Futm_source%3Dimpact%26utm_medium%3Daffiliate%26utm_campaign%3Dpoke%2Bcottage","Haunter")</f>
        <v>Haunter</v>
      </c>
      <c r="D178" s="5" t="s">
        <v>13</v>
      </c>
      <c r="E178" s="5" t="s">
        <v>9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107</v>
      </c>
      <c r="C179" s="6" t="str">
        <f aca="false">HYPERLINK("https://partner.tcgplayer.com/c/6278691/1780961/21018?u=https%3A%2F%2Fwww.tcgplayer.com%2Fproduct%2F516662%3Futm_source%3Dimpact%26utm_medium%3Daffiliate%26utm_campaign%3Dpoke%2Bcottage","Haunter")</f>
        <v>Haunter</v>
      </c>
      <c r="D179" s="5" t="s">
        <v>13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108</v>
      </c>
      <c r="C180" s="6" t="str">
        <f aca="false">HYPERLINK("https://partner.tcgplayer.com/c/6278691/1780961/21018?u=https%3A%2F%2Fwww.tcgplayer.com%2Fproduct%2F516663%3Futm_source%3Dimpact%26utm_medium%3Daffiliate%26utm_campaign%3Dpoke%2Bcottage","Gengar")</f>
        <v>Gengar</v>
      </c>
      <c r="D180" s="5" t="s">
        <v>29</v>
      </c>
      <c r="E180" s="5" t="s">
        <v>16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108</v>
      </c>
      <c r="C181" s="6" t="str">
        <f aca="false">HYPERLINK("https://partner.tcgplayer.com/c/6278691/1780961/21018?u=https%3A%2F%2Fwww.tcgplayer.com%2Fproduct%2F516663%3Futm_source%3Dimpact%26utm_medium%3Daffiliate%26utm_campaign%3Dpoke%2Bcottage","Gengar")</f>
        <v>Gengar</v>
      </c>
      <c r="D181" s="5" t="s">
        <v>29</v>
      </c>
      <c r="E181" s="5" t="s">
        <v>11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109</v>
      </c>
      <c r="C182" s="6" t="str">
        <f aca="false">HYPERLINK("https://partner.tcgplayer.com/c/6278691/1780961/21018?u=https%3A%2F%2Fwww.tcgplayer.com%2Fproduct%2F516664%3Futm_source%3Dimpact%26utm_medium%3Daffiliate%26utm_campaign%3Dpoke%2Bcottage","Onix")</f>
        <v>Onix</v>
      </c>
      <c r="D182" s="5" t="s">
        <v>13</v>
      </c>
      <c r="E182" s="5" t="s">
        <v>9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109</v>
      </c>
      <c r="C183" s="6" t="str">
        <f aca="false">HYPERLINK("https://partner.tcgplayer.com/c/6278691/1780961/21018?u=https%3A%2F%2Fwww.tcgplayer.com%2Fproduct%2F516664%3Futm_source%3Dimpact%26utm_medium%3Daffiliate%26utm_campaign%3Dpoke%2Bcottage","Onix")</f>
        <v>Onix</v>
      </c>
      <c r="D183" s="5" t="s">
        <v>13</v>
      </c>
      <c r="E183" s="5" t="s">
        <v>11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110</v>
      </c>
      <c r="C184" s="6" t="str">
        <f aca="false">HYPERLINK("https://partner.tcgplayer.com/c/6278691/1780961/21018?u=https%3A%2F%2Fwww.tcgplayer.com%2Fproduct%2F516665%3Futm_source%3Dimpact%26utm_medium%3Daffiliate%26utm_campaign%3Dpoke%2Bcottage","Drowzee")</f>
        <v>Drowzee</v>
      </c>
      <c r="D184" s="5" t="s">
        <v>8</v>
      </c>
      <c r="E184" s="5" t="s">
        <v>9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110</v>
      </c>
      <c r="C185" s="6" t="str">
        <f aca="false">HYPERLINK("https://partner.tcgplayer.com/c/6278691/1780961/21018?u=https%3A%2F%2Fwww.tcgplayer.com%2Fproduct%2F516665%3Futm_source%3Dimpact%26utm_medium%3Daffiliate%26utm_campaign%3Dpoke%2Bcottage","Drowzee")</f>
        <v>Drowzee</v>
      </c>
      <c r="D185" s="5" t="s">
        <v>8</v>
      </c>
      <c r="E185" s="5" t="s">
        <v>11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111</v>
      </c>
      <c r="C186" s="6" t="str">
        <f aca="false">HYPERLINK("https://partner.tcgplayer.com/c/6278691/1780961/21018?u=https%3A%2F%2Fwww.tcgplayer.com%2Fproduct%2F516666%3Futm_source%3Dimpact%26utm_medium%3Daffiliate%26utm_campaign%3Dpoke%2Bcottage","Hypno")</f>
        <v>Hypno</v>
      </c>
      <c r="D186" s="5" t="s">
        <v>13</v>
      </c>
      <c r="E186" s="5" t="s">
        <v>9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111</v>
      </c>
      <c r="C187" s="6" t="str">
        <f aca="false">HYPERLINK("https://partner.tcgplayer.com/c/6278691/1780961/21018?u=https%3A%2F%2Fwww.tcgplayer.com%2Fproduct%2F516666%3Futm_source%3Dimpact%26utm_medium%3Daffiliate%26utm_campaign%3Dpoke%2Bcottage","Hypno")</f>
        <v>Hypno</v>
      </c>
      <c r="D187" s="5" t="s">
        <v>13</v>
      </c>
      <c r="E187" s="5" t="s">
        <v>11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112</v>
      </c>
      <c r="C188" s="6" t="str">
        <f aca="false">HYPERLINK("https://partner.tcgplayer.com/c/6278691/1780961/21018?u=https%3A%2F%2Fwww.tcgplayer.com%2Fproduct%2F516667%3Futm_source%3Dimpact%26utm_medium%3Daffiliate%26utm_campaign%3Dpoke%2Bcottage","Krabby")</f>
        <v>Krabby</v>
      </c>
      <c r="D188" s="5" t="s">
        <v>8</v>
      </c>
      <c r="E188" s="5" t="s">
        <v>9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112</v>
      </c>
      <c r="C189" s="6" t="str">
        <f aca="false">HYPERLINK("https://partner.tcgplayer.com/c/6278691/1780961/21018?u=https%3A%2F%2Fwww.tcgplayer.com%2Fproduct%2F516667%3Futm_source%3Dimpact%26utm_medium%3Daffiliate%26utm_campaign%3Dpoke%2Bcottage","Krabby")</f>
        <v>Krabby</v>
      </c>
      <c r="D189" s="5" t="s">
        <v>8</v>
      </c>
      <c r="E189" s="5" t="s">
        <v>11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113</v>
      </c>
      <c r="C190" s="6" t="str">
        <f aca="false">HYPERLINK("https://partner.tcgplayer.com/c/6278691/1780961/21018?u=https%3A%2F%2Fwww.tcgplayer.com%2Fproduct%2F516668%3Futm_source%3Dimpact%26utm_medium%3Daffiliate%26utm_campaign%3Dpoke%2Bcottage","Kingler")</f>
        <v>Kingler</v>
      </c>
      <c r="D190" s="5" t="s">
        <v>13</v>
      </c>
      <c r="E190" s="5" t="s">
        <v>9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113</v>
      </c>
      <c r="C191" s="6" t="str">
        <f aca="false">HYPERLINK("https://partner.tcgplayer.com/c/6278691/1780961/21018?u=https%3A%2F%2Fwww.tcgplayer.com%2Fproduct%2F516668%3Futm_source%3Dimpact%26utm_medium%3Daffiliate%26utm_campaign%3Dpoke%2Bcottage","Kingler")</f>
        <v>Kingler</v>
      </c>
      <c r="D191" s="5" t="s">
        <v>13</v>
      </c>
      <c r="E191" s="5" t="s">
        <v>11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114</v>
      </c>
      <c r="C192" s="6" t="str">
        <f aca="false">HYPERLINK("https://partner.tcgplayer.com/c/6278691/1780961/21018?u=https%3A%2F%2Fwww.tcgplayer.com%2Fproduct%2F516669%3Futm_source%3Dimpact%26utm_medium%3Daffiliate%26utm_campaign%3Dpoke%2Bcottage","Voltorb")</f>
        <v>Voltorb</v>
      </c>
      <c r="D192" s="5" t="s">
        <v>8</v>
      </c>
      <c r="E192" s="5" t="s">
        <v>9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114</v>
      </c>
      <c r="C193" s="6" t="str">
        <f aca="false">HYPERLINK("https://partner.tcgplayer.com/c/6278691/1780961/21018?u=https%3A%2F%2Fwww.tcgplayer.com%2Fproduct%2F516669%3Futm_source%3Dimpact%26utm_medium%3Daffiliate%26utm_campaign%3Dpoke%2Bcottage","Voltorb")</f>
        <v>Voltorb</v>
      </c>
      <c r="D193" s="5" t="s">
        <v>8</v>
      </c>
      <c r="E193" s="5" t="s">
        <v>11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115</v>
      </c>
      <c r="C194" s="6" t="str">
        <f aca="false">HYPERLINK("https://partner.tcgplayer.com/c/6278691/1780961/21018?u=https%3A%2F%2Fwww.tcgplayer.com%2Fproduct%2F516670%3Futm_source%3Dimpact%26utm_medium%3Daffiliate%26utm_campaign%3Dpoke%2Bcottage","Electrode")</f>
        <v>Electrode</v>
      </c>
      <c r="D194" s="5" t="s">
        <v>29</v>
      </c>
      <c r="E194" s="5" t="s">
        <v>16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115</v>
      </c>
      <c r="C195" s="6" t="str">
        <f aca="false">HYPERLINK("https://partner.tcgplayer.com/c/6278691/1780961/21018?u=https%3A%2F%2Fwww.tcgplayer.com%2Fproduct%2F516670%3Futm_source%3Dimpact%26utm_medium%3Daffiliate%26utm_campaign%3Dpoke%2Bcottage","Electrode")</f>
        <v>Electrode</v>
      </c>
      <c r="D195" s="5" t="s">
        <v>29</v>
      </c>
      <c r="E195" s="5" t="s">
        <v>11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116</v>
      </c>
      <c r="C196" s="6" t="str">
        <f aca="false">HYPERLINK("https://partner.tcgplayer.com/c/6278691/1780961/21018?u=https%3A%2F%2Fwww.tcgplayer.com%2Fproduct%2F516671%3Futm_source%3Dimpact%26utm_medium%3Daffiliate%26utm_campaign%3Dpoke%2Bcottage","Exeggcute")</f>
        <v>Exeggcute</v>
      </c>
      <c r="D196" s="5" t="s">
        <v>8</v>
      </c>
      <c r="E196" s="5" t="s">
        <v>9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116</v>
      </c>
      <c r="C197" s="6" t="str">
        <f aca="false">HYPERLINK("https://partner.tcgplayer.com/c/6278691/1780961/21018?u=https%3A%2F%2Fwww.tcgplayer.com%2Fproduct%2F516671%3Futm_source%3Dimpact%26utm_medium%3Daffiliate%26utm_campaign%3Dpoke%2Bcottage","Exeggcute")</f>
        <v>Exeggcute</v>
      </c>
      <c r="D197" s="5" t="s">
        <v>8</v>
      </c>
      <c r="E197" s="5" t="s">
        <v>11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117</v>
      </c>
      <c r="C198" s="6" t="str">
        <f aca="false">HYPERLINK("https://partner.tcgplayer.com/c/6278691/1780961/21018?u=https%3A%2F%2Fwww.tcgplayer.com%2Fproduct%2F516672%3Futm_source%3Dimpact%26utm_medium%3Daffiliate%26utm_campaign%3Dpoke%2Bcottage","Exeggutor")</f>
        <v>Exeggutor</v>
      </c>
      <c r="D198" s="5" t="s">
        <v>13</v>
      </c>
      <c r="E198" s="5" t="s">
        <v>9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117</v>
      </c>
      <c r="C199" s="6" t="str">
        <f aca="false">HYPERLINK("https://partner.tcgplayer.com/c/6278691/1780961/21018?u=https%3A%2F%2Fwww.tcgplayer.com%2Fproduct%2F516672%3Futm_source%3Dimpact%26utm_medium%3Daffiliate%26utm_campaign%3Dpoke%2Bcottage","Exeggutor")</f>
        <v>Exeggutor</v>
      </c>
      <c r="D199" s="5" t="s">
        <v>13</v>
      </c>
      <c r="E199" s="5" t="s">
        <v>11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118</v>
      </c>
      <c r="C200" s="6" t="str">
        <f aca="false">HYPERLINK("https://partner.tcgplayer.com/c/6278691/1780961/21018?u=https%3A%2F%2Fwww.tcgplayer.com%2Fproduct%2F516673%3Futm_source%3Dimpact%26utm_medium%3Daffiliate%26utm_campaign%3Dpoke%2Bcottage","Cubone")</f>
        <v>Cubone</v>
      </c>
      <c r="D200" s="5" t="s">
        <v>8</v>
      </c>
      <c r="E200" s="5" t="s">
        <v>9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118</v>
      </c>
      <c r="C201" s="6" t="str">
        <f aca="false">HYPERLINK("https://partner.tcgplayer.com/c/6278691/1780961/21018?u=https%3A%2F%2Fwww.tcgplayer.com%2Fproduct%2F516673%3Futm_source%3Dimpact%26utm_medium%3Daffiliate%26utm_campaign%3Dpoke%2Bcottage","Cubone")</f>
        <v>Cubone</v>
      </c>
      <c r="D201" s="5" t="s">
        <v>8</v>
      </c>
      <c r="E201" s="5" t="s">
        <v>11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119</v>
      </c>
      <c r="C202" s="6" t="str">
        <f aca="false">HYPERLINK("https://partner.tcgplayer.com/c/6278691/1780961/21018?u=https%3A%2F%2Fwww.tcgplayer.com%2Fproduct%2F516674%3Futm_source%3Dimpact%26utm_medium%3Daffiliate%26utm_campaign%3Dpoke%2Bcottage","Marowak")</f>
        <v>Marowak</v>
      </c>
      <c r="D202" s="5" t="s">
        <v>29</v>
      </c>
      <c r="E202" s="5" t="s">
        <v>16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119</v>
      </c>
      <c r="C203" s="6" t="str">
        <f aca="false">HYPERLINK("https://partner.tcgplayer.com/c/6278691/1780961/21018?u=https%3A%2F%2Fwww.tcgplayer.com%2Fproduct%2F516674%3Futm_source%3Dimpact%26utm_medium%3Daffiliate%26utm_campaign%3Dpoke%2Bcottage","Marowak")</f>
        <v>Marowak</v>
      </c>
      <c r="D203" s="5" t="s">
        <v>29</v>
      </c>
      <c r="E203" s="5" t="s">
        <v>11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120</v>
      </c>
      <c r="C204" s="6" t="str">
        <f aca="false">HYPERLINK("https://partner.tcgplayer.com/c/6278691/1780961/21018?u=https%3A%2F%2Fwww.tcgplayer.com%2Fproduct%2F516675%3Futm_source%3Dimpact%26utm_medium%3Daffiliate%26utm_campaign%3Dpoke%2Bcottage","Hitmonlee")</f>
        <v>Hitmonlee</v>
      </c>
      <c r="D204" s="5" t="s">
        <v>13</v>
      </c>
      <c r="E204" s="5" t="s">
        <v>9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120</v>
      </c>
      <c r="C205" s="6" t="str">
        <f aca="false">HYPERLINK("https://partner.tcgplayer.com/c/6278691/1780961/21018?u=https%3A%2F%2Fwww.tcgplayer.com%2Fproduct%2F516675%3Futm_source%3Dimpact%26utm_medium%3Daffiliate%26utm_campaign%3Dpoke%2Bcottage","Hitmonlee")</f>
        <v>Hitmonlee</v>
      </c>
      <c r="D205" s="5" t="s">
        <v>13</v>
      </c>
      <c r="E205" s="5" t="s">
        <v>11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121</v>
      </c>
      <c r="C206" s="6" t="str">
        <f aca="false">HYPERLINK("https://partner.tcgplayer.com/c/6278691/1780961/21018?u=https%3A%2F%2Fwww.tcgplayer.com%2Fproduct%2F516676%3Futm_source%3Dimpact%26utm_medium%3Daffiliate%26utm_campaign%3Dpoke%2Bcottage","Hitmonchan")</f>
        <v>Hitmonchan</v>
      </c>
      <c r="D206" s="5" t="s">
        <v>13</v>
      </c>
      <c r="E206" s="5" t="s">
        <v>9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121</v>
      </c>
      <c r="C207" s="6" t="str">
        <f aca="false">HYPERLINK("https://partner.tcgplayer.com/c/6278691/1780961/21018?u=https%3A%2F%2Fwww.tcgplayer.com%2Fproduct%2F516676%3Futm_source%3Dimpact%26utm_medium%3Daffiliate%26utm_campaign%3Dpoke%2Bcottage","Hitmonchan")</f>
        <v>Hitmonchan</v>
      </c>
      <c r="D207" s="5" t="s">
        <v>13</v>
      </c>
      <c r="E207" s="5" t="s">
        <v>11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122</v>
      </c>
      <c r="C208" s="6" t="str">
        <f aca="false">HYPERLINK("https://partner.tcgplayer.com/c/6278691/1780961/21018?u=https%3A%2F%2Fwww.tcgplayer.com%2Fproduct%2F516677%3Futm_source%3Dimpact%26utm_medium%3Daffiliate%26utm_campaign%3Dpoke%2Bcottage","Lickitung")</f>
        <v>Lickitung</v>
      </c>
      <c r="D208" s="5" t="s">
        <v>8</v>
      </c>
      <c r="E208" s="5" t="s">
        <v>9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122</v>
      </c>
      <c r="C209" s="6" t="str">
        <f aca="false">HYPERLINK("https://partner.tcgplayer.com/c/6278691/1780961/21018?u=https%3A%2F%2Fwww.tcgplayer.com%2Fproduct%2F516677%3Futm_source%3Dimpact%26utm_medium%3Daffiliate%26utm_campaign%3Dpoke%2Bcottage","Lickitung")</f>
        <v>Lickitung</v>
      </c>
      <c r="D209" s="5" t="s">
        <v>8</v>
      </c>
      <c r="E209" s="5" t="s">
        <v>11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123</v>
      </c>
      <c r="C210" s="6" t="str">
        <f aca="false">HYPERLINK("https://partner.tcgplayer.com/c/6278691/1780961/21018?u=https%3A%2F%2Fwww.tcgplayer.com%2Fproduct%2F516679%3Futm_source%3Dimpact%26utm_medium%3Daffiliate%26utm_campaign%3Dpoke%2Bcottage","Koffing")</f>
        <v>Koffing</v>
      </c>
      <c r="D210" s="5" t="s">
        <v>8</v>
      </c>
      <c r="E210" s="5" t="s">
        <v>9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123</v>
      </c>
      <c r="C211" s="6" t="str">
        <f aca="false">HYPERLINK("https://partner.tcgplayer.com/c/6278691/1780961/21018?u=https%3A%2F%2Fwww.tcgplayer.com%2Fproduct%2F516679%3Futm_source%3Dimpact%26utm_medium%3Daffiliate%26utm_campaign%3Dpoke%2Bcottage","Koffing")</f>
        <v>Koffing</v>
      </c>
      <c r="D211" s="5" t="s">
        <v>8</v>
      </c>
      <c r="E211" s="5" t="s">
        <v>11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124</v>
      </c>
      <c r="C212" s="6" t="str">
        <f aca="false">HYPERLINK("https://partner.tcgplayer.com/c/6278691/1780961/21018?u=https%3A%2F%2Fwww.tcgplayer.com%2Fproduct%2F516680%3Futm_source%3Dimpact%26utm_medium%3Daffiliate%26utm_campaign%3Dpoke%2Bcottage","Weezing")</f>
        <v>Weezing</v>
      </c>
      <c r="D212" s="5" t="s">
        <v>29</v>
      </c>
      <c r="E212" s="5" t="s">
        <v>16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124</v>
      </c>
      <c r="C213" s="6" t="str">
        <f aca="false">HYPERLINK("https://partner.tcgplayer.com/c/6278691/1780961/21018?u=https%3A%2F%2Fwww.tcgplayer.com%2Fproduct%2F516680%3Futm_source%3Dimpact%26utm_medium%3Daffiliate%26utm_campaign%3Dpoke%2Bcottage","Weezing")</f>
        <v>Weezing</v>
      </c>
      <c r="D213" s="5" t="s">
        <v>29</v>
      </c>
      <c r="E213" s="5" t="s">
        <v>11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125</v>
      </c>
      <c r="C214" s="6" t="str">
        <f aca="false">HYPERLINK("https://partner.tcgplayer.com/c/6278691/1780961/21018?u=https%3A%2F%2Fwww.tcgplayer.com%2Fproduct%2F516570%3Futm_source%3Dimpact%26utm_medium%3Daffiliate%26utm_campaign%3Dpoke%2Bcottage","Rhyhorn")</f>
        <v>Rhyhorn</v>
      </c>
      <c r="D214" s="5" t="s">
        <v>8</v>
      </c>
      <c r="E214" s="5" t="s">
        <v>9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125</v>
      </c>
      <c r="C215" s="6" t="str">
        <f aca="false">HYPERLINK("https://partner.tcgplayer.com/c/6278691/1780961/21018?u=https%3A%2F%2Fwww.tcgplayer.com%2Fproduct%2F516570%3Futm_source%3Dimpact%26utm_medium%3Daffiliate%26utm_campaign%3Dpoke%2Bcottage","Rhyhorn")</f>
        <v>Rhyhorn</v>
      </c>
      <c r="D215" s="5" t="s">
        <v>8</v>
      </c>
      <c r="E215" s="5" t="s">
        <v>11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126</v>
      </c>
      <c r="C216" s="6" t="str">
        <f aca="false">HYPERLINK("https://partner.tcgplayer.com/c/6278691/1780961/21018?u=https%3A%2F%2Fwww.tcgplayer.com%2Fproduct%2F516573%3Futm_source%3Dimpact%26utm_medium%3Daffiliate%26utm_campaign%3Dpoke%2Bcottage","Rhydon")</f>
        <v>Rhydon</v>
      </c>
      <c r="D216" s="5" t="s">
        <v>13</v>
      </c>
      <c r="E216" s="5" t="s">
        <v>9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126</v>
      </c>
      <c r="C217" s="6" t="str">
        <f aca="false">HYPERLINK("https://partner.tcgplayer.com/c/6278691/1780961/21018?u=https%3A%2F%2Fwww.tcgplayer.com%2Fproduct%2F516573%3Futm_source%3Dimpact%26utm_medium%3Daffiliate%26utm_campaign%3Dpoke%2Bcottage","Rhydon")</f>
        <v>Rhydon</v>
      </c>
      <c r="D217" s="5" t="s">
        <v>13</v>
      </c>
      <c r="E217" s="5" t="s">
        <v>11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127</v>
      </c>
      <c r="C218" s="6" t="str">
        <f aca="false">HYPERLINK("https://partner.tcgplayer.com/c/6278691/1780961/21018?u=https%3A%2F%2Fwww.tcgplayer.com%2Fproduct%2F516575%3Futm_source%3Dimpact%26utm_medium%3Daffiliate%26utm_campaign%3Dpoke%2Bcottage","Chansey")</f>
        <v>Chansey</v>
      </c>
      <c r="D218" s="5" t="s">
        <v>29</v>
      </c>
      <c r="E218" s="5" t="s">
        <v>16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127</v>
      </c>
      <c r="C219" s="6" t="str">
        <f aca="false">HYPERLINK("https://partner.tcgplayer.com/c/6278691/1780961/21018?u=https%3A%2F%2Fwww.tcgplayer.com%2Fproduct%2F516575%3Futm_source%3Dimpact%26utm_medium%3Daffiliate%26utm_campaign%3Dpoke%2Bcottage","Chansey")</f>
        <v>Chansey</v>
      </c>
      <c r="D219" s="5" t="s">
        <v>29</v>
      </c>
      <c r="E219" s="5" t="s">
        <v>11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128</v>
      </c>
      <c r="C220" s="6" t="str">
        <f aca="false">HYPERLINK("https://partner.tcgplayer.com/c/6278691/1780961/21018?u=https%3A%2F%2Fwww.tcgplayer.com%2Fproduct%2F516579%3Futm_source%3Dimpact%26utm_medium%3Daffiliate%26utm_campaign%3Dpoke%2Bcottage","Tangela")</f>
        <v>Tangela</v>
      </c>
      <c r="D220" s="5" t="s">
        <v>8</v>
      </c>
      <c r="E220" s="5" t="s">
        <v>9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128</v>
      </c>
      <c r="C221" s="6" t="str">
        <f aca="false">HYPERLINK("https://partner.tcgplayer.com/c/6278691/1780961/21018?u=https%3A%2F%2Fwww.tcgplayer.com%2Fproduct%2F516579%3Futm_source%3Dimpact%26utm_medium%3Daffiliate%26utm_campaign%3Dpoke%2Bcottage","Tangela")</f>
        <v>Tangela</v>
      </c>
      <c r="D221" s="5" t="s">
        <v>8</v>
      </c>
      <c r="E221" s="5" t="s">
        <v>11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129</v>
      </c>
      <c r="C222" s="6" t="str">
        <f aca="false">HYPERLINK("https://partner.tcgplayer.com/c/6278691/1780961/21018?u=https%3A%2F%2Fwww.tcgplayer.com%2Fproduct%2F516581%3Futm_source%3Dimpact%26utm_medium%3Daffiliate%26utm_campaign%3Dpoke%2Bcottage","Kangaskhan ex")</f>
        <v>Kangaskhan ex</v>
      </c>
      <c r="D222" s="5" t="s">
        <v>15</v>
      </c>
      <c r="E222" s="5" t="s">
        <v>16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130</v>
      </c>
      <c r="C223" s="6" t="str">
        <f aca="false">HYPERLINK("https://partner.tcgplayer.com/c/6278691/1780961/21018?u=https%3A%2F%2Fwww.tcgplayer.com%2Fproduct%2F516583%3Futm_source%3Dimpact%26utm_medium%3Daffiliate%26utm_campaign%3Dpoke%2Bcottage","Horsea")</f>
        <v>Horsea</v>
      </c>
      <c r="D223" s="5" t="s">
        <v>8</v>
      </c>
      <c r="E223" s="5" t="s">
        <v>9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130</v>
      </c>
      <c r="C224" s="6" t="str">
        <f aca="false">HYPERLINK("https://partner.tcgplayer.com/c/6278691/1780961/21018?u=https%3A%2F%2Fwww.tcgplayer.com%2Fproduct%2F516583%3Futm_source%3Dimpact%26utm_medium%3Daffiliate%26utm_campaign%3Dpoke%2Bcottage","Horsea")</f>
        <v>Horsea</v>
      </c>
      <c r="D224" s="5" t="s">
        <v>8</v>
      </c>
      <c r="E224" s="5" t="s">
        <v>11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131</v>
      </c>
      <c r="C225" s="6" t="str">
        <f aca="false">HYPERLINK("https://partner.tcgplayer.com/c/6278691/1780961/21018?u=https%3A%2F%2Fwww.tcgplayer.com%2Fproduct%2F516584%3Futm_source%3Dimpact%26utm_medium%3Daffiliate%26utm_campaign%3Dpoke%2Bcottage","Seadra")</f>
        <v>Seadra</v>
      </c>
      <c r="D225" s="5" t="s">
        <v>13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131</v>
      </c>
      <c r="C226" s="6" t="str">
        <f aca="false">HYPERLINK("https://partner.tcgplayer.com/c/6278691/1780961/21018?u=https%3A%2F%2Fwww.tcgplayer.com%2Fproduct%2F516584%3Futm_source%3Dimpact%26utm_medium%3Daffiliate%26utm_campaign%3Dpoke%2Bcottage","Seadra")</f>
        <v>Seadra</v>
      </c>
      <c r="D226" s="5" t="s">
        <v>13</v>
      </c>
      <c r="E226" s="5" t="s">
        <v>11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132</v>
      </c>
      <c r="C227" s="6" t="str">
        <f aca="false">HYPERLINK("https://partner.tcgplayer.com/c/6278691/1780961/21018?u=https%3A%2F%2Fwww.tcgplayer.com%2Fproduct%2F516681%3Futm_source%3Dimpact%26utm_medium%3Daffiliate%26utm_campaign%3Dpoke%2Bcottage","Goldeen")</f>
        <v>Goldeen</v>
      </c>
      <c r="D227" s="5" t="s">
        <v>8</v>
      </c>
      <c r="E227" s="5" t="s">
        <v>9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132</v>
      </c>
      <c r="C228" s="6" t="str">
        <f aca="false">HYPERLINK("https://partner.tcgplayer.com/c/6278691/1780961/21018?u=https%3A%2F%2Fwww.tcgplayer.com%2Fproduct%2F516681%3Futm_source%3Dimpact%26utm_medium%3Daffiliate%26utm_campaign%3Dpoke%2Bcottage","Goldeen")</f>
        <v>Goldeen</v>
      </c>
      <c r="D228" s="5" t="s">
        <v>8</v>
      </c>
      <c r="E228" s="5" t="s">
        <v>11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133</v>
      </c>
      <c r="C229" s="6" t="str">
        <f aca="false">HYPERLINK("https://partner.tcgplayer.com/c/6278691/1780961/21018?u=https%3A%2F%2Fwww.tcgplayer.com%2Fproduct%2F516682%3Futm_source%3Dimpact%26utm_medium%3Daffiliate%26utm_campaign%3Dpoke%2Bcottage","Seaking")</f>
        <v>Seaking</v>
      </c>
      <c r="D229" s="5" t="s">
        <v>13</v>
      </c>
      <c r="E229" s="5" t="s">
        <v>9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133</v>
      </c>
      <c r="C230" s="6" t="str">
        <f aca="false">HYPERLINK("https://partner.tcgplayer.com/c/6278691/1780961/21018?u=https%3A%2F%2Fwww.tcgplayer.com%2Fproduct%2F516682%3Futm_source%3Dimpact%26utm_medium%3Daffiliate%26utm_campaign%3Dpoke%2Bcottage","Seaking")</f>
        <v>Seaking</v>
      </c>
      <c r="D230" s="5" t="s">
        <v>13</v>
      </c>
      <c r="E230" s="5" t="s">
        <v>11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134</v>
      </c>
      <c r="C231" s="6" t="str">
        <f aca="false">HYPERLINK("https://partner.tcgplayer.com/c/6278691/1780961/21018?u=https%3A%2F%2Fwww.tcgplayer.com%2Fproduct%2F516683%3Futm_source%3Dimpact%26utm_medium%3Daffiliate%26utm_campaign%3Dpoke%2Bcottage","Staryu")</f>
        <v>Staryu</v>
      </c>
      <c r="D231" s="5" t="s">
        <v>8</v>
      </c>
      <c r="E231" s="5" t="s">
        <v>9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134</v>
      </c>
      <c r="C232" s="6" t="str">
        <f aca="false">HYPERLINK("https://partner.tcgplayer.com/c/6278691/1780961/21018?u=https%3A%2F%2Fwww.tcgplayer.com%2Fproduct%2F516683%3Futm_source%3Dimpact%26utm_medium%3Daffiliate%26utm_campaign%3Dpoke%2Bcottage","Staryu")</f>
        <v>Staryu</v>
      </c>
      <c r="D232" s="5" t="s">
        <v>8</v>
      </c>
      <c r="E232" s="5" t="s">
        <v>11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135</v>
      </c>
      <c r="C233" s="6" t="str">
        <f aca="false">HYPERLINK("https://partner.tcgplayer.com/c/6278691/1780961/21018?u=https%3A%2F%2Fwww.tcgplayer.com%2Fproduct%2F516684%3Futm_source%3Dimpact%26utm_medium%3Daffiliate%26utm_campaign%3Dpoke%2Bcottage","Starmie")</f>
        <v>Starmie</v>
      </c>
      <c r="D233" s="5" t="s">
        <v>29</v>
      </c>
      <c r="E233" s="5" t="s">
        <v>16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135</v>
      </c>
      <c r="C234" s="6" t="str">
        <f aca="false">HYPERLINK("https://partner.tcgplayer.com/c/6278691/1780961/21018?u=https%3A%2F%2Fwww.tcgplayer.com%2Fproduct%2F516684%3Futm_source%3Dimpact%26utm_medium%3Daffiliate%26utm_campaign%3Dpoke%2Bcottage","Starmie")</f>
        <v>Starmie</v>
      </c>
      <c r="D234" s="5" t="s">
        <v>29</v>
      </c>
      <c r="E234" s="5" t="s">
        <v>11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136</v>
      </c>
      <c r="C235" s="6" t="str">
        <f aca="false">HYPERLINK("https://partner.tcgplayer.com/c/6278691/1780961/21018?u=https%3A%2F%2Fwww.tcgplayer.com%2Fproduct%2F516685%3Futm_source%3Dimpact%26utm_medium%3Daffiliate%26utm_campaign%3Dpoke%2Bcottage","Mr. Mime")</f>
        <v>Mr. Mime</v>
      </c>
      <c r="D235" s="5" t="s">
        <v>29</v>
      </c>
      <c r="E235" s="5" t="s">
        <v>16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136</v>
      </c>
      <c r="C236" s="6" t="str">
        <f aca="false">HYPERLINK("https://partner.tcgplayer.com/c/6278691/1780961/21018?u=https%3A%2F%2Fwww.tcgplayer.com%2Fproduct%2F516685%3Futm_source%3Dimpact%26utm_medium%3Daffiliate%26utm_campaign%3Dpoke%2Bcottage","Mr. Mime")</f>
        <v>Mr. Mime</v>
      </c>
      <c r="D236" s="5" t="s">
        <v>29</v>
      </c>
      <c r="E236" s="5" t="s">
        <v>11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137</v>
      </c>
      <c r="C237" s="6" t="str">
        <f aca="false">HYPERLINK("https://partner.tcgplayer.com/c/6278691/1780961/21018?u=https%3A%2F%2Fwww.tcgplayer.com%2Fproduct%2F516686%3Futm_source%3Dimpact%26utm_medium%3Daffiliate%26utm_campaign%3Dpoke%2Bcottage","Scyther")</f>
        <v>Scyther</v>
      </c>
      <c r="D237" s="5" t="s">
        <v>13</v>
      </c>
      <c r="E237" s="5" t="s">
        <v>9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137</v>
      </c>
      <c r="C238" s="6" t="str">
        <f aca="false">HYPERLINK("https://partner.tcgplayer.com/c/6278691/1780961/21018?u=https%3A%2F%2Fwww.tcgplayer.com%2Fproduct%2F516686%3Futm_source%3Dimpact%26utm_medium%3Daffiliate%26utm_campaign%3Dpoke%2Bcottage","Scyther")</f>
        <v>Scyther</v>
      </c>
      <c r="D238" s="5" t="s">
        <v>13</v>
      </c>
      <c r="E238" s="5" t="s">
        <v>11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138</v>
      </c>
      <c r="C239" s="6" t="str">
        <f aca="false">HYPERLINK("https://partner.tcgplayer.com/c/6278691/1780961/21018?u=https%3A%2F%2Fwww.tcgplayer.com%2Fproduct%2F516687%3Futm_source%3Dimpact%26utm_medium%3Daffiliate%26utm_campaign%3Dpoke%2Bcottage","Jynx ex")</f>
        <v>Jynx ex</v>
      </c>
      <c r="D239" s="5" t="s">
        <v>15</v>
      </c>
      <c r="E239" s="5" t="s">
        <v>16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139</v>
      </c>
      <c r="C240" s="6" t="str">
        <f aca="false">HYPERLINK("https://partner.tcgplayer.com/c/6278691/1780961/21018?u=https%3A%2F%2Fwww.tcgplayer.com%2Fproduct%2F516688%3Futm_source%3Dimpact%26utm_medium%3Daffiliate%26utm_campaign%3Dpoke%2Bcottage","Electabuzz")</f>
        <v>Electabuzz</v>
      </c>
      <c r="D240" s="5" t="s">
        <v>8</v>
      </c>
      <c r="E240" s="5" t="s">
        <v>9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139</v>
      </c>
      <c r="C241" s="6" t="str">
        <f aca="false">HYPERLINK("https://partner.tcgplayer.com/c/6278691/1780961/21018?u=https%3A%2F%2Fwww.tcgplayer.com%2Fproduct%2F516688%3Futm_source%3Dimpact%26utm_medium%3Daffiliate%26utm_campaign%3Dpoke%2Bcottage","Electabuzz")</f>
        <v>Electabuzz</v>
      </c>
      <c r="D241" s="5" t="s">
        <v>8</v>
      </c>
      <c r="E241" s="5" t="s">
        <v>11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140</v>
      </c>
      <c r="C242" s="6" t="str">
        <f aca="false">HYPERLINK("https://partner.tcgplayer.com/c/6278691/1780961/21018?u=https%3A%2F%2Fwww.tcgplayer.com%2Fproduct%2F516689%3Futm_source%3Dimpact%26utm_medium%3Daffiliate%26utm_campaign%3Dpoke%2Bcottage","Magmar")</f>
        <v>Magmar</v>
      </c>
      <c r="D242" s="5" t="s">
        <v>8</v>
      </c>
      <c r="E242" s="5" t="s">
        <v>9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140</v>
      </c>
      <c r="C243" s="6" t="str">
        <f aca="false">HYPERLINK("https://partner.tcgplayer.com/c/6278691/1780961/21018?u=https%3A%2F%2Fwww.tcgplayer.com%2Fproduct%2F516689%3Futm_source%3Dimpact%26utm_medium%3Daffiliate%26utm_campaign%3Dpoke%2Bcottage","Magmar")</f>
        <v>Magmar</v>
      </c>
      <c r="D243" s="5" t="s">
        <v>8</v>
      </c>
      <c r="E243" s="5" t="s">
        <v>11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141</v>
      </c>
      <c r="C244" s="6" t="str">
        <f aca="false">HYPERLINK("https://partner.tcgplayer.com/c/6278691/1780961/21018?u=https%3A%2F%2Fwww.tcgplayer.com%2Fproduct%2F516690%3Futm_source%3Dimpact%26utm_medium%3Daffiliate%26utm_campaign%3Dpoke%2Bcottage","Pinsir")</f>
        <v>Pinsir</v>
      </c>
      <c r="D244" s="5" t="s">
        <v>13</v>
      </c>
      <c r="E244" s="5" t="s">
        <v>9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141</v>
      </c>
      <c r="C245" s="6" t="str">
        <f aca="false">HYPERLINK("https://partner.tcgplayer.com/c/6278691/1780961/21018?u=https%3A%2F%2Fwww.tcgplayer.com%2Fproduct%2F516690%3Futm_source%3Dimpact%26utm_medium%3Daffiliate%26utm_campaign%3Dpoke%2Bcottage","Pinsir")</f>
        <v>Pinsir</v>
      </c>
      <c r="D245" s="5" t="s">
        <v>13</v>
      </c>
      <c r="E245" s="5" t="s">
        <v>11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142</v>
      </c>
      <c r="C246" s="6" t="str">
        <f aca="false">HYPERLINK("https://partner.tcgplayer.com/c/6278691/1780961/21018?u=https%3A%2F%2Fwww.tcgplayer.com%2Fproduct%2F516691%3Futm_source%3Dimpact%26utm_medium%3Daffiliate%26utm_campaign%3Dpoke%2Bcottage","Tauros")</f>
        <v>Tauros</v>
      </c>
      <c r="D246" s="5" t="s">
        <v>13</v>
      </c>
      <c r="E246" s="5" t="s">
        <v>9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142</v>
      </c>
      <c r="C247" s="6" t="str">
        <f aca="false">HYPERLINK("https://partner.tcgplayer.com/c/6278691/1780961/21018?u=https%3A%2F%2Fwww.tcgplayer.com%2Fproduct%2F516691%3Futm_source%3Dimpact%26utm_medium%3Daffiliate%26utm_campaign%3Dpoke%2Bcottage","Tauros")</f>
        <v>Tauros</v>
      </c>
      <c r="D247" s="5" t="s">
        <v>13</v>
      </c>
      <c r="E247" s="5" t="s">
        <v>11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143</v>
      </c>
      <c r="C248" s="6" t="str">
        <f aca="false">HYPERLINK("https://partner.tcgplayer.com/c/6278691/1780961/21018?u=https%3A%2F%2Fwww.tcgplayer.com%2Fproduct%2F516692%3Futm_source%3Dimpact%26utm_medium%3Daffiliate%26utm_campaign%3Dpoke%2Bcottage","Magikarp")</f>
        <v>Magikarp</v>
      </c>
      <c r="D248" s="5" t="s">
        <v>8</v>
      </c>
      <c r="E248" s="5" t="s">
        <v>9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143</v>
      </c>
      <c r="C249" s="6" t="str">
        <f aca="false">HYPERLINK("https://partner.tcgplayer.com/c/6278691/1780961/21018?u=https%3A%2F%2Fwww.tcgplayer.com%2Fproduct%2F516692%3Futm_source%3Dimpact%26utm_medium%3Daffiliate%26utm_campaign%3Dpoke%2Bcottage","Magikarp")</f>
        <v>Magikarp</v>
      </c>
      <c r="D249" s="5" t="s">
        <v>8</v>
      </c>
      <c r="E249" s="5" t="s">
        <v>11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144</v>
      </c>
      <c r="C250" s="6" t="str">
        <f aca="false">HYPERLINK("https://partner.tcgplayer.com/c/6278691/1780961/21018?u=https%3A%2F%2Fwww.tcgplayer.com%2Fproduct%2F516693%3Futm_source%3Dimpact%26utm_medium%3Daffiliate%26utm_campaign%3Dpoke%2Bcottage","Gyarados")</f>
        <v>Gyarados</v>
      </c>
      <c r="D250" s="5" t="s">
        <v>29</v>
      </c>
      <c r="E250" s="5" t="s">
        <v>16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144</v>
      </c>
      <c r="C251" s="6" t="str">
        <f aca="false">HYPERLINK("https://partner.tcgplayer.com/c/6278691/1780961/21018?u=https%3A%2F%2Fwww.tcgplayer.com%2Fproduct%2F516693%3Futm_source%3Dimpact%26utm_medium%3Daffiliate%26utm_campaign%3Dpoke%2Bcottage","Gyarados")</f>
        <v>Gyarados</v>
      </c>
      <c r="D251" s="5" t="s">
        <v>29</v>
      </c>
      <c r="E251" s="5" t="s">
        <v>11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145</v>
      </c>
      <c r="C252" s="6" t="str">
        <f aca="false">HYPERLINK("https://partner.tcgplayer.com/c/6278691/1780961/21018?u=https%3A%2F%2Fwww.tcgplayer.com%2Fproduct%2F516694%3Futm_source%3Dimpact%26utm_medium%3Daffiliate%26utm_campaign%3Dpoke%2Bcottage","Lapras")</f>
        <v>Lapras</v>
      </c>
      <c r="D252" s="5" t="s">
        <v>13</v>
      </c>
      <c r="E252" s="5" t="s">
        <v>9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145</v>
      </c>
      <c r="C253" s="6" t="str">
        <f aca="false">HYPERLINK("https://partner.tcgplayer.com/c/6278691/1780961/21018?u=https%3A%2F%2Fwww.tcgplayer.com%2Fproduct%2F516694%3Futm_source%3Dimpact%26utm_medium%3Daffiliate%26utm_campaign%3Dpoke%2Bcottage","Lapras")</f>
        <v>Lapras</v>
      </c>
      <c r="D253" s="5" t="s">
        <v>13</v>
      </c>
      <c r="E253" s="5" t="s">
        <v>11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146</v>
      </c>
      <c r="C254" s="6" t="str">
        <f aca="false">HYPERLINK("https://partner.tcgplayer.com/c/6278691/1780961/21018?u=https%3A%2F%2Fwww.tcgplayer.com%2Fproduct%2F516695%3Futm_source%3Dimpact%26utm_medium%3Daffiliate%26utm_campaign%3Dpoke%2Bcottage","Ditto")</f>
        <v>Ditto</v>
      </c>
      <c r="D254" s="5" t="s">
        <v>29</v>
      </c>
      <c r="E254" s="5" t="s">
        <v>16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146</v>
      </c>
      <c r="C255" s="6" t="str">
        <f aca="false">HYPERLINK("https://partner.tcgplayer.com/c/6278691/1780961/21018?u=https%3A%2F%2Fwww.tcgplayer.com%2Fproduct%2F516695%3Futm_source%3Dimpact%26utm_medium%3Daffiliate%26utm_campaign%3Dpoke%2Bcottage","Ditto")</f>
        <v>Ditto</v>
      </c>
      <c r="D255" s="5" t="s">
        <v>29</v>
      </c>
      <c r="E255" s="5" t="s">
        <v>11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147</v>
      </c>
      <c r="C256" s="6" t="str">
        <f aca="false">HYPERLINK("https://partner.tcgplayer.com/c/6278691/1780961/21018?u=https%3A%2F%2Fwww.tcgplayer.com%2Fproduct%2F516696%3Futm_source%3Dimpact%26utm_medium%3Daffiliate%26utm_campaign%3Dpoke%2Bcottage","Eevee")</f>
        <v>Eevee</v>
      </c>
      <c r="D256" s="5" t="s">
        <v>8</v>
      </c>
      <c r="E256" s="5" t="s">
        <v>9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147</v>
      </c>
      <c r="C257" s="6" t="str">
        <f aca="false">HYPERLINK("https://partner.tcgplayer.com/c/6278691/1780961/21018?u=https%3A%2F%2Fwww.tcgplayer.com%2Fproduct%2F516696%3Futm_source%3Dimpact%26utm_medium%3Daffiliate%26utm_campaign%3Dpoke%2Bcottage","Eevee")</f>
        <v>Eevee</v>
      </c>
      <c r="D257" s="5" t="s">
        <v>8</v>
      </c>
      <c r="E257" s="5" t="s">
        <v>11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148</v>
      </c>
      <c r="C258" s="6" t="str">
        <f aca="false">HYPERLINK("https://partner.tcgplayer.com/c/6278691/1780961/21018?u=https%3A%2F%2Fwww.tcgplayer.com%2Fproduct%2F516697%3Futm_source%3Dimpact%26utm_medium%3Daffiliate%26utm_campaign%3Dpoke%2Bcottage","Vaporeon")</f>
        <v>Vaporeon</v>
      </c>
      <c r="D258" s="5" t="s">
        <v>29</v>
      </c>
      <c r="E258" s="5" t="s">
        <v>16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148</v>
      </c>
      <c r="C259" s="6" t="str">
        <f aca="false">HYPERLINK("https://partner.tcgplayer.com/c/6278691/1780961/21018?u=https%3A%2F%2Fwww.tcgplayer.com%2Fproduct%2F516697%3Futm_source%3Dimpact%26utm_medium%3Daffiliate%26utm_campaign%3Dpoke%2Bcottage","Vaporeon")</f>
        <v>Vaporeon</v>
      </c>
      <c r="D259" s="5" t="s">
        <v>29</v>
      </c>
      <c r="E259" s="5" t="s">
        <v>11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149</v>
      </c>
      <c r="C260" s="6" t="str">
        <f aca="false">HYPERLINK("https://partner.tcgplayer.com/c/6278691/1780961/21018?u=https%3A%2F%2Fwww.tcgplayer.com%2Fproduct%2F516698%3Futm_source%3Dimpact%26utm_medium%3Daffiliate%26utm_campaign%3Dpoke%2Bcottage","Jolteon")</f>
        <v>Jolteon</v>
      </c>
      <c r="D260" s="5" t="s">
        <v>29</v>
      </c>
      <c r="E260" s="5" t="s">
        <v>16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149</v>
      </c>
      <c r="C261" s="6" t="str">
        <f aca="false">HYPERLINK("https://partner.tcgplayer.com/c/6278691/1780961/21018?u=https%3A%2F%2Fwww.tcgplayer.com%2Fproduct%2F516698%3Futm_source%3Dimpact%26utm_medium%3Daffiliate%26utm_campaign%3Dpoke%2Bcottage","Jolteon")</f>
        <v>Jolteon</v>
      </c>
      <c r="D261" s="5" t="s">
        <v>29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150</v>
      </c>
      <c r="C262" s="6" t="str">
        <f aca="false">HYPERLINK("https://partner.tcgplayer.com/c/6278691/1780961/21018?u=https%3A%2F%2Fwww.tcgplayer.com%2Fproduct%2F516699%3Futm_source%3Dimpact%26utm_medium%3Daffiliate%26utm_campaign%3Dpoke%2Bcottage","Flareon")</f>
        <v>Flareon</v>
      </c>
      <c r="D262" s="5" t="s">
        <v>29</v>
      </c>
      <c r="E262" s="5" t="s">
        <v>16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150</v>
      </c>
      <c r="C263" s="6" t="str">
        <f aca="false">HYPERLINK("https://partner.tcgplayer.com/c/6278691/1780961/21018?u=https%3A%2F%2Fwww.tcgplayer.com%2Fproduct%2F516699%3Futm_source%3Dimpact%26utm_medium%3Daffiliate%26utm_campaign%3Dpoke%2Bcottage","Flareon")</f>
        <v>Flareon</v>
      </c>
      <c r="D263" s="5" t="s">
        <v>29</v>
      </c>
      <c r="E263" s="5" t="s">
        <v>11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151</v>
      </c>
      <c r="C264" s="6" t="str">
        <f aca="false">HYPERLINK("https://partner.tcgplayer.com/c/6278691/1780961/21018?u=https%3A%2F%2Fwww.tcgplayer.com%2Fproduct%2F516700%3Futm_source%3Dimpact%26utm_medium%3Daffiliate%26utm_campaign%3Dpoke%2Bcottage","Porygon")</f>
        <v>Porygon</v>
      </c>
      <c r="D264" s="5" t="s">
        <v>8</v>
      </c>
      <c r="E264" s="5" t="s">
        <v>9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151</v>
      </c>
      <c r="C265" s="6" t="str">
        <f aca="false">HYPERLINK("https://partner.tcgplayer.com/c/6278691/1780961/21018?u=https%3A%2F%2Fwww.tcgplayer.com%2Fproduct%2F516700%3Futm_source%3Dimpact%26utm_medium%3Daffiliate%26utm_campaign%3Dpoke%2Bcottage","Porygon")</f>
        <v>Porygon</v>
      </c>
      <c r="D265" s="5" t="s">
        <v>8</v>
      </c>
      <c r="E265" s="5" t="s">
        <v>11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152</v>
      </c>
      <c r="C266" s="6" t="str">
        <f aca="false">HYPERLINK("https://partner.tcgplayer.com/c/6278691/1780961/21018?u=https%3A%2F%2Fwww.tcgplayer.com%2Fproduct%2F516701%3Futm_source%3Dimpact%26utm_medium%3Daffiliate%26utm_campaign%3Dpoke%2Bcottage","Omanyte")</f>
        <v>Omanyte</v>
      </c>
      <c r="D266" s="5" t="s">
        <v>13</v>
      </c>
      <c r="E266" s="5" t="s">
        <v>9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152</v>
      </c>
      <c r="C267" s="6" t="str">
        <f aca="false">HYPERLINK("https://partner.tcgplayer.com/c/6278691/1780961/21018?u=https%3A%2F%2Fwww.tcgplayer.com%2Fproduct%2F516701%3Futm_source%3Dimpact%26utm_medium%3Daffiliate%26utm_campaign%3Dpoke%2Bcottage","Omanyte")</f>
        <v>Omanyte</v>
      </c>
      <c r="D267" s="5" t="s">
        <v>13</v>
      </c>
      <c r="E267" s="5" t="s">
        <v>11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153</v>
      </c>
      <c r="C268" s="6" t="str">
        <f aca="false">HYPERLINK("https://partner.tcgplayer.com/c/6278691/1780961/21018?u=https%3A%2F%2Fwww.tcgplayer.com%2Fproduct%2F516702%3Futm_source%3Dimpact%26utm_medium%3Daffiliate%26utm_campaign%3Dpoke%2Bcottage","Omastar")</f>
        <v>Omastar</v>
      </c>
      <c r="D268" s="5" t="s">
        <v>29</v>
      </c>
      <c r="E268" s="5" t="s">
        <v>16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153</v>
      </c>
      <c r="C269" s="6" t="str">
        <f aca="false">HYPERLINK("https://partner.tcgplayer.com/c/6278691/1780961/21018?u=https%3A%2F%2Fwww.tcgplayer.com%2Fproduct%2F516702%3Futm_source%3Dimpact%26utm_medium%3Daffiliate%26utm_campaign%3Dpoke%2Bcottage","Omastar")</f>
        <v>Omastar</v>
      </c>
      <c r="D269" s="5" t="s">
        <v>29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154</v>
      </c>
      <c r="C270" s="6" t="str">
        <f aca="false">HYPERLINK("https://partner.tcgplayer.com/c/6278691/1780961/21018?u=https%3A%2F%2Fwww.tcgplayer.com%2Fproduct%2F516703%3Futm_source%3Dimpact%26utm_medium%3Daffiliate%26utm_campaign%3Dpoke%2Bcottage","Kabuto")</f>
        <v>Kabuto</v>
      </c>
      <c r="D270" s="5" t="s">
        <v>13</v>
      </c>
      <c r="E270" s="5" t="s">
        <v>9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154</v>
      </c>
      <c r="C271" s="6" t="str">
        <f aca="false">HYPERLINK("https://partner.tcgplayer.com/c/6278691/1780961/21018?u=https%3A%2F%2Fwww.tcgplayer.com%2Fproduct%2F516703%3Futm_source%3Dimpact%26utm_medium%3Daffiliate%26utm_campaign%3Dpoke%2Bcottage","Kabuto")</f>
        <v>Kabuto</v>
      </c>
      <c r="D271" s="5" t="s">
        <v>13</v>
      </c>
      <c r="E271" s="5" t="s">
        <v>11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155</v>
      </c>
      <c r="C272" s="6" t="str">
        <f aca="false">HYPERLINK("https://partner.tcgplayer.com/c/6278691/1780961/21018?u=https%3A%2F%2Fwww.tcgplayer.com%2Fproduct%2F516704%3Futm_source%3Dimpact%26utm_medium%3Daffiliate%26utm_campaign%3Dpoke%2Bcottage","Kabutops")</f>
        <v>Kabutops</v>
      </c>
      <c r="D272" s="5" t="s">
        <v>29</v>
      </c>
      <c r="E272" s="5" t="s">
        <v>16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155</v>
      </c>
      <c r="C273" s="6" t="str">
        <f aca="false">HYPERLINK("https://partner.tcgplayer.com/c/6278691/1780961/21018?u=https%3A%2F%2Fwww.tcgplayer.com%2Fproduct%2F516704%3Futm_source%3Dimpact%26utm_medium%3Daffiliate%26utm_campaign%3Dpoke%2Bcottage","Kabutops")</f>
        <v>Kabutops</v>
      </c>
      <c r="D273" s="5" t="s">
        <v>29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156</v>
      </c>
      <c r="C274" s="6" t="str">
        <f aca="false">HYPERLINK("https://partner.tcgplayer.com/c/6278691/1780961/21018?u=https%3A%2F%2Fwww.tcgplayer.com%2Fproduct%2F516705%3Futm_source%3Dimpact%26utm_medium%3Daffiliate%26utm_campaign%3Dpoke%2Bcottage","Aerodactyl")</f>
        <v>Aerodactyl</v>
      </c>
      <c r="D274" s="5" t="s">
        <v>29</v>
      </c>
      <c r="E274" s="5" t="s">
        <v>16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156</v>
      </c>
      <c r="C275" s="6" t="str">
        <f aca="false">HYPERLINK("https://partner.tcgplayer.com/c/6278691/1780961/21018?u=https%3A%2F%2Fwww.tcgplayer.com%2Fproduct%2F516705%3Futm_source%3Dimpact%26utm_medium%3Daffiliate%26utm_campaign%3Dpoke%2Bcottage","Aerodactyl")</f>
        <v>Aerodactyl</v>
      </c>
      <c r="D275" s="5" t="s">
        <v>29</v>
      </c>
      <c r="E275" s="5" t="s">
        <v>11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157</v>
      </c>
      <c r="C276" s="6" t="str">
        <f aca="false">HYPERLINK("https://partner.tcgplayer.com/c/6278691/1780961/21018?u=https%3A%2F%2Fwww.tcgplayer.com%2Fproduct%2F516706%3Futm_source%3Dimpact%26utm_medium%3Daffiliate%26utm_campaign%3Dpoke%2Bcottage","Snorlax")</f>
        <v>Snorlax</v>
      </c>
      <c r="D276" s="5" t="s">
        <v>13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157</v>
      </c>
      <c r="C277" s="6" t="str">
        <f aca="false">HYPERLINK("https://partner.tcgplayer.com/c/6278691/1780961/21018?u=https%3A%2F%2Fwww.tcgplayer.com%2Fproduct%2F516706%3Futm_source%3Dimpact%26utm_medium%3Daffiliate%26utm_campaign%3Dpoke%2Bcottage","Snorlax")</f>
        <v>Snorlax</v>
      </c>
      <c r="D277" s="5" t="s">
        <v>13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158</v>
      </c>
      <c r="C278" s="6" t="str">
        <f aca="false">HYPERLINK("https://partner.tcgplayer.com/c/6278691/1780961/21018?u=https%3A%2F%2Fwww.tcgplayer.com%2Fproduct%2F516707%3Futm_source%3Dimpact%26utm_medium%3Daffiliate%26utm_campaign%3Dpoke%2Bcottage","Articuno")</f>
        <v>Articuno</v>
      </c>
      <c r="D278" s="5" t="s">
        <v>29</v>
      </c>
      <c r="E278" s="5" t="s">
        <v>16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158</v>
      </c>
      <c r="C279" s="6" t="str">
        <f aca="false">HYPERLINK("https://partner.tcgplayer.com/c/6278691/1780961/21018?u=https%3A%2F%2Fwww.tcgplayer.com%2Fproduct%2F516707%3Futm_source%3Dimpact%26utm_medium%3Daffiliate%26utm_campaign%3Dpoke%2Bcottage","Articuno")</f>
        <v>Articuno</v>
      </c>
      <c r="D279" s="5" t="s">
        <v>29</v>
      </c>
      <c r="E279" s="5" t="s">
        <v>11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159</v>
      </c>
      <c r="C280" s="6" t="str">
        <f aca="false">HYPERLINK("https://partner.tcgplayer.com/c/6278691/1780961/21018?u=https%3A%2F%2Fwww.tcgplayer.com%2Fproduct%2F516708%3Futm_source%3Dimpact%26utm_medium%3Daffiliate%26utm_campaign%3Dpoke%2Bcottage","Zapdos ex")</f>
        <v>Zapdos ex</v>
      </c>
      <c r="D280" s="5" t="s">
        <v>15</v>
      </c>
      <c r="E280" s="5" t="s">
        <v>16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160</v>
      </c>
      <c r="C281" s="6" t="str">
        <f aca="false">HYPERLINK("https://partner.tcgplayer.com/c/6278691/1780961/21018?u=https%3A%2F%2Fwww.tcgplayer.com%2Fproduct%2F516709%3Futm_source%3Dimpact%26utm_medium%3Daffiliate%26utm_campaign%3Dpoke%2Bcottage","Moltres")</f>
        <v>Moltres</v>
      </c>
      <c r="D281" s="5" t="s">
        <v>29</v>
      </c>
      <c r="E281" s="5" t="s">
        <v>16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160</v>
      </c>
      <c r="C282" s="6" t="str">
        <f aca="false">HYPERLINK("https://partner.tcgplayer.com/c/6278691/1780961/21018?u=https%3A%2F%2Fwww.tcgplayer.com%2Fproduct%2F516709%3Futm_source%3Dimpact%26utm_medium%3Daffiliate%26utm_campaign%3Dpoke%2Bcottage","Moltres")</f>
        <v>Moltres</v>
      </c>
      <c r="D282" s="5" t="s">
        <v>29</v>
      </c>
      <c r="E282" s="5" t="s">
        <v>11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161</v>
      </c>
      <c r="C283" s="6" t="str">
        <f aca="false">HYPERLINK("https://partner.tcgplayer.com/c/6278691/1780961/21018?u=https%3A%2F%2Fwww.tcgplayer.com%2Fproduct%2F516710%3Futm_source%3Dimpact%26utm_medium%3Daffiliate%26utm_campaign%3Dpoke%2Bcottage","Dratini")</f>
        <v>Dratini</v>
      </c>
      <c r="D283" s="5" t="s">
        <v>8</v>
      </c>
      <c r="E283" s="5" t="s">
        <v>9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161</v>
      </c>
      <c r="C284" s="6" t="str">
        <f aca="false">HYPERLINK("https://partner.tcgplayer.com/c/6278691/1780961/21018?u=https%3A%2F%2Fwww.tcgplayer.com%2Fproduct%2F516710%3Futm_source%3Dimpact%26utm_medium%3Daffiliate%26utm_campaign%3Dpoke%2Bcottage","Dratini")</f>
        <v>Dratini</v>
      </c>
      <c r="D284" s="5" t="s">
        <v>8</v>
      </c>
      <c r="E284" s="5" t="s">
        <v>11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162</v>
      </c>
      <c r="C285" s="6" t="str">
        <f aca="false">HYPERLINK("https://partner.tcgplayer.com/c/6278691/1780961/21018?u=https%3A%2F%2Fwww.tcgplayer.com%2Fproduct%2F516711%3Futm_source%3Dimpact%26utm_medium%3Daffiliate%26utm_campaign%3Dpoke%2Bcottage","Dragonair")</f>
        <v>Dragonair</v>
      </c>
      <c r="D285" s="5" t="s">
        <v>13</v>
      </c>
      <c r="E285" s="5" t="s">
        <v>9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162</v>
      </c>
      <c r="C286" s="6" t="str">
        <f aca="false">HYPERLINK("https://partner.tcgplayer.com/c/6278691/1780961/21018?u=https%3A%2F%2Fwww.tcgplayer.com%2Fproduct%2F516711%3Futm_source%3Dimpact%26utm_medium%3Daffiliate%26utm_campaign%3Dpoke%2Bcottage","Dragonair")</f>
        <v>Dragonair</v>
      </c>
      <c r="D286" s="5" t="s">
        <v>13</v>
      </c>
      <c r="E286" s="5" t="s">
        <v>11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163</v>
      </c>
      <c r="C287" s="6" t="str">
        <f aca="false">HYPERLINK("https://partner.tcgplayer.com/c/6278691/1780961/21018?u=https%3A%2F%2Fwww.tcgplayer.com%2Fproduct%2F516712%3Futm_source%3Dimpact%26utm_medium%3Daffiliate%26utm_campaign%3Dpoke%2Bcottage","Dragonite")</f>
        <v>Dragonite</v>
      </c>
      <c r="D287" s="5" t="s">
        <v>29</v>
      </c>
      <c r="E287" s="5" t="s">
        <v>16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163</v>
      </c>
      <c r="C288" s="6" t="str">
        <f aca="false">HYPERLINK("https://partner.tcgplayer.com/c/6278691/1780961/21018?u=https%3A%2F%2Fwww.tcgplayer.com%2Fproduct%2F516712%3Futm_source%3Dimpact%26utm_medium%3Daffiliate%26utm_campaign%3Dpoke%2Bcottage","Dragonite")</f>
        <v>Dragonite</v>
      </c>
      <c r="D288" s="5" t="s">
        <v>29</v>
      </c>
      <c r="E288" s="5" t="s">
        <v>11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164</v>
      </c>
      <c r="C289" s="6" t="str">
        <f aca="false">HYPERLINK("https://partner.tcgplayer.com/c/6278691/1780961/21018?u=https%3A%2F%2Fwww.tcgplayer.com%2Fproduct%2F516713%3Futm_source%3Dimpact%26utm_medium%3Daffiliate%26utm_campaign%3Dpoke%2Bcottage","Mewtwo")</f>
        <v>Mewtwo</v>
      </c>
      <c r="D289" s="5" t="s">
        <v>29</v>
      </c>
      <c r="E289" s="5" t="s">
        <v>16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164</v>
      </c>
      <c r="C290" s="6" t="str">
        <f aca="false">HYPERLINK("https://partner.tcgplayer.com/c/6278691/1780961/21018?u=https%3A%2F%2Fwww.tcgplayer.com%2Fproduct%2F516713%3Futm_source%3Dimpact%26utm_medium%3Daffiliate%26utm_campaign%3Dpoke%2Bcottage","Mewtwo")</f>
        <v>Mewtwo</v>
      </c>
      <c r="D290" s="5" t="s">
        <v>29</v>
      </c>
      <c r="E290" s="5" t="s">
        <v>11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165</v>
      </c>
      <c r="C291" s="6" t="str">
        <f aca="false">HYPERLINK("https://partner.tcgplayer.com/c/6278691/1780961/21018?u=https%3A%2F%2Fwww.tcgplayer.com%2Fproduct%2F516566%3Futm_source%3Dimpact%26utm_medium%3Daffiliate%26utm_campaign%3Dpoke%2Bcottage","Mew ex")</f>
        <v>Mew ex</v>
      </c>
      <c r="D291" s="5" t="s">
        <v>15</v>
      </c>
      <c r="E291" s="5" t="s">
        <v>16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166</v>
      </c>
      <c r="C292" s="6" t="str">
        <f aca="false">HYPERLINK("https://partner.tcgplayer.com/c/6278691/1780961/21018?u=https%3A%2F%2Fwww.tcgplayer.com%2Fproduct%2F516714%3Futm_source%3Dimpact%26utm_medium%3Daffiliate%26utm_campaign%3Dpoke%2Bcottage","Antique Dome Fossil")</f>
        <v>Antique Dome Fossil</v>
      </c>
      <c r="D292" s="5" t="s">
        <v>8</v>
      </c>
      <c r="E292" s="5" t="s">
        <v>9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166</v>
      </c>
      <c r="C293" s="6" t="str">
        <f aca="false">HYPERLINK("https://partner.tcgplayer.com/c/6278691/1780961/21018?u=https%3A%2F%2Fwww.tcgplayer.com%2Fproduct%2F516714%3Futm_source%3Dimpact%26utm_medium%3Daffiliate%26utm_campaign%3Dpoke%2Bcottage","Antique Dome Fossil")</f>
        <v>Antique Dome Fossil</v>
      </c>
      <c r="D293" s="5" t="s">
        <v>8</v>
      </c>
      <c r="E293" s="5" t="s">
        <v>11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167</v>
      </c>
      <c r="C294" s="6" t="str">
        <f aca="false">HYPERLINK("https://partner.tcgplayer.com/c/6278691/1780961/21018?u=https%3A%2F%2Fwww.tcgplayer.com%2Fproduct%2F516715%3Futm_source%3Dimpact%26utm_medium%3Daffiliate%26utm_campaign%3Dpoke%2Bcottage","Antique Helix Fossil")</f>
        <v>Antique Helix Fossil</v>
      </c>
      <c r="D294" s="5" t="s">
        <v>8</v>
      </c>
      <c r="E294" s="5" t="s">
        <v>9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167</v>
      </c>
      <c r="C295" s="6" t="str">
        <f aca="false">HYPERLINK("https://partner.tcgplayer.com/c/6278691/1780961/21018?u=https%3A%2F%2Fwww.tcgplayer.com%2Fproduct%2F516715%3Futm_source%3Dimpact%26utm_medium%3Daffiliate%26utm_campaign%3Dpoke%2Bcottage","Antique Helix Fossil")</f>
        <v>Antique Helix Fossil</v>
      </c>
      <c r="D295" s="5" t="s">
        <v>8</v>
      </c>
      <c r="E295" s="5" t="s">
        <v>11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168</v>
      </c>
      <c r="C296" s="6" t="str">
        <f aca="false">HYPERLINK("https://partner.tcgplayer.com/c/6278691/1780961/21018?u=https%3A%2F%2Fwww.tcgplayer.com%2Fproduct%2F516716%3Futm_source%3Dimpact%26utm_medium%3Daffiliate%26utm_campaign%3Dpoke%2Bcottage","Antique Old Amber")</f>
        <v>Antique Old Amber</v>
      </c>
      <c r="D296" s="5" t="s">
        <v>8</v>
      </c>
      <c r="E296" s="5" t="s">
        <v>9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168</v>
      </c>
      <c r="C297" s="6" t="str">
        <f aca="false">HYPERLINK("https://partner.tcgplayer.com/c/6278691/1780961/21018?u=https%3A%2F%2Fwww.tcgplayer.com%2Fproduct%2F516716%3Futm_source%3Dimpact%26utm_medium%3Daffiliate%26utm_campaign%3Dpoke%2Bcottage","Antique Old Amber")</f>
        <v>Antique Old Amber</v>
      </c>
      <c r="D297" s="5" t="s">
        <v>8</v>
      </c>
      <c r="E297" s="5" t="s">
        <v>11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169</v>
      </c>
      <c r="C298" s="6" t="str">
        <f aca="false">HYPERLINK("https://partner.tcgplayer.com/c/6278691/1780961/21018?u=https%3A%2F%2Fwww.tcgplayer.com%2Fproduct%2F516717%3Futm_source%3Dimpact%26utm_medium%3Daffiliate%26utm_campaign%3Dpoke%2Bcottage","Big Air Balloon")</f>
        <v>Big Air Balloon</v>
      </c>
      <c r="D298" s="5" t="s">
        <v>13</v>
      </c>
      <c r="E298" s="5" t="s">
        <v>9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169</v>
      </c>
      <c r="C299" s="6" t="str">
        <f aca="false">HYPERLINK("https://partner.tcgplayer.com/c/6278691/1780961/21018?u=https%3A%2F%2Fwww.tcgplayer.com%2Fproduct%2F516717%3Futm_source%3Dimpact%26utm_medium%3Daffiliate%26utm_campaign%3Dpoke%2Bcottage","Big Air Balloon")</f>
        <v>Big Air Balloon</v>
      </c>
      <c r="D299" s="5" t="s">
        <v>13</v>
      </c>
      <c r="E299" s="5" t="s">
        <v>11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170</v>
      </c>
      <c r="C300" s="6" t="str">
        <f aca="false">HYPERLINK("https://partner.tcgplayer.com/c/6278691/1780961/21018?u=https%3A%2F%2Fwww.tcgplayer.com%2Fproduct%2F516718%3Futm_source%3Dimpact%26utm_medium%3Daffiliate%26utm_campaign%3Dpoke%2Bcottage","Bill's Transfer")</f>
        <v>Bill's Transfer</v>
      </c>
      <c r="D300" s="5" t="s">
        <v>13</v>
      </c>
      <c r="E300" s="5" t="s">
        <v>9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170</v>
      </c>
      <c r="C301" s="6" t="str">
        <f aca="false">HYPERLINK("https://partner.tcgplayer.com/c/6278691/1780961/21018?u=https%3A%2F%2Fwww.tcgplayer.com%2Fproduct%2F516718%3Futm_source%3Dimpact%26utm_medium%3Daffiliate%26utm_campaign%3Dpoke%2Bcottage","Bill's Transfer")</f>
        <v>Bill's Transfer</v>
      </c>
      <c r="D301" s="5" t="s">
        <v>13</v>
      </c>
      <c r="E301" s="5" t="s">
        <v>11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171</v>
      </c>
      <c r="C302" s="6" t="str">
        <f aca="false">HYPERLINK("https://partner.tcgplayer.com/c/6278691/1780961/21018?u=https%3A%2F%2Fwww.tcgplayer.com%2Fproduct%2F516719%3Futm_source%3Dimpact%26utm_medium%3Daffiliate%26utm_campaign%3Dpoke%2Bcottage","Cycling Road")</f>
        <v>Cycling Road</v>
      </c>
      <c r="D302" s="5" t="s">
        <v>13</v>
      </c>
      <c r="E302" s="5" t="s">
        <v>9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171</v>
      </c>
      <c r="C303" s="6" t="str">
        <f aca="false">HYPERLINK("https://partner.tcgplayer.com/c/6278691/1780961/21018?u=https%3A%2F%2Fwww.tcgplayer.com%2Fproduct%2F516719%3Futm_source%3Dimpact%26utm_medium%3Daffiliate%26utm_campaign%3Dpoke%2Bcottage","Cycling Road")</f>
        <v>Cycling Road</v>
      </c>
      <c r="D303" s="5" t="s">
        <v>13</v>
      </c>
      <c r="E303" s="5" t="s">
        <v>11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172</v>
      </c>
      <c r="C304" s="6" t="str">
        <f aca="false">HYPERLINK("https://partner.tcgplayer.com/c/6278691/1780961/21018?u=https%3A%2F%2Fwww.tcgplayer.com%2Fproduct%2F516720%3Futm_source%3Dimpact%26utm_medium%3Daffiliate%26utm_campaign%3Dpoke%2Bcottage","Daisy's Help")</f>
        <v>Daisy's Help</v>
      </c>
      <c r="D304" s="5" t="s">
        <v>13</v>
      </c>
      <c r="E304" s="5" t="s">
        <v>9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172</v>
      </c>
      <c r="C305" s="6" t="str">
        <f aca="false">HYPERLINK("https://partner.tcgplayer.com/c/6278691/1780961/21018?u=https%3A%2F%2Fwww.tcgplayer.com%2Fproduct%2F516720%3Futm_source%3Dimpact%26utm_medium%3Daffiliate%26utm_campaign%3Dpoke%2Bcottage","Daisy's Help")</f>
        <v>Daisy's Help</v>
      </c>
      <c r="D305" s="5" t="s">
        <v>13</v>
      </c>
      <c r="E305" s="5" t="s">
        <v>11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173</v>
      </c>
      <c r="C306" s="6" t="str">
        <f aca="false">HYPERLINK("https://partner.tcgplayer.com/c/6278691/1780961/21018?u=https%3A%2F%2Fwww.tcgplayer.com%2Fproduct%2F516721%3Futm_source%3Dimpact%26utm_medium%3Daffiliate%26utm_campaign%3Dpoke%2Bcottage","Energy Sticker")</f>
        <v>Energy Sticker</v>
      </c>
      <c r="D306" s="5" t="s">
        <v>13</v>
      </c>
      <c r="E306" s="5" t="s">
        <v>9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173</v>
      </c>
      <c r="C307" s="6" t="str">
        <f aca="false">HYPERLINK("https://partner.tcgplayer.com/c/6278691/1780961/21018?u=https%3A%2F%2Fwww.tcgplayer.com%2Fproduct%2F516721%3Futm_source%3Dimpact%26utm_medium%3Daffiliate%26utm_campaign%3Dpoke%2Bcottage","Energy Sticker")</f>
        <v>Energy Sticker</v>
      </c>
      <c r="D307" s="5" t="s">
        <v>13</v>
      </c>
      <c r="E307" s="5" t="s">
        <v>11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174</v>
      </c>
      <c r="C308" s="6" t="str">
        <f aca="false">HYPERLINK("https://partner.tcgplayer.com/c/6278691/1780961/21018?u=https%3A%2F%2Fwww.tcgplayer.com%2Fproduct%2F516722%3Futm_source%3Dimpact%26utm_medium%3Daffiliate%26utm_campaign%3Dpoke%2Bcottage","Erika's Invitation")</f>
        <v>Erika's Invitation</v>
      </c>
      <c r="D308" s="5" t="s">
        <v>13</v>
      </c>
      <c r="E308" s="5" t="s">
        <v>9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174</v>
      </c>
      <c r="C309" s="6" t="str">
        <f aca="false">HYPERLINK("https://partner.tcgplayer.com/c/6278691/1780961/21018?u=https%3A%2F%2Fwww.tcgplayer.com%2Fproduct%2F516722%3Futm_source%3Dimpact%26utm_medium%3Daffiliate%26utm_campaign%3Dpoke%2Bcottage","Erika's Invitation")</f>
        <v>Erika's Invitation</v>
      </c>
      <c r="D309" s="5" t="s">
        <v>13</v>
      </c>
      <c r="E309" s="5" t="s">
        <v>11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175</v>
      </c>
      <c r="C310" s="6" t="str">
        <f aca="false">HYPERLINK("https://partner.tcgplayer.com/c/6278691/1780961/21018?u=https%3A%2F%2Fwww.tcgplayer.com%2Fproduct%2F516723%3Futm_source%3Dimpact%26utm_medium%3Daffiliate%26utm_campaign%3Dpoke%2Bcottage","Giovanni's Charisma")</f>
        <v>Giovanni's Charisma</v>
      </c>
      <c r="D310" s="5" t="s">
        <v>13</v>
      </c>
      <c r="E310" s="5" t="s">
        <v>9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175</v>
      </c>
      <c r="C311" s="6" t="str">
        <f aca="false">HYPERLINK("https://partner.tcgplayer.com/c/6278691/1780961/21018?u=https%3A%2F%2Fwww.tcgplayer.com%2Fproduct%2F516723%3Futm_source%3Dimpact%26utm_medium%3Daffiliate%26utm_campaign%3Dpoke%2Bcottage","Giovanni's Charisma")</f>
        <v>Giovanni's Charisma</v>
      </c>
      <c r="D311" s="5" t="s">
        <v>13</v>
      </c>
      <c r="E311" s="5" t="s">
        <v>11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176</v>
      </c>
      <c r="C312" s="6" t="str">
        <f aca="false">HYPERLINK("https://partner.tcgplayer.com/c/6278691/1780961/21018?u=https%3A%2F%2Fwww.tcgplayer.com%2Fproduct%2F516724%3Futm_source%3Dimpact%26utm_medium%3Daffiliate%26utm_campaign%3Dpoke%2Bcottage","Grabber")</f>
        <v>Grabber</v>
      </c>
      <c r="D312" s="5" t="s">
        <v>13</v>
      </c>
      <c r="E312" s="5" t="s">
        <v>9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176</v>
      </c>
      <c r="C313" s="6" t="str">
        <f aca="false">HYPERLINK("https://partner.tcgplayer.com/c/6278691/1780961/21018?u=https%3A%2F%2Fwww.tcgplayer.com%2Fproduct%2F516724%3Futm_source%3Dimpact%26utm_medium%3Daffiliate%26utm_campaign%3Dpoke%2Bcottage","Grabber")</f>
        <v>Grabber</v>
      </c>
      <c r="D313" s="5" t="s">
        <v>13</v>
      </c>
      <c r="E313" s="5" t="s">
        <v>11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177</v>
      </c>
      <c r="C314" s="6" t="str">
        <f aca="false">HYPERLINK("https://partner.tcgplayer.com/c/6278691/1780961/21018?u=https%3A%2F%2Fwww.tcgplayer.com%2Fproduct%2F516725%3Futm_source%3Dimpact%26utm_medium%3Daffiliate%26utm_campaign%3Dpoke%2Bcottage","Leftovers")</f>
        <v>Leftovers</v>
      </c>
      <c r="D314" s="5" t="s">
        <v>13</v>
      </c>
      <c r="E314" s="5" t="s">
        <v>9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177</v>
      </c>
      <c r="C315" s="6" t="str">
        <f aca="false">HYPERLINK("https://partner.tcgplayer.com/c/6278691/1780961/21018?u=https%3A%2F%2Fwww.tcgplayer.com%2Fproduct%2F516725%3Futm_source%3Dimpact%26utm_medium%3Daffiliate%26utm_campaign%3Dpoke%2Bcottage","Leftovers")</f>
        <v>Leftovers</v>
      </c>
      <c r="D315" s="5" t="s">
        <v>13</v>
      </c>
      <c r="E315" s="5" t="s">
        <v>11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178</v>
      </c>
      <c r="C316" s="6" t="str">
        <f aca="false">HYPERLINK("https://partner.tcgplayer.com/c/6278691/1780961/21018?u=https%3A%2F%2Fwww.tcgplayer.com%2Fproduct%2F516726%3Futm_source%3Dimpact%26utm_medium%3Daffiliate%26utm_campaign%3Dpoke%2Bcottage","Protective Goggles")</f>
        <v>Protective Goggles</v>
      </c>
      <c r="D316" s="5" t="s">
        <v>13</v>
      </c>
      <c r="E316" s="5" t="s">
        <v>9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178</v>
      </c>
      <c r="C317" s="6" t="str">
        <f aca="false">HYPERLINK("https://partner.tcgplayer.com/c/6278691/1780961/21018?u=https%3A%2F%2Fwww.tcgplayer.com%2Fproduct%2F516726%3Futm_source%3Dimpact%26utm_medium%3Daffiliate%26utm_campaign%3Dpoke%2Bcottage","Protective Goggles")</f>
        <v>Protective Goggles</v>
      </c>
      <c r="D317" s="5" t="s">
        <v>13</v>
      </c>
      <c r="E317" s="5" t="s">
        <v>11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179</v>
      </c>
      <c r="C318" s="6" t="str">
        <f aca="false">HYPERLINK("https://partner.tcgplayer.com/c/6278691/1780961/21018?u=https%3A%2F%2Fwww.tcgplayer.com%2Fproduct%2F516727%3Futm_source%3Dimpact%26utm_medium%3Daffiliate%26utm_campaign%3Dpoke%2Bcottage","Rigid Band")</f>
        <v>Rigid Band</v>
      </c>
      <c r="D318" s="5" t="s">
        <v>13</v>
      </c>
      <c r="E318" s="5" t="s">
        <v>9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179</v>
      </c>
      <c r="C319" s="6" t="str">
        <f aca="false">HYPERLINK("https://partner.tcgplayer.com/c/6278691/1780961/21018?u=https%3A%2F%2Fwww.tcgplayer.com%2Fproduct%2F516727%3Futm_source%3Dimpact%26utm_medium%3Daffiliate%26utm_campaign%3Dpoke%2Bcottage","Rigid Band")</f>
        <v>Rigid Band</v>
      </c>
      <c r="D319" s="5" t="s">
        <v>13</v>
      </c>
      <c r="E319" s="5" t="s">
        <v>11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180</v>
      </c>
      <c r="C320" s="6" t="str">
        <f aca="false">HYPERLINK("https://partner.tcgplayer.com/c/6278691/1780961/21018?u=https%3A%2F%2Fwww.tcgplayer.com%2Fproduct%2F516997%3Futm_source%3Dimpact%26utm_medium%3Daffiliate%26utm_campaign%3Dpoke%2Bcottage","Bulbasaur")</f>
        <v>Bulbasaur</v>
      </c>
      <c r="D320" s="5" t="s">
        <v>181</v>
      </c>
      <c r="E320" s="5" t="s">
        <v>16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182</v>
      </c>
      <c r="C321" s="6" t="str">
        <f aca="false">HYPERLINK("https://partner.tcgplayer.com/c/6278691/1780961/21018?u=https%3A%2F%2Fwww.tcgplayer.com%2Fproduct%2F516998%3Futm_source%3Dimpact%26utm_medium%3Daffiliate%26utm_campaign%3Dpoke%2Bcottage","Ivysaur")</f>
        <v>Ivysaur</v>
      </c>
      <c r="D321" s="5" t="s">
        <v>181</v>
      </c>
      <c r="E321" s="5" t="s">
        <v>16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183</v>
      </c>
      <c r="C322" s="6" t="str">
        <f aca="false">HYPERLINK("https://partner.tcgplayer.com/c/6278691/1780961/21018?u=https%3A%2F%2Fwww.tcgplayer.com%2Fproduct%2F502556%3Futm_source%3Dimpact%26utm_medium%3Daffiliate%26utm_campaign%3Dpoke%2Bcottage","Charmander")</f>
        <v>Charmander</v>
      </c>
      <c r="D322" s="5" t="s">
        <v>181</v>
      </c>
      <c r="E322" s="5" t="s">
        <v>16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184</v>
      </c>
      <c r="C323" s="6" t="str">
        <f aca="false">HYPERLINK("https://partner.tcgplayer.com/c/6278691/1780961/21018?u=https%3A%2F%2Fwww.tcgplayer.com%2Fproduct%2F517018%3Futm_source%3Dimpact%26utm_medium%3Daffiliate%26utm_campaign%3Dpoke%2Bcottage","Charmeleon")</f>
        <v>Charmeleon</v>
      </c>
      <c r="D323" s="5" t="s">
        <v>181</v>
      </c>
      <c r="E323" s="5" t="s">
        <v>16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185</v>
      </c>
      <c r="C324" s="6" t="str">
        <f aca="false">HYPERLINK("https://partner.tcgplayer.com/c/6278691/1780961/21018?u=https%3A%2F%2Fwww.tcgplayer.com%2Fproduct%2F502549%3Futm_source%3Dimpact%26utm_medium%3Daffiliate%26utm_campaign%3Dpoke%2Bcottage","Squirtle")</f>
        <v>Squirtle</v>
      </c>
      <c r="D324" s="5" t="s">
        <v>181</v>
      </c>
      <c r="E324" s="5" t="s">
        <v>16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186</v>
      </c>
      <c r="C325" s="6" t="str">
        <f aca="false">HYPERLINK("https://partner.tcgplayer.com/c/6278691/1780961/21018?u=https%3A%2F%2Fwww.tcgplayer.com%2Fproduct%2F517038%3Futm_source%3Dimpact%26utm_medium%3Daffiliate%26utm_campaign%3Dpoke%2Bcottage","Wartortle")</f>
        <v>Wartortle</v>
      </c>
      <c r="D325" s="5" t="s">
        <v>181</v>
      </c>
      <c r="E325" s="5" t="s">
        <v>16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187</v>
      </c>
      <c r="C326" s="6" t="str">
        <f aca="false">HYPERLINK("https://partner.tcgplayer.com/c/6278691/1780961/21018?u=https%3A%2F%2Fwww.tcgplayer.com%2Fproduct%2F517016%3Futm_source%3Dimpact%26utm_medium%3Daffiliate%26utm_campaign%3Dpoke%2Bcottage","Caterpie")</f>
        <v>Caterpie</v>
      </c>
      <c r="D326" s="5" t="s">
        <v>181</v>
      </c>
      <c r="E326" s="5" t="s">
        <v>16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188</v>
      </c>
      <c r="C327" s="6" t="str">
        <f aca="false">HYPERLINK("https://partner.tcgplayer.com/c/6278691/1780961/21018?u=https%3A%2F%2Fwww.tcgplayer.com%2Fproduct%2F513721%3Futm_source%3Dimpact%26utm_medium%3Daffiliate%26utm_campaign%3Dpoke%2Bcottage","Pikachu")</f>
        <v>Pikachu</v>
      </c>
      <c r="D327" s="5" t="s">
        <v>181</v>
      </c>
      <c r="E327" s="5" t="s">
        <v>16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189</v>
      </c>
      <c r="C328" s="6" t="str">
        <f aca="false">HYPERLINK("https://partner.tcgplayer.com/c/6278691/1780961/21018?u=https%3A%2F%2Fwww.tcgplayer.com%2Fproduct%2F517029%3Futm_source%3Dimpact%26utm_medium%3Daffiliate%26utm_campaign%3Dpoke%2Bcottage","Nidoking")</f>
        <v>Nidoking</v>
      </c>
      <c r="D328" s="5" t="s">
        <v>181</v>
      </c>
      <c r="E328" s="5" t="s">
        <v>16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190</v>
      </c>
      <c r="C329" s="6" t="str">
        <f aca="false">HYPERLINK("https://partner.tcgplayer.com/c/6278691/1780961/21018?u=https%3A%2F%2Fwww.tcgplayer.com%2Fproduct%2F517035%3Futm_source%3Dimpact%26utm_medium%3Daffiliate%26utm_campaign%3Dpoke%2Bcottage","Psyduck")</f>
        <v>Psyduck</v>
      </c>
      <c r="D329" s="5" t="s">
        <v>181</v>
      </c>
      <c r="E329" s="5" t="s">
        <v>16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191</v>
      </c>
      <c r="C330" s="6" t="str">
        <f aca="false">HYPERLINK("https://partner.tcgplayer.com/c/6278691/1780961/21018?u=https%3A%2F%2Fwww.tcgplayer.com%2Fproduct%2F517034%3Futm_source%3Dimpact%26utm_medium%3Daffiliate%26utm_campaign%3Dpoke%2Bcottage","Poliwhirl")</f>
        <v>Poliwhirl</v>
      </c>
      <c r="D330" s="5" t="s">
        <v>181</v>
      </c>
      <c r="E330" s="5" t="s">
        <v>16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192</v>
      </c>
      <c r="C331" s="6" t="str">
        <f aca="false">HYPERLINK("https://partner.tcgplayer.com/c/6278691/1780961/21018?u=https%3A%2F%2Fwww.tcgplayer.com%2Fproduct%2F517025%3Futm_source%3Dimpact%26utm_medium%3Daffiliate%26utm_campaign%3Dpoke%2Bcottage","Machoke")</f>
        <v>Machoke</v>
      </c>
      <c r="D331" s="5" t="s">
        <v>181</v>
      </c>
      <c r="E331" s="5" t="s">
        <v>16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193</v>
      </c>
      <c r="C332" s="6" t="str">
        <f aca="false">HYPERLINK("https://partner.tcgplayer.com/c/6278691/1780961/21018?u=https%3A%2F%2Fwww.tcgplayer.com%2Fproduct%2F517036%3Futm_source%3Dimpact%26utm_medium%3Daffiliate%26utm_campaign%3Dpoke%2Bcottage","Tangela")</f>
        <v>Tangela</v>
      </c>
      <c r="D332" s="5" t="s">
        <v>181</v>
      </c>
      <c r="E332" s="5" t="s">
        <v>16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194</v>
      </c>
      <c r="C333" s="6" t="str">
        <f aca="false">HYPERLINK("https://partner.tcgplayer.com/c/6278691/1780961/21018?u=https%3A%2F%2Fwww.tcgplayer.com%2Fproduct%2F517028%3Futm_source%3Dimpact%26utm_medium%3Daffiliate%26utm_campaign%3Dpoke%2Bcottage","Mr. Mime")</f>
        <v>Mr. Mime</v>
      </c>
      <c r="D333" s="5" t="s">
        <v>181</v>
      </c>
      <c r="E333" s="5" t="s">
        <v>16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195</v>
      </c>
      <c r="C334" s="6" t="str">
        <f aca="false">HYPERLINK("https://partner.tcgplayer.com/c/6278691/1780961/21018?u=https%3A%2F%2Fwww.tcgplayer.com%2Fproduct%2F517031%3Futm_source%3Dimpact%26utm_medium%3Daffiliate%26utm_campaign%3Dpoke%2Bcottage","Omanyte")</f>
        <v>Omanyte</v>
      </c>
      <c r="D334" s="5" t="s">
        <v>181</v>
      </c>
      <c r="E334" s="5" t="s">
        <v>16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196</v>
      </c>
      <c r="C335" s="6" t="str">
        <f aca="false">HYPERLINK("https://partner.tcgplayer.com/c/6278691/1780961/21018?u=https%3A%2F%2Fwww.tcgplayer.com%2Fproduct%2F517020%3Futm_source%3Dimpact%26utm_medium%3Daffiliate%26utm_campaign%3Dpoke%2Bcottage","Dragonair")</f>
        <v>Dragonair</v>
      </c>
      <c r="D335" s="5" t="s">
        <v>181</v>
      </c>
      <c r="E335" s="5" t="s">
        <v>16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197</v>
      </c>
      <c r="C336" s="6" t="str">
        <f aca="false">HYPERLINK("https://partner.tcgplayer.com/c/6278691/1780961/21018?u=https%3A%2F%2Fwww.tcgplayer.com%2Fproduct%2F517037%3Futm_source%3Dimpact%26utm_medium%3Daffiliate%26utm_campaign%3Dpoke%2Bcottage","Venusaur ex")</f>
        <v>Venusaur ex</v>
      </c>
      <c r="D336" s="5" t="s">
        <v>198</v>
      </c>
      <c r="E336" s="5" t="s">
        <v>16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199</v>
      </c>
      <c r="C337" s="6" t="str">
        <f aca="false">HYPERLINK("https://partner.tcgplayer.com/c/6278691/1780961/21018?u=https%3A%2F%2Fwww.tcgplayer.com%2Fproduct%2F517017%3Futm_source%3Dimpact%26utm_medium%3Daffiliate%26utm_campaign%3Dpoke%2Bcottage","Charizard ex")</f>
        <v>Charizard ex</v>
      </c>
      <c r="D337" s="5" t="s">
        <v>198</v>
      </c>
      <c r="E337" s="5" t="s">
        <v>16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200</v>
      </c>
      <c r="C338" s="6" t="str">
        <f aca="false">HYPERLINK("https://partner.tcgplayer.com/c/6278691/1780961/21018?u=https%3A%2F%2Fwww.tcgplayer.com%2Fproduct%2F517015%3Futm_source%3Dimpact%26utm_medium%3Daffiliate%26utm_campaign%3Dpoke%2Bcottage","Blastoise ex")</f>
        <v>Blastoise ex</v>
      </c>
      <c r="D338" s="5" t="s">
        <v>198</v>
      </c>
      <c r="E338" s="5" t="s">
        <v>16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201</v>
      </c>
      <c r="C339" s="6" t="str">
        <f aca="false">HYPERLINK("https://partner.tcgplayer.com/c/6278691/1780961/21018?u=https%3A%2F%2Fwww.tcgplayer.com%2Fproduct%2F517014%3Futm_source%3Dimpact%26utm_medium%3Daffiliate%26utm_campaign%3Dpoke%2Bcottage","Arbok ex")</f>
        <v>Arbok ex</v>
      </c>
      <c r="D339" s="5" t="s">
        <v>198</v>
      </c>
      <c r="E339" s="5" t="s">
        <v>16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202</v>
      </c>
      <c r="C340" s="6" t="str">
        <f aca="false">HYPERLINK("https://partner.tcgplayer.com/c/6278691/1780961/21018?u=https%3A%2F%2Fwww.tcgplayer.com%2Fproduct%2F517030%3Futm_source%3Dimpact%26utm_medium%3Daffiliate%26utm_campaign%3Dpoke%2Bcottage","Ninetales ex")</f>
        <v>Ninetales ex</v>
      </c>
      <c r="D340" s="5" t="s">
        <v>198</v>
      </c>
      <c r="E340" s="5" t="s">
        <v>16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203</v>
      </c>
      <c r="C341" s="6" t="str">
        <f aca="false">HYPERLINK("https://partner.tcgplayer.com/c/6278691/1780961/21018?u=https%3A%2F%2Fwww.tcgplayer.com%2Fproduct%2F517039%3Futm_source%3Dimpact%26utm_medium%3Daffiliate%26utm_campaign%3Dpoke%2Bcottage","Wigglytuff ex")</f>
        <v>Wigglytuff ex</v>
      </c>
      <c r="D341" s="5" t="s">
        <v>198</v>
      </c>
      <c r="E341" s="5" t="s">
        <v>16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204</v>
      </c>
      <c r="C342" s="6" t="str">
        <f aca="false">HYPERLINK("https://partner.tcgplayer.com/c/6278691/1780961/21018?u=https%3A%2F%2Fwww.tcgplayer.com%2Fproduct%2F517013%3Futm_source%3Dimpact%26utm_medium%3Daffiliate%26utm_campaign%3Dpoke%2Bcottage","Alakazam ex")</f>
        <v>Alakazam ex</v>
      </c>
      <c r="D342" s="5" t="s">
        <v>198</v>
      </c>
      <c r="E342" s="5" t="s">
        <v>16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205</v>
      </c>
      <c r="C343" s="6" t="str">
        <f aca="false">HYPERLINK("https://partner.tcgplayer.com/c/6278691/1780961/21018?u=https%3A%2F%2Fwww.tcgplayer.com%2Fproduct%2F517021%3Futm_source%3Dimpact%26utm_medium%3Daffiliate%26utm_campaign%3Dpoke%2Bcottage","Golem ex")</f>
        <v>Golem ex</v>
      </c>
      <c r="D343" s="5" t="s">
        <v>198</v>
      </c>
      <c r="E343" s="5" t="s">
        <v>16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206</v>
      </c>
      <c r="C344" s="6" t="str">
        <f aca="false">HYPERLINK("https://partner.tcgplayer.com/c/6278691/1780961/21018?u=https%3A%2F%2Fwww.tcgplayer.com%2Fproduct%2F517024%3Futm_source%3Dimpact%26utm_medium%3Daffiliate%26utm_campaign%3Dpoke%2Bcottage","Kangaskhan ex")</f>
        <v>Kangaskhan ex</v>
      </c>
      <c r="D344" s="5" t="s">
        <v>198</v>
      </c>
      <c r="E344" s="5" t="s">
        <v>16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207</v>
      </c>
      <c r="C345" s="6" t="str">
        <f aca="false">HYPERLINK("https://partner.tcgplayer.com/c/6278691/1780961/21018?u=https%3A%2F%2Fwww.tcgplayer.com%2Fproduct%2F517023%3Futm_source%3Dimpact%26utm_medium%3Daffiliate%26utm_campaign%3Dpoke%2Bcottage","Jynx ex")</f>
        <v>Jynx ex</v>
      </c>
      <c r="D345" s="5" t="s">
        <v>198</v>
      </c>
      <c r="E345" s="5" t="s">
        <v>16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208</v>
      </c>
      <c r="C346" s="6" t="str">
        <f aca="false">HYPERLINK("https://partner.tcgplayer.com/c/6278691/1780961/21018?u=https%3A%2F%2Fwww.tcgplayer.com%2Fproduct%2F517040%3Futm_source%3Dimpact%26utm_medium%3Daffiliate%26utm_campaign%3Dpoke%2Bcottage","Zapdos ex")</f>
        <v>Zapdos ex</v>
      </c>
      <c r="D346" s="5" t="s">
        <v>198</v>
      </c>
      <c r="E346" s="5" t="s">
        <v>16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209</v>
      </c>
      <c r="C347" s="6" t="str">
        <f aca="false">HYPERLINK("https://partner.tcgplayer.com/c/6278691/1780961/21018?u=https%3A%2F%2Fwww.tcgplayer.com%2Fproduct%2F517027%3Futm_source%3Dimpact%26utm_medium%3Daffiliate%26utm_campaign%3Dpoke%2Bcottage","Mew ex")</f>
        <v>Mew ex</v>
      </c>
      <c r="D347" s="5" t="s">
        <v>198</v>
      </c>
      <c r="E347" s="5" t="s">
        <v>16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210</v>
      </c>
      <c r="C348" s="6" t="str">
        <f aca="false">HYPERLINK("https://partner.tcgplayer.com/c/6278691/1780961/21018?u=https%3A%2F%2Fwww.tcgplayer.com%2Fproduct%2F517041%3Futm_source%3Dimpact%26utm_medium%3Daffiliate%26utm_campaign%3Dpoke%2Bcottage","Bill's Transfer")</f>
        <v>Bill's Transfer</v>
      </c>
      <c r="D348" s="5" t="s">
        <v>198</v>
      </c>
      <c r="E348" s="5" t="s">
        <v>16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211</v>
      </c>
      <c r="C349" s="6" t="str">
        <f aca="false">HYPERLINK("https://partner.tcgplayer.com/c/6278691/1780961/21018?u=https%3A%2F%2Fwww.tcgplayer.com%2Fproduct%2F517042%3Futm_source%3Dimpact%26utm_medium%3Daffiliate%26utm_campaign%3Dpoke%2Bcottage","Daisy's Help")</f>
        <v>Daisy's Help</v>
      </c>
      <c r="D349" s="5" t="s">
        <v>198</v>
      </c>
      <c r="E349" s="5" t="s">
        <v>16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212</v>
      </c>
      <c r="C350" s="6" t="str">
        <f aca="false">HYPERLINK("https://partner.tcgplayer.com/c/6278691/1780961/21018?u=https%3A%2F%2Fwww.tcgplayer.com%2Fproduct%2F517176%3Futm_source%3Dimpact%26utm_medium%3Daffiliate%26utm_campaign%3Dpoke%2Bcottage","Erika's Invitation")</f>
        <v>Erika's Invitation</v>
      </c>
      <c r="D350" s="5" t="s">
        <v>198</v>
      </c>
      <c r="E350" s="5" t="s">
        <v>16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213</v>
      </c>
      <c r="C351" s="6" t="str">
        <f aca="false">HYPERLINK("https://partner.tcgplayer.com/c/6278691/1780961/21018?u=https%3A%2F%2Fwww.tcgplayer.com%2Fproduct%2F517043%3Futm_source%3Dimpact%26utm_medium%3Daffiliate%26utm_campaign%3Dpoke%2Bcottage","Giovanni's Charisma")</f>
        <v>Giovanni's Charisma</v>
      </c>
      <c r="D351" s="5" t="s">
        <v>198</v>
      </c>
      <c r="E351" s="5" t="s">
        <v>16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214</v>
      </c>
      <c r="C352" s="6" t="str">
        <f aca="false">HYPERLINK("https://partner.tcgplayer.com/c/6278691/1780961/21018?u=https%3A%2F%2Fwww.tcgplayer.com%2Fproduct%2F517044%3Futm_source%3Dimpact%26utm_medium%3Daffiliate%26utm_campaign%3Dpoke%2Bcottage","Venusaur ex")</f>
        <v>Venusaur ex</v>
      </c>
      <c r="D352" s="5" t="s">
        <v>215</v>
      </c>
      <c r="E352" s="5" t="s">
        <v>16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216</v>
      </c>
      <c r="C353" s="6" t="str">
        <f aca="false">HYPERLINK("https://partner.tcgplayer.com/c/6278691/1780961/21018?u=https%3A%2F%2Fwww.tcgplayer.com%2Fproduct%2F517045%3Futm_source%3Dimpact%26utm_medium%3Daffiliate%26utm_campaign%3Dpoke%2Bcottage","Charizard ex")</f>
        <v>Charizard ex</v>
      </c>
      <c r="D353" s="5" t="s">
        <v>215</v>
      </c>
      <c r="E353" s="5" t="s">
        <v>16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217</v>
      </c>
      <c r="C354" s="6" t="str">
        <f aca="false">HYPERLINK("https://partner.tcgplayer.com/c/6278691/1780961/21018?u=https%3A%2F%2Fwww.tcgplayer.com%2Fproduct%2F517046%3Futm_source%3Dimpact%26utm_medium%3Daffiliate%26utm_campaign%3Dpoke%2Bcottage","Blastoise ex")</f>
        <v>Blastoise ex</v>
      </c>
      <c r="D354" s="5" t="s">
        <v>215</v>
      </c>
      <c r="E354" s="5" t="s">
        <v>16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218</v>
      </c>
      <c r="C355" s="6" t="str">
        <f aca="false">HYPERLINK("https://partner.tcgplayer.com/c/6278691/1780961/21018?u=https%3A%2F%2Fwww.tcgplayer.com%2Fproduct%2F517047%3Futm_source%3Dimpact%26utm_medium%3Daffiliate%26utm_campaign%3Dpoke%2Bcottage","Alakazam ex")</f>
        <v>Alakazam ex</v>
      </c>
      <c r="D355" s="5" t="s">
        <v>215</v>
      </c>
      <c r="E355" s="5" t="s">
        <v>16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219</v>
      </c>
      <c r="C356" s="6" t="str">
        <f aca="false">HYPERLINK("https://partner.tcgplayer.com/c/6278691/1780961/21018?u=https%3A%2F%2Fwww.tcgplayer.com%2Fproduct%2F517048%3Futm_source%3Dimpact%26utm_medium%3Daffiliate%26utm_campaign%3Dpoke%2Bcottage","Zapdos ex")</f>
        <v>Zapdos ex</v>
      </c>
      <c r="D356" s="5" t="s">
        <v>215</v>
      </c>
      <c r="E356" s="5" t="s">
        <v>16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220</v>
      </c>
      <c r="C357" s="6" t="str">
        <f aca="false">HYPERLINK("https://partner.tcgplayer.com/c/6278691/1780961/21018?u=https%3A%2F%2Fwww.tcgplayer.com%2Fproduct%2F517049%3Futm_source%3Dimpact%26utm_medium%3Daffiliate%26utm_campaign%3Dpoke%2Bcottage","Erika's Invitation")</f>
        <v>Erika's Invitation</v>
      </c>
      <c r="D357" s="5" t="s">
        <v>215</v>
      </c>
      <c r="E357" s="5" t="s">
        <v>16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221</v>
      </c>
      <c r="C358" s="6" t="str">
        <f aca="false">HYPERLINK("https://partner.tcgplayer.com/c/6278691/1780961/21018?u=https%3A%2F%2Fwww.tcgplayer.com%2Fproduct%2F517050%3Futm_source%3Dimpact%26utm_medium%3Daffiliate%26utm_campaign%3Dpoke%2Bcottage","Giovanni's Charisma")</f>
        <v>Giovanni's Charisma</v>
      </c>
      <c r="D358" s="5" t="s">
        <v>215</v>
      </c>
      <c r="E358" s="5" t="s">
        <v>16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222</v>
      </c>
      <c r="C359" s="6" t="str">
        <f aca="false">HYPERLINK("https://partner.tcgplayer.com/c/6278691/1780961/21018?u=https%3A%2F%2Fwww.tcgplayer.com%2Fproduct%2F517051%3Futm_source%3Dimpact%26utm_medium%3Daffiliate%26utm_campaign%3Dpoke%2Bcottage","Mew ex")</f>
        <v>Mew ex</v>
      </c>
      <c r="D359" s="5" t="s">
        <v>223</v>
      </c>
      <c r="E359" s="5" t="s">
        <v>16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224</v>
      </c>
      <c r="C360" s="6" t="str">
        <f aca="false">HYPERLINK("https://partner.tcgplayer.com/c/6278691/1780961/21018?u=https%3A%2F%2Fwww.tcgplayer.com%2Fproduct%2F517052%3Futm_source%3Dimpact%26utm_medium%3Daffiliate%26utm_campaign%3Dpoke%2Bcottage","Switch")</f>
        <v>Switch</v>
      </c>
      <c r="D360" s="5" t="s">
        <v>223</v>
      </c>
      <c r="E360" s="5" t="s">
        <v>16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225</v>
      </c>
      <c r="C361" s="6" t="str">
        <f aca="false">HYPERLINK("https://partner.tcgplayer.com/c/6278691/1780961/21018?u=https%3A%2F%2Fwww.tcgplayer.com%2Fproduct%2F517053%3Futm_source%3Dimpact%26utm_medium%3Daffiliate%26utm_campaign%3Dpoke%2Bcottage","Basic Psychic Energy")</f>
        <v>Basic Psychic Energy</v>
      </c>
      <c r="D361" s="5" t="s">
        <v>223</v>
      </c>
      <c r="E361" s="5" t="s">
        <v>16</v>
      </c>
      <c r="F361" s="5"/>
      <c r="G361" s="5"/>
      <c r="H361" s="7"/>
    </row>
    <row r="362" customFormat="false" ht="32" hidden="false" customHeight="true" outlineLevel="0" collapsed="false">
      <c r="A362" s="1" t="s">
        <v>226</v>
      </c>
      <c r="B362" s="1"/>
      <c r="C362" s="1"/>
      <c r="D362" s="1"/>
      <c r="E362" s="1"/>
      <c r="F362" s="1"/>
      <c r="G362" s="1"/>
      <c r="H362" s="1"/>
    </row>
    <row r="363" customFormat="false" ht="30" hidden="false" customHeight="true" outlineLevel="0" collapsed="false">
      <c r="A363" s="4" t="s">
        <v>6</v>
      </c>
      <c r="B363" s="5" t="s">
        <v>227</v>
      </c>
      <c r="C363" s="5" t="s">
        <v>228</v>
      </c>
      <c r="D363" s="5" t="s">
        <v>229</v>
      </c>
      <c r="E363" s="5"/>
      <c r="F363" s="5" t="str">
        <f aca="false">HYPERLINK("https://www.ebay.com/sch/i.html?_nkw=Bulbasaur+HD+Holo+151+Poster+Collection+-+HD+Holo+Scarlet+%26+Violet+Promos+SVP+046+pokemon+card&amp;_sacat=0&amp;_from=R40&amp;_trksid=p4624852.m570.l1313&amp;mkcid=1&amp;mkrid=711-53200-19255-0&amp;siteid=0&amp;campid=5339158445&amp;customid=pokecottage&amp;toolid=10001&amp;mkevt=1","FIND ON EBAY")</f>
        <v>FIND ON EBAY</v>
      </c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227</v>
      </c>
      <c r="C364" s="6" t="str">
        <f aca="false">HYPERLINK("https://partner.tcgplayer.com/c/6278691/1780961/21018?u=https%3A%2F%2Fwww.tcgplayer.com%2Fproduct%2F517271%3Futm_source%3Dimpact%26utm_medium%3Daffiliate%26utm_campaign%3Dpoke%2Bcottage","Bulbasaur (Cosmos Holo)")</f>
        <v>Bulbasaur (Cosmos Holo)</v>
      </c>
      <c r="D364" s="5" t="s">
        <v>230</v>
      </c>
      <c r="E364" s="5"/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231</v>
      </c>
      <c r="C365" s="5" t="s">
        <v>232</v>
      </c>
      <c r="D365" s="5" t="s">
        <v>229</v>
      </c>
      <c r="E365" s="5"/>
      <c r="F365" s="5" t="str">
        <f aca="false">HYPERLINK("https://www.ebay.com/sch/i.html?_nkw=Charmander+HD+Holo+151+Poster+Collection+-+HD+Holo+Scarlet+%26+Violet+Promos+SVP+047+pokemon+card&amp;_sacat=0&amp;_from=R40&amp;_trksid=p4624852.m570.l1313&amp;mkcid=1&amp;mkrid=711-53200-19255-0&amp;siteid=0&amp;campid=5339158445&amp;customid=pokecottage&amp;toolid=10001&amp;mkevt=1","FIND ON EBAY")</f>
        <v>FIND ON EBAY</v>
      </c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231</v>
      </c>
      <c r="C366" s="6" t="str">
        <f aca="false">HYPERLINK("https://partner.tcgplayer.com/c/6278691/1780961/21018?u=https%3A%2F%2Fwww.tcgplayer.com%2Fproduct%2F517272%3Futm_source%3Dimpact%26utm_medium%3Daffiliate%26utm_campaign%3Dpoke%2Bcottage","Charmander (Cosmos Holo)")</f>
        <v>Charmander (Cosmos Holo)</v>
      </c>
      <c r="D366" s="5" t="s">
        <v>230</v>
      </c>
      <c r="E366" s="5"/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233</v>
      </c>
      <c r="C367" s="5" t="s">
        <v>234</v>
      </c>
      <c r="D367" s="5" t="s">
        <v>229</v>
      </c>
      <c r="E367" s="5"/>
      <c r="F367" s="5" t="str">
        <f aca="false">HYPERLINK("https://www.ebay.com/sch/i.html?_nkw=Squirtle+HD+Holo+151+Poster+Collection+-+HD+Holo+Scarlet+%26+Violet+Promos+SVP+048+pokemon+card&amp;_sacat=0&amp;_from=R40&amp;_trksid=p4624852.m570.l1313&amp;mkcid=1&amp;mkrid=711-53200-19255-0&amp;siteid=0&amp;campid=5339158445&amp;customid=pokecottage&amp;toolid=10001&amp;mkevt=1","FIND ON EBAY")</f>
        <v>FIND ON EBAY</v>
      </c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233</v>
      </c>
      <c r="C368" s="6" t="str">
        <f aca="false">HYPERLINK("https://partner.tcgplayer.com/c/6278691/1780961/21018?u=https%3A%2F%2Fwww.tcgplayer.com%2Fproduct%2F517273%3Futm_source%3Dimpact%26utm_medium%3Daffiliate%26utm_campaign%3Dpoke%2Bcottage","Squirtle (Cosmos Holo)")</f>
        <v>Squirtle (Cosmos Holo)</v>
      </c>
      <c r="D368" s="5" t="s">
        <v>230</v>
      </c>
      <c r="E368" s="5"/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235</v>
      </c>
      <c r="C369" s="6" t="str">
        <f aca="false">HYPERLINK("https://partner.tcgplayer.com/c/6278691/1780961/21018?u=https%3A%2F%2Fwww.tcgplayer.com%2Fproduct%2F518869%3Futm_source%3Dimpact%26utm_medium%3Daffiliate%26utm_campaign%3Dpoke%2Bcottage","Zapdos ex")</f>
        <v>Zapdos ex</v>
      </c>
      <c r="D369" s="5" t="s">
        <v>236</v>
      </c>
      <c r="E369" s="5"/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237</v>
      </c>
      <c r="C370" s="6" t="str">
        <f aca="false">HYPERLINK("https://partner.tcgplayer.com/c/6278691/1780961/21018?u=https%3A%2F%2Fwww.tcgplayer.com%2Fproduct%2F518868%3Futm_source%3Dimpact%26utm_medium%3Daffiliate%26utm_campaign%3Dpoke%2Bcottage","Alakazam ex (with Stars)")</f>
        <v>Alakazam ex (with Stars)</v>
      </c>
      <c r="D370" s="5" t="s">
        <v>238</v>
      </c>
      <c r="E370" s="5"/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237</v>
      </c>
      <c r="C371" s="6" t="str">
        <f aca="false">HYPERLINK("https://partner.tcgplayer.com/c/6278691/1780961/21018?u=https%3A%2F%2Fwww.tcgplayer.com%2Fproduct%2F518868%3Futm_source%3Dimpact%26utm_medium%3Daffiliate%26utm_campaign%3Dpoke%2Bcottage","Alakazam ex (without Stars)")</f>
        <v>Alakazam ex (without Stars)</v>
      </c>
      <c r="D371" s="5" t="s">
        <v>239</v>
      </c>
      <c r="E371" s="5"/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240</v>
      </c>
      <c r="C372" s="6" t="str">
        <f aca="false">HYPERLINK("https://partner.tcgplayer.com/c/6278691/1780961/21018?u=https%3A%2F%2Fwww.tcgplayer.com%2Fproduct%2F517175%3Futm_source%3Dimpact%26utm_medium%3Daffiliate%26utm_campaign%3Dpoke%2Bcottage","Snorlax")</f>
        <v>Snorlax</v>
      </c>
      <c r="D372" s="5" t="s">
        <v>241</v>
      </c>
      <c r="E372" s="5"/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240</v>
      </c>
      <c r="C373" s="6" t="str">
        <f aca="false">HYPERLINK("https://partner.tcgplayer.com/c/6278691/1780961/21018?u=https%3A%2F%2Fwww.tcgplayer.com%2Fproduct%2F517270%3Futm_source%3Dimpact%26utm_medium%3Daffiliate%26utm_campaign%3Dpoke%2Bcottage","Snorlax")</f>
        <v>Snorlax</v>
      </c>
      <c r="D373" s="5" t="s">
        <v>242</v>
      </c>
      <c r="E373" s="5"/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243</v>
      </c>
      <c r="C374" s="6" t="str">
        <f aca="false">HYPERLINK("https://partner.tcgplayer.com/c/6278691/1780961/21018?u=https%3A%2F%2Fwww.tcgplayer.com%2Fproduct%2F518872%3Futm_source%3Dimpact%26utm_medium%3Daffiliate%26utm_campaign%3Dpoke%2Bcottage","Mewtwo")</f>
        <v>Mewtwo</v>
      </c>
      <c r="D374" s="5" t="s">
        <v>244</v>
      </c>
      <c r="E374" s="5"/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245</v>
      </c>
      <c r="C375" s="6" t="str">
        <f aca="false">HYPERLINK("https://partner.tcgplayer.com/c/6278691/1780961/21018?u=https%3A%2F%2Fwww.tcgplayer.com%2Fproduct%2F518871%3Futm_source%3Dimpact%26utm_medium%3Daffiliate%26utm_campaign%3Dpoke%2Bcottage","Mew ex")</f>
        <v>Mew ex</v>
      </c>
      <c r="D375" s="5" t="s">
        <v>244</v>
      </c>
      <c r="E375" s="5"/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246</v>
      </c>
      <c r="C376" s="6" t="str">
        <f aca="false">HYPERLINK("https://partner.tcgplayer.com/c/6278691/1780961/21018?u=https%3A%2F%2Fwww.tcgplayer.com%2Fproduct%2F519482%3Futm_source%3Dimpact%26utm_medium%3Daffiliate%26utm_campaign%3Dpoke%2Bcottage","Kangaskhan ex")</f>
        <v>Kangaskhan ex</v>
      </c>
      <c r="D376" s="5" t="s">
        <v>247</v>
      </c>
      <c r="E376" s="5"/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248</v>
      </c>
      <c r="C377" s="6" t="str">
        <f aca="false">HYPERLINK("https://partner.tcgplayer.com/c/6278691/1780961/21018?u=https%3A%2F%2Fwww.tcgplayer.com%2Fproduct%2F521697%3Futm_source%3Dimpact%26utm_medium%3Daffiliate%26utm_campaign%3Dpoke%2Bcottage","Charizard ex")</f>
        <v>Charizard ex</v>
      </c>
      <c r="D377" s="5" t="s">
        <v>249</v>
      </c>
      <c r="E377" s="5"/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7</v>
      </c>
      <c r="C378" s="6" t="str">
        <f aca="false">HYPERLINK("https://partner.tcgplayer.com/c/6278691/1780961/21018?u=https%3A%2F%2Fwww.tcgplayer.com%2Fproduct%2F587935%3Futm_source%3Dimpact%26utm_medium%3Daffiliate%26utm_campaign%3Dpoke%2Bcottage","Bulbasaur - Reverse (Cosmos Holo)")</f>
        <v>Bulbasaur - Reverse (Cosmos Holo)</v>
      </c>
      <c r="D378" s="5" t="s">
        <v>250</v>
      </c>
      <c r="E378" s="5"/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7</v>
      </c>
      <c r="C379" s="6" t="str">
        <f aca="false">HYPERLINK("https://partner.tcgplayer.com/c/6278691/1780961/21018?u=https%3A%2F%2Fwww.tcgplayer.com%2Fproduct%2F517558%3Futm_source%3Dimpact%26utm_medium%3Daffiliate%26utm_campaign%3Dpoke%2Bcottage","Bulbasaur")</f>
        <v>Bulbasaur</v>
      </c>
      <c r="D379" s="5" t="s">
        <v>251</v>
      </c>
      <c r="E379" s="5"/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17</v>
      </c>
      <c r="C380" s="6" t="str">
        <f aca="false">HYPERLINK("https://partner.tcgplayer.com/c/6278691/1780961/21018?u=https%3A%2F%2Fwww.tcgplayer.com%2Fproduct%2F587936%3Futm_source%3Dimpact%26utm_medium%3Daffiliate%26utm_campaign%3Dpoke%2Bcottage","Charmander - Reverse (Cosmos Holo)")</f>
        <v>Charmander - Reverse (Cosmos Holo)</v>
      </c>
      <c r="D380" s="5" t="s">
        <v>250</v>
      </c>
      <c r="E380" s="5"/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17</v>
      </c>
      <c r="C381" s="6" t="str">
        <f aca="false">HYPERLINK("https://partner.tcgplayer.com/c/6278691/1780961/21018?u=https%3A%2F%2Fwww.tcgplayer.com%2Fproduct%2F586830%3Futm_source%3Dimpact%26utm_medium%3Daffiliate%26utm_campaign%3Dpoke%2Bcottage","Charmander (Cosmos Holo)")</f>
        <v>Charmander (Cosmos Holo)</v>
      </c>
      <c r="D381" s="5" t="s">
        <v>252</v>
      </c>
      <c r="E381" s="5"/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17</v>
      </c>
      <c r="C382" s="6" t="str">
        <f aca="false">HYPERLINK("https://partner.tcgplayer.com/c/6278691/1780961/21018?u=https%3A%2F%2Fwww.tcgplayer.com%2Fproduct%2F531251%3Futm_source%3Dimpact%26utm_medium%3Daffiliate%26utm_campaign%3Dpoke%2Bcottage","Charmander")</f>
        <v>Charmander</v>
      </c>
      <c r="D382" s="5" t="s">
        <v>253</v>
      </c>
      <c r="E382" s="5"/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17</v>
      </c>
      <c r="C383" s="6" t="str">
        <f aca="false">HYPERLINK("https://partner.tcgplayer.com/c/6278691/1780961/21018?u=https%3A%2F%2Fwww.tcgplayer.com%2Fproduct%2F517557%3Futm_source%3Dimpact%26utm_medium%3Daffiliate%26utm_campaign%3Dpoke%2Bcottage","Charmander")</f>
        <v>Charmander</v>
      </c>
      <c r="D383" s="5" t="s">
        <v>254</v>
      </c>
      <c r="E383" s="5"/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18</v>
      </c>
      <c r="C384" s="6" t="str">
        <f aca="false">HYPERLINK("https://partner.tcgplayer.com/c/6278691/1780961/21018?u=https%3A%2F%2Fwww.tcgplayer.com%2Fproduct%2F586829%3Futm_source%3Dimpact%26utm_medium%3Daffiliate%26utm_campaign%3Dpoke%2Bcottage","Charmeleon (Cosmos Holo)")</f>
        <v>Charmeleon (Cosmos Holo)</v>
      </c>
      <c r="D384" s="5" t="s">
        <v>252</v>
      </c>
      <c r="E384" s="5"/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20</v>
      </c>
      <c r="C385" s="6" t="str">
        <f aca="false">HYPERLINK("https://partner.tcgplayer.com/c/6278691/1780961/21018?u=https%3A%2F%2Fwww.tcgplayer.com%2Fproduct%2F587937%3Futm_source%3Dimpact%26utm_medium%3Daffiliate%26utm_campaign%3Dpoke%2Bcottage","Squirtle - Reverse (Cosmos Holo)")</f>
        <v>Squirtle - Reverse (Cosmos Holo)</v>
      </c>
      <c r="D385" s="5" t="s">
        <v>250</v>
      </c>
      <c r="E385" s="5"/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20</v>
      </c>
      <c r="C386" s="6" t="str">
        <f aca="false">HYPERLINK("https://partner.tcgplayer.com/c/6278691/1780961/21018?u=https%3A%2F%2Fwww.tcgplayer.com%2Fproduct%2F520796%3Futm_source%3Dimpact%26utm_medium%3Daffiliate%26utm_campaign%3Dpoke%2Bcottage","Squirtle")</f>
        <v>Squirtle</v>
      </c>
      <c r="D386" s="5" t="s">
        <v>255</v>
      </c>
      <c r="E386" s="5"/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22</v>
      </c>
      <c r="C387" s="6" t="str">
        <f aca="false">HYPERLINK("https://partner.tcgplayer.com/c/6278691/1780961/21018?u=https%3A%2F%2Fwww.tcgplayer.com%2Fproduct%2F502551%3Futm_source%3Dimpact%26utm_medium%3Daffiliate%26utm_campaign%3Dpoke%2Bcottage","Blastoise ex")</f>
        <v>Blastoise ex</v>
      </c>
      <c r="D387" s="5" t="s">
        <v>256</v>
      </c>
      <c r="E387" s="5"/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30</v>
      </c>
      <c r="C388" s="6" t="str">
        <f aca="false">HYPERLINK("https://partner.tcgplayer.com/c/6278691/1780961/21018?u=https%3A%2F%2Fwww.tcgplayer.com%2Fproduct%2F605076%3Futm_source%3Dimpact%26utm_medium%3Daffiliate%26utm_campaign%3Dpoke%2Bcottage","Pidgey")</f>
        <v>Pidgey</v>
      </c>
      <c r="D388" s="5" t="s">
        <v>257</v>
      </c>
      <c r="E388" s="5"/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39</v>
      </c>
      <c r="C389" s="6" t="str">
        <f aca="false">HYPERLINK("https://partner.tcgplayer.com/c/6278691/1780961/21018?u=https%3A%2F%2Fwww.tcgplayer.com%2Fproduct%2F587938%3Futm_source%3Dimpact%26utm_medium%3Daffiliate%26utm_campaign%3Dpoke%2Bcottage","Pikachu - Reverse (Cosmos Holo)")</f>
        <v>Pikachu - Reverse (Cosmos Holo)</v>
      </c>
      <c r="D389" s="5" t="s">
        <v>250</v>
      </c>
      <c r="E389" s="5"/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39</v>
      </c>
      <c r="C390" s="6" t="str">
        <f aca="false">HYPERLINK("https://partner.tcgplayer.com/c/6278691/1780961/21018?u=https%3A%2F%2Fwww.tcgplayer.com%2Fproduct%2F650942%3Futm_source%3Dimpact%26utm_medium%3Daffiliate%26utm_campaign%3Dpoke%2Bcottage","Pikachu")</f>
        <v>Pikachu</v>
      </c>
      <c r="D390" s="5" t="s">
        <v>258</v>
      </c>
      <c r="E390" s="5"/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39</v>
      </c>
      <c r="C391" s="6" t="str">
        <f aca="false">HYPERLINK("https://partner.tcgplayer.com/c/6278691/1780961/21018?u=https%3A%2F%2Fwww.tcgplayer.com%2Fproduct%2F559566%3Futm_source%3Dimpact%26utm_medium%3Daffiliate%26utm_campaign%3Dpoke%2Bcottage","Pikachu")</f>
        <v>Pikachu</v>
      </c>
      <c r="D391" s="5" t="s">
        <v>259</v>
      </c>
      <c r="E391" s="5"/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40</v>
      </c>
      <c r="C392" s="6" t="str">
        <f aca="false">HYPERLINK("https://partner.tcgplayer.com/c/6278691/1780961/21018?u=https%3A%2F%2Fwww.tcgplayer.com%2Fproduct%2F662074%3Futm_source%3Dimpact%26utm_medium%3Daffiliate%26utm_campaign%3Dpoke%2Bcottage","Raichu (Cosmos Holo)")</f>
        <v>Raichu (Cosmos Holo)</v>
      </c>
      <c r="D392" s="5" t="s">
        <v>260</v>
      </c>
      <c r="E392" s="5"/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59</v>
      </c>
      <c r="C393" s="6" t="str">
        <f aca="false">HYPERLINK("https://partner.tcgplayer.com/c/6278691/1780961/21018?u=https%3A%2F%2Fwww.tcgplayer.com%2Fproduct%2F604897%3Futm_source%3Dimpact%26utm_medium%3Daffiliate%26utm_campaign%3Dpoke%2Bcottage","Vileplume (Non-Holo)")</f>
        <v>Vileplume (Non-Holo)</v>
      </c>
      <c r="D393" s="5" t="s">
        <v>261</v>
      </c>
      <c r="E393" s="5"/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77</v>
      </c>
      <c r="C394" s="5" t="s">
        <v>262</v>
      </c>
      <c r="D394" s="5" t="s">
        <v>263</v>
      </c>
      <c r="E394" s="5"/>
      <c r="F394" s="5" t="str">
        <f aca="false">HYPERLINK("https://www.ebay.com/sch/i.html?_nkw=Abra+HD+Holo+Alakazam+ex+Collection+Box+-+HD+Holo+151+063%2F165+pokemon+card&amp;_sacat=0&amp;_from=R40&amp;_trksid=p4624852.m570.l1313&amp;mkcid=1&amp;mkrid=711-53200-19255-0&amp;siteid=0&amp;campid=5339158445&amp;customid=pokecottage&amp;toolid=10001&amp;mkevt=1","FIND ON EBAY")</f>
        <v>FIND ON EBAY</v>
      </c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77</v>
      </c>
      <c r="C395" s="6" t="str">
        <f aca="false">HYPERLINK("https://partner.tcgplayer.com/c/6278691/1780961/21018?u=https%3A%2F%2Fwww.tcgplayer.com%2Fproduct%2F520727%3Futm_source%3Dimpact%26utm_medium%3Daffiliate%26utm_campaign%3Dpoke%2Bcottage","Abra (Cosmos Holo)")</f>
        <v>Abra (Cosmos Holo)</v>
      </c>
      <c r="D395" s="5" t="s">
        <v>264</v>
      </c>
      <c r="E395" s="5"/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78</v>
      </c>
      <c r="C396" s="6" t="str">
        <f aca="false">HYPERLINK("https://partner.tcgplayer.com/c/6278691/1780961/21018?u=https%3A%2F%2Fwww.tcgplayer.com%2Fproduct%2F520725%3Futm_source%3Dimpact%26utm_medium%3Daffiliate%26utm_campaign%3Dpoke%2Bcottage","Kadabra (Cosmos Holo)")</f>
        <v>Kadabra (Cosmos Holo)</v>
      </c>
      <c r="D396" s="5" t="s">
        <v>264</v>
      </c>
      <c r="E396" s="5"/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82</v>
      </c>
      <c r="C397" s="6" t="str">
        <f aca="false">HYPERLINK("https://partner.tcgplayer.com/c/6278691/1780961/21018?u=https%3A%2F%2Fwww.tcgplayer.com%2Fproduct%2F662070%3Futm_source%3Dimpact%26utm_medium%3Daffiliate%26utm_campaign%3Dpoke%2Bcottage","Machamp (Cosmos Holo)")</f>
        <v>Machamp (Cosmos Holo)</v>
      </c>
      <c r="D397" s="5" t="s">
        <v>260</v>
      </c>
      <c r="E397" s="5"/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99</v>
      </c>
      <c r="C398" s="6" t="str">
        <f aca="false">HYPERLINK("https://partner.tcgplayer.com/c/6278691/1780961/21018?u=https%3A%2F%2Fwww.tcgplayer.com%2Fproduct%2F565454%3Futm_source%3Dimpact%26utm_medium%3Daffiliate%26utm_campaign%3Dpoke%2Bcottage","Dodrio - Play! Stamp")</f>
        <v>Dodrio - Play! Stamp</v>
      </c>
      <c r="D398" s="5" t="s">
        <v>265</v>
      </c>
      <c r="E398" s="5"/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108</v>
      </c>
      <c r="C399" s="6" t="str">
        <f aca="false">HYPERLINK("https://partner.tcgplayer.com/c/6278691/1780961/21018?u=https%3A%2F%2Fwww.tcgplayer.com%2Fproduct%2F662072%3Futm_source%3Dimpact%26utm_medium%3Daffiliate%26utm_campaign%3Dpoke%2Bcottage","Gengar (Cosmos Holo)")</f>
        <v>Gengar (Cosmos Holo)</v>
      </c>
      <c r="D399" s="5" t="s">
        <v>260</v>
      </c>
      <c r="E399" s="5"/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114</v>
      </c>
      <c r="C400" s="6" t="str">
        <f aca="false">HYPERLINK("https://partner.tcgplayer.com/c/6278691/1780961/21018?u=https%3A%2F%2Fwww.tcgplayer.com%2Fproduct%2F617018%3Futm_source%3Dimpact%26utm_medium%3Daffiliate%26utm_campaign%3Dpoke%2Bcottage","Voltorb")</f>
        <v>Voltorb</v>
      </c>
      <c r="D400" s="5" t="s">
        <v>266</v>
      </c>
      <c r="E400" s="5"/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114</v>
      </c>
      <c r="C401" s="6" t="str">
        <f aca="false">HYPERLINK("https://partner.tcgplayer.com/c/6278691/1780961/21018?u=https%3A%2F%2Fwww.tcgplayer.com%2Fproduct%2F617018%3Futm_source%3Dimpact%26utm_medium%3Daffiliate%26utm_campaign%3Dpoke%2Bcottage","Voltorb")</f>
        <v>Voltorb</v>
      </c>
      <c r="D401" s="5" t="s">
        <v>267</v>
      </c>
      <c r="E401" s="5"/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139</v>
      </c>
      <c r="C402" s="5" t="s">
        <v>268</v>
      </c>
      <c r="D402" s="5" t="s">
        <v>269</v>
      </c>
      <c r="E402" s="5"/>
      <c r="F402" s="5" t="str">
        <f aca="false">HYPERLINK("https://www.ebay.com/sch/i.html?_nkw=Electabuzz+HD+Holo+Zapdos+ex+Collection+-+HD+Holo+151+125%2F165+pokemon+card&amp;_sacat=0&amp;_from=R40&amp;_trksid=p4624852.m570.l1313&amp;mkcid=1&amp;mkrid=711-53200-19255-0&amp;siteid=0&amp;campid=5339158445&amp;customid=pokecottage&amp;toolid=10001&amp;mkevt=1","FIND ON EBAY")</f>
        <v>FIND ON EBAY</v>
      </c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139</v>
      </c>
      <c r="C403" s="6" t="str">
        <f aca="false">HYPERLINK("https://partner.tcgplayer.com/c/6278691/1780961/21018?u=https%3A%2F%2Fwww.tcgplayer.com%2Fproduct%2F520726%3Futm_source%3Dimpact%26utm_medium%3Daffiliate%26utm_campaign%3Dpoke%2Bcottage","Electabuzz (Cosmos Holo)")</f>
        <v>Electabuzz (Cosmos Holo)</v>
      </c>
      <c r="D403" s="5" t="s">
        <v>236</v>
      </c>
      <c r="E403" s="5"/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146</v>
      </c>
      <c r="C404" s="6" t="str">
        <f aca="false">HYPERLINK("https://partner.tcgplayer.com/c/6278691/1780961/21018?u=https%3A%2F%2Fwww.tcgplayer.com%2Fproduct%2F619077%3Futm_source%3Dimpact%26utm_medium%3Daffiliate%26utm_campaign%3Dpoke%2Bcottage","Ditto")</f>
        <v>Ditto</v>
      </c>
      <c r="D404" s="5" t="s">
        <v>270</v>
      </c>
      <c r="E404" s="5"/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146</v>
      </c>
      <c r="C405" s="5" t="s">
        <v>271</v>
      </c>
      <c r="D405" s="5" t="s">
        <v>272</v>
      </c>
      <c r="E405" s="5"/>
      <c r="F405" s="5" t="str">
        <f aca="false">HYPERLINK("https://www.ebay.com/sch/i.html?_nkw=Ditto+World+Championships+Deck+2025+JP+Raging+Bolt+by+Yuya+Okita+151+132%2F165+pokemon+card&amp;_sacat=0&amp;_from=R40&amp;_trksid=p4624852.m570.l1313&amp;mkcid=1&amp;mkrid=711-53200-19255-0&amp;siteid=0&amp;campid=5339158445&amp;customid=pokecottage&amp;toolid=10001&amp;mkevt=1","FIND ON EBAY")</f>
        <v>FIND ON EBAY</v>
      </c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146</v>
      </c>
      <c r="C406" s="6" t="str">
        <f aca="false">HYPERLINK("https://partner.tcgplayer.com/c/6278691/1780961/21018?u=https%3A%2F%2Fwww.tcgplayer.com%2Fproduct%2F591109%3Futm_source%3Dimpact%26utm_medium%3Daffiliate%26utm_campaign%3Dpoke%2Bcottage","Ditto (Non-Holo)")</f>
        <v>Ditto (Non-Holo)</v>
      </c>
      <c r="D406" s="5" t="s">
        <v>273</v>
      </c>
      <c r="E406" s="5"/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147</v>
      </c>
      <c r="C407" s="6" t="str">
        <f aca="false">HYPERLINK("https://partner.tcgplayer.com/c/6278691/1780961/21018?u=https%3A%2F%2Fwww.tcgplayer.com%2Fproduct%2F650951%3Futm_source%3Dimpact%26utm_medium%3Daffiliate%26utm_campaign%3Dpoke%2Bcottage","Eevee")</f>
        <v>Eevee</v>
      </c>
      <c r="D407" s="5" t="s">
        <v>258</v>
      </c>
      <c r="E407" s="5"/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147</v>
      </c>
      <c r="C408" s="6" t="str">
        <f aca="false">HYPERLINK("https://partner.tcgplayer.com/c/6278691/1780961/21018?u=https%3A%2F%2Fwww.tcgplayer.com%2Fproduct%2F559565%3Futm_source%3Dimpact%26utm_medium%3Daffiliate%26utm_campaign%3Dpoke%2Bcottage","Eevee")</f>
        <v>Eevee</v>
      </c>
      <c r="D408" s="5" t="s">
        <v>259</v>
      </c>
      <c r="E408" s="5"/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160</v>
      </c>
      <c r="C409" s="6" t="str">
        <f aca="false">HYPERLINK("https://partner.tcgplayer.com/c/6278691/1780961/21018?u=https%3A%2F%2Fwww.tcgplayer.com%2Fproduct%2F598050%3Futm_source%3Dimpact%26utm_medium%3Daffiliate%26utm_campaign%3Dpoke%2Bcottage","Moltres (Non-Holo)")</f>
        <v>Moltres (Non-Holo)</v>
      </c>
      <c r="D409" s="5" t="s">
        <v>274</v>
      </c>
      <c r="E409" s="5"/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163</v>
      </c>
      <c r="C410" s="6" t="str">
        <f aca="false">HYPERLINK("https://partner.tcgplayer.com/c/6278691/1780961/21018?u=https%3A%2F%2Fwww.tcgplayer.com%2Fproduct%2F662053%3Futm_source%3Dimpact%26utm_medium%3Daffiliate%26utm_campaign%3Dpoke%2Bcottage","Dragonite (Cosmos Holo)")</f>
        <v>Dragonite (Cosmos Holo)</v>
      </c>
      <c r="D410" s="5" t="s">
        <v>260</v>
      </c>
      <c r="E410" s="5"/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165</v>
      </c>
      <c r="C411" s="5" t="s">
        <v>275</v>
      </c>
      <c r="D411" s="5" t="s">
        <v>276</v>
      </c>
      <c r="E411" s="5"/>
      <c r="F411" s="5" t="str">
        <f aca="false">HYPERLINK("https://www.ebay.com/sch/i.html?_nkw=Mew+ex+Ultra+League+Ball+151+151+pokemon+card&amp;_sacat=0&amp;_from=R40&amp;_trksid=p4624852.m570.l1313&amp;mkcid=1&amp;mkrid=711-53200-19255-0&amp;siteid=0&amp;campid=5339158445&amp;customid=pokecottage&amp;toolid=10001&amp;mkevt=1","FIND ON EBAY")</f>
        <v>FIND ON EBAY</v>
      </c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165</v>
      </c>
      <c r="C412" s="6" t="str">
        <f aca="false">HYPERLINK("https://partner.tcgplayer.com/c/6278691/1780961/21018?u=https%3A%2F%2Fwww.tcgplayer.com%2Fproduct%2F637592%3Futm_source%3Dimpact%26utm_medium%3Daffiliate%26utm_campaign%3Dpoke%2Bcottage","Mew ex")</f>
        <v>Mew ex</v>
      </c>
      <c r="D412" s="5" t="s">
        <v>277</v>
      </c>
      <c r="E412" s="5"/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165</v>
      </c>
      <c r="C413" s="6" t="str">
        <f aca="false">HYPERLINK("https://partner.tcgplayer.com/c/6278691/1780961/21018?u=https%3A%2F%2Fwww.tcgplayer.com%2Fproduct%2F637593%3Futm_source%3Dimpact%26utm_medium%3Daffiliate%26utm_campaign%3Dpoke%2Bcottage","Mew ex")</f>
        <v>Mew ex</v>
      </c>
      <c r="D413" s="5" t="s">
        <v>278</v>
      </c>
      <c r="E413" s="5"/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165</v>
      </c>
      <c r="C414" s="6" t="str">
        <f aca="false">HYPERLINK("https://partner.tcgplayer.com/c/6278691/1780961/21018?u=https%3A%2F%2Fwww.tcgplayer.com%2Fproduct%2F565479%3Futm_source%3Dimpact%26utm_medium%3Daffiliate%26utm_campaign%3Dpoke%2Bcottage","Mew ex")</f>
        <v>Mew ex</v>
      </c>
      <c r="D414" s="5" t="s">
        <v>270</v>
      </c>
      <c r="E414" s="5"/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165</v>
      </c>
      <c r="C415" s="5" t="s">
        <v>275</v>
      </c>
      <c r="D415" s="5" t="s">
        <v>279</v>
      </c>
      <c r="E415" s="5"/>
      <c r="F415" s="5" t="str">
        <f aca="false">HYPERLINK("https://www.ebay.com/sch/i.html?_nkw=Mew+ex+World+Championships+Deck+2025+Flutter+Devo+Gardevoir+by+Riley+McKay+151+151%2F165+pokemon+card&amp;_sacat=0&amp;_from=R40&amp;_trksid=p4624852.m570.l1313&amp;mkcid=1&amp;mkrid=711-53200-19255-0&amp;siteid=0&amp;campid=5339158445&amp;customid=pokecottage&amp;toolid=10001&amp;mkevt=1","FIND ON EBAY")</f>
        <v>FIND ON EBAY</v>
      </c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175</v>
      </c>
      <c r="C416" s="6" t="str">
        <f aca="false">HYPERLINK("https://partner.tcgplayer.com/c/6278691/1780961/21018?u=https%3A%2F%2Fwww.tcgplayer.com%2Fproduct%2F637594%3Futm_source%3Dimpact%26utm_medium%3Daffiliate%26utm_campaign%3Dpoke%2Bcottage","Giovanni's Charisma")</f>
        <v>Giovanni's Charisma</v>
      </c>
      <c r="D416" s="5" t="s">
        <v>280</v>
      </c>
      <c r="E416" s="5"/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222</v>
      </c>
      <c r="C417" s="6" t="str">
        <f aca="false">HYPERLINK("https://partner.tcgplayer.com/c/6278691/1780961/21018?u=https%3A%2F%2Fwww.tcgplayer.com%2Fproduct%2F519481%3Futm_source%3Dimpact%26utm_medium%3Daffiliate%26utm_campaign%3Dpoke%2Bcottage","Mew ex (Metal)")</f>
        <v>Mew ex (Metal)</v>
      </c>
      <c r="D417" s="5" t="s">
        <v>244</v>
      </c>
      <c r="E417" s="5"/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281</v>
      </c>
      <c r="C418" s="6" t="str">
        <f aca="false">HYPERLINK("https://partner.tcgplayer.com/c/6278691/1780961/21018?u=https%3A%2F%2Fwww.tcgplayer.com%2Fproduct%2F517177%3Futm_source%3Dimpact%26utm_medium%3Daffiliate%26utm_campaign%3Dpoke%2Bcottage","Basic Grass Energy (Cosmos Holo)")</f>
        <v>Basic Grass Energy (Cosmos Holo)</v>
      </c>
      <c r="D418" s="5" t="s">
        <v>282</v>
      </c>
      <c r="E418" s="5"/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281</v>
      </c>
      <c r="C419" s="5" t="s">
        <v>283</v>
      </c>
      <c r="D419" s="5" t="s">
        <v>284</v>
      </c>
      <c r="E419" s="5"/>
      <c r="F419" s="5" t="str">
        <f aca="false">HYPERLINK("https://www.ebay.com/sch/i.html?_nkw=Basic+Grass+Energy+HD+Holo+HD+Holo+Scarlet+%26+Violet+Energies+SVE+001+pokemon+card&amp;_sacat=0&amp;_from=R40&amp;_trksid=p4624852.m570.l1313&amp;mkcid=1&amp;mkrid=711-53200-19255-0&amp;siteid=0&amp;campid=5339158445&amp;customid=pokecottage&amp;toolid=10001&amp;mkevt=1","FIND ON EBAY")</f>
        <v>FIND ON EBAY</v>
      </c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281</v>
      </c>
      <c r="C420" s="6" t="str">
        <f aca="false">HYPERLINK("https://partner.tcgplayer.com/c/6278691/1780961/21018?u=https%3A%2F%2Fwww.tcgplayer.com%2Fproduct%2F599455%3Futm_source%3Dimpact%26utm_medium%3Daffiliate%26utm_campaign%3Dpoke%2Bcottage","Basic Grass Energy (Professor Program)")</f>
        <v>Basic Grass Energy (Professor Program)</v>
      </c>
      <c r="D420" s="5" t="s">
        <v>266</v>
      </c>
      <c r="E420" s="5"/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285</v>
      </c>
      <c r="C421" s="6" t="str">
        <f aca="false">HYPERLINK("https://partner.tcgplayer.com/c/6278691/1780961/21018?u=https%3A%2F%2Fwww.tcgplayer.com%2Fproduct%2F517178%3Futm_source%3Dimpact%26utm_medium%3Daffiliate%26utm_campaign%3Dpoke%2Bcottage","Basic Fire Energy (Cosmos Holo)")</f>
        <v>Basic Fire Energy (Cosmos Holo)</v>
      </c>
      <c r="D421" s="5" t="s">
        <v>282</v>
      </c>
      <c r="E421" s="5"/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285</v>
      </c>
      <c r="C422" s="5" t="s">
        <v>286</v>
      </c>
      <c r="D422" s="5" t="s">
        <v>284</v>
      </c>
      <c r="E422" s="5"/>
      <c r="F422" s="5" t="str">
        <f aca="false">HYPERLINK("https://www.ebay.com/sch/i.html?_nkw=Basic+Fire+Energy+HD+Holo+HD+Holo+Scarlet+%26+Violet+Energies+SVE+002+pokemon+card&amp;_sacat=0&amp;_from=R40&amp;_trksid=p4624852.m570.l1313&amp;mkcid=1&amp;mkrid=711-53200-19255-0&amp;siteid=0&amp;campid=5339158445&amp;customid=pokecottage&amp;toolid=10001&amp;mkevt=1","FIND ON EBAY")</f>
        <v>FIND ON EBAY</v>
      </c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285</v>
      </c>
      <c r="C423" s="6" t="str">
        <f aca="false">HYPERLINK("https://partner.tcgplayer.com/c/6278691/1780961/21018?u=https%3A%2F%2Fwww.tcgplayer.com%2Fproduct%2F599454%3Futm_source%3Dimpact%26utm_medium%3Daffiliate%26utm_campaign%3Dpoke%2Bcottage","Basic Fire Energy (Professor Program)")</f>
        <v>Basic Fire Energy (Professor Program)</v>
      </c>
      <c r="D423" s="5" t="s">
        <v>266</v>
      </c>
      <c r="E423" s="5"/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287</v>
      </c>
      <c r="C424" s="6" t="str">
        <f aca="false">HYPERLINK("https://partner.tcgplayer.com/c/6278691/1780961/21018?u=https%3A%2F%2Fwww.tcgplayer.com%2Fproduct%2F517179%3Futm_source%3Dimpact%26utm_medium%3Daffiliate%26utm_campaign%3Dpoke%2Bcottage","Basic Water Energy (Cosmos Holo)")</f>
        <v>Basic Water Energy (Cosmos Holo)</v>
      </c>
      <c r="D424" s="5" t="s">
        <v>282</v>
      </c>
      <c r="E424" s="5"/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287</v>
      </c>
      <c r="C425" s="5" t="s">
        <v>288</v>
      </c>
      <c r="D425" s="5" t="s">
        <v>284</v>
      </c>
      <c r="E425" s="5"/>
      <c r="F425" s="5" t="str">
        <f aca="false">HYPERLINK("https://www.ebay.com/sch/i.html?_nkw=Basic+Water+Energy+HD+Holo+HD+Holo+Scarlet+%26+Violet+Energies+SVE+003+pokemon+card&amp;_sacat=0&amp;_from=R40&amp;_trksid=p4624852.m570.l1313&amp;mkcid=1&amp;mkrid=711-53200-19255-0&amp;siteid=0&amp;campid=5339158445&amp;customid=pokecottage&amp;toolid=10001&amp;mkevt=1","FIND ON EBAY")</f>
        <v>FIND ON EBAY</v>
      </c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287</v>
      </c>
      <c r="C426" s="6" t="str">
        <f aca="false">HYPERLINK("https://partner.tcgplayer.com/c/6278691/1780961/21018?u=https%3A%2F%2Fwww.tcgplayer.com%2Fproduct%2F599458%3Futm_source%3Dimpact%26utm_medium%3Daffiliate%26utm_campaign%3Dpoke%2Bcottage","Basic Water Energy (Professor Program)")</f>
        <v>Basic Water Energy (Professor Program)</v>
      </c>
      <c r="D426" s="5" t="s">
        <v>266</v>
      </c>
      <c r="E426" s="5"/>
      <c r="F426" s="5"/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289</v>
      </c>
      <c r="C427" s="6" t="str">
        <f aca="false">HYPERLINK("https://partner.tcgplayer.com/c/6278691/1780961/21018?u=https%3A%2F%2Fwww.tcgplayer.com%2Fproduct%2F517180%3Futm_source%3Dimpact%26utm_medium%3Daffiliate%26utm_campaign%3Dpoke%2Bcottage","Basic Lightning Energy (Cosmos Holo)")</f>
        <v>Basic Lightning Energy (Cosmos Holo)</v>
      </c>
      <c r="D427" s="5" t="s">
        <v>282</v>
      </c>
      <c r="E427" s="5"/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289</v>
      </c>
      <c r="C428" s="5" t="s">
        <v>290</v>
      </c>
      <c r="D428" s="5" t="s">
        <v>284</v>
      </c>
      <c r="E428" s="5"/>
      <c r="F428" s="5" t="str">
        <f aca="false">HYPERLINK("https://www.ebay.com/sch/i.html?_nkw=Basic+Lightning+Energy+HD+Holo+HD+Holo+Scarlet+%26+Violet+Energies+SVE+004+pokemon+card&amp;_sacat=0&amp;_from=R40&amp;_trksid=p4624852.m570.l1313&amp;mkcid=1&amp;mkrid=711-53200-19255-0&amp;siteid=0&amp;campid=5339158445&amp;customid=pokecottage&amp;toolid=10001&amp;mkevt=1","FIND ON EBAY")</f>
        <v>FIND ON EBAY</v>
      </c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289</v>
      </c>
      <c r="C429" s="6" t="str">
        <f aca="false">HYPERLINK("https://partner.tcgplayer.com/c/6278691/1780961/21018?u=https%3A%2F%2Fwww.tcgplayer.com%2Fproduct%2F599456%3Futm_source%3Dimpact%26utm_medium%3Daffiliate%26utm_campaign%3Dpoke%2Bcottage","Basic Lightning Energy (Professor Program)")</f>
        <v>Basic Lightning Energy (Professor Program)</v>
      </c>
      <c r="D429" s="5" t="s">
        <v>266</v>
      </c>
      <c r="E429" s="5"/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291</v>
      </c>
      <c r="C430" s="6" t="str">
        <f aca="false">HYPERLINK("https://partner.tcgplayer.com/c/6278691/1780961/21018?u=https%3A%2F%2Fwww.tcgplayer.com%2Fproduct%2F517181%3Futm_source%3Dimpact%26utm_medium%3Daffiliate%26utm_campaign%3Dpoke%2Bcottage","Basic Psychic Energy (Cosmos Holo)")</f>
        <v>Basic Psychic Energy (Cosmos Holo)</v>
      </c>
      <c r="D430" s="5" t="s">
        <v>282</v>
      </c>
      <c r="E430" s="5"/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291</v>
      </c>
      <c r="C431" s="5" t="s">
        <v>292</v>
      </c>
      <c r="D431" s="5" t="s">
        <v>284</v>
      </c>
      <c r="E431" s="5"/>
      <c r="F431" s="5" t="str">
        <f aca="false">HYPERLINK("https://www.ebay.com/sch/i.html?_nkw=Basic+Psychic+Energy+HD+Holo+HD+Holo+Scarlet+%26+Violet+Energies+SVE+005+pokemon+card&amp;_sacat=0&amp;_from=R40&amp;_trksid=p4624852.m570.l1313&amp;mkcid=1&amp;mkrid=711-53200-19255-0&amp;siteid=0&amp;campid=5339158445&amp;customid=pokecottage&amp;toolid=10001&amp;mkevt=1","FIND ON EBAY")</f>
        <v>FIND ON EBAY</v>
      </c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291</v>
      </c>
      <c r="C432" s="6" t="str">
        <f aca="false">HYPERLINK("https://partner.tcgplayer.com/c/6278691/1780961/21018?u=https%3A%2F%2Fwww.tcgplayer.com%2Fproduct%2F599457%3Futm_source%3Dimpact%26utm_medium%3Daffiliate%26utm_campaign%3Dpoke%2Bcottage","Basic Psychic Energy (Professor Program)")</f>
        <v>Basic Psychic Energy (Professor Program)</v>
      </c>
      <c r="D432" s="5" t="s">
        <v>266</v>
      </c>
      <c r="E432" s="5"/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293</v>
      </c>
      <c r="C433" s="6" t="str">
        <f aca="false">HYPERLINK("https://partner.tcgplayer.com/c/6278691/1780961/21018?u=https%3A%2F%2Fwww.tcgplayer.com%2Fproduct%2F517182%3Futm_source%3Dimpact%26utm_medium%3Daffiliate%26utm_campaign%3Dpoke%2Bcottage","Basic Fighting Energy (Cosmos Holo)")</f>
        <v>Basic Fighting Energy (Cosmos Holo)</v>
      </c>
      <c r="D433" s="5" t="s">
        <v>282</v>
      </c>
      <c r="E433" s="5"/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293</v>
      </c>
      <c r="C434" s="5" t="s">
        <v>294</v>
      </c>
      <c r="D434" s="5" t="s">
        <v>284</v>
      </c>
      <c r="E434" s="5"/>
      <c r="F434" s="5" t="str">
        <f aca="false">HYPERLINK("https://www.ebay.com/sch/i.html?_nkw=Basic+Fighting+Energy+HD+Holo+HD+Holo+Scarlet+%26+Violet+Energies+SVE+006+pokemon+card&amp;_sacat=0&amp;_from=R40&amp;_trksid=p4624852.m570.l1313&amp;mkcid=1&amp;mkrid=711-53200-19255-0&amp;siteid=0&amp;campid=5339158445&amp;customid=pokecottage&amp;toolid=10001&amp;mkevt=1","FIND ON EBAY")</f>
        <v>FIND ON EBAY</v>
      </c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293</v>
      </c>
      <c r="C435" s="6" t="str">
        <f aca="false">HYPERLINK("https://partner.tcgplayer.com/c/6278691/1780961/21018?u=https%3A%2F%2Fwww.tcgplayer.com%2Fproduct%2F599453%3Futm_source%3Dimpact%26utm_medium%3Daffiliate%26utm_campaign%3Dpoke%2Bcottage","Basic Fighting Energy (Professor Program)")</f>
        <v>Basic Fighting Energy (Professor Program)</v>
      </c>
      <c r="D435" s="5" t="s">
        <v>266</v>
      </c>
      <c r="E435" s="5"/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295</v>
      </c>
      <c r="C436" s="6" t="str">
        <f aca="false">HYPERLINK("https://partner.tcgplayer.com/c/6278691/1780961/21018?u=https%3A%2F%2Fwww.tcgplayer.com%2Fproduct%2F517183%3Futm_source%3Dimpact%26utm_medium%3Daffiliate%26utm_campaign%3Dpoke%2Bcottage","Basic Darkness Energy (Cosmos Holo)")</f>
        <v>Basic Darkness Energy (Cosmos Holo)</v>
      </c>
      <c r="D436" s="5" t="s">
        <v>282</v>
      </c>
      <c r="E436" s="5"/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295</v>
      </c>
      <c r="C437" s="5" t="s">
        <v>296</v>
      </c>
      <c r="D437" s="5" t="s">
        <v>284</v>
      </c>
      <c r="E437" s="5"/>
      <c r="F437" s="5" t="str">
        <f aca="false">HYPERLINK("https://www.ebay.com/sch/i.html?_nkw=Basic+Darkness+Energy+HD+Holo+HD+Holo+Scarlet+%26+Violet+Energies+SVE+007+pokemon+card&amp;_sacat=0&amp;_from=R40&amp;_trksid=p4624852.m570.l1313&amp;mkcid=1&amp;mkrid=711-53200-19255-0&amp;siteid=0&amp;campid=5339158445&amp;customid=pokecottage&amp;toolid=10001&amp;mkevt=1","FIND ON EBAY")</f>
        <v>FIND ON EBAY</v>
      </c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295</v>
      </c>
      <c r="C438" s="6" t="str">
        <f aca="false">HYPERLINK("https://partner.tcgplayer.com/c/6278691/1780961/21018?u=https%3A%2F%2Fwww.tcgplayer.com%2Fproduct%2F599460%3Futm_source%3Dimpact%26utm_medium%3Daffiliate%26utm_campaign%3Dpoke%2Bcottage","Basic Darkness Energy (Professor Program)")</f>
        <v>Basic Darkness Energy (Professor Program)</v>
      </c>
      <c r="D438" s="5" t="s">
        <v>266</v>
      </c>
      <c r="E438" s="5"/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297</v>
      </c>
      <c r="C439" s="6" t="str">
        <f aca="false">HYPERLINK("https://partner.tcgplayer.com/c/6278691/1780961/21018?u=https%3A%2F%2Fwww.tcgplayer.com%2Fproduct%2F517184%3Futm_source%3Dimpact%26utm_medium%3Daffiliate%26utm_campaign%3Dpoke%2Bcottage","Basic Metal Energy (Cosmos Holo)")</f>
        <v>Basic Metal Energy (Cosmos Holo)</v>
      </c>
      <c r="D439" s="5" t="s">
        <v>282</v>
      </c>
      <c r="E439" s="5"/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297</v>
      </c>
      <c r="C440" s="5" t="s">
        <v>298</v>
      </c>
      <c r="D440" s="5" t="s">
        <v>284</v>
      </c>
      <c r="E440" s="5"/>
      <c r="F440" s="5" t="str">
        <f aca="false">HYPERLINK("https://www.ebay.com/sch/i.html?_nkw=Basic+Metal+Energy+HD+Holo+HD+Holo+Scarlet+%26+Violet+Energies+SVE+008+pokemon+card&amp;_sacat=0&amp;_from=R40&amp;_trksid=p4624852.m570.l1313&amp;mkcid=1&amp;mkrid=711-53200-19255-0&amp;siteid=0&amp;campid=5339158445&amp;customid=pokecottage&amp;toolid=10001&amp;mkevt=1","FIND ON EBAY")</f>
        <v>FIND ON EBAY</v>
      </c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297</v>
      </c>
      <c r="C441" s="6" t="str">
        <f aca="false">HYPERLINK("https://partner.tcgplayer.com/c/6278691/1780961/21018?u=https%3A%2F%2Fwww.tcgplayer.com%2Fproduct%2F599459%3Futm_source%3Dimpact%26utm_medium%3Daffiliate%26utm_campaign%3Dpoke%2Bcottage","Basic Metal Energy (Professor Program)")</f>
        <v>Basic Metal Energy (Professor Program)</v>
      </c>
      <c r="D441" s="5" t="s">
        <v>266</v>
      </c>
      <c r="E441" s="5"/>
      <c r="F441" s="5"/>
      <c r="G441" s="5"/>
      <c r="H441" s="7"/>
    </row>
    <row r="443" customFormat="false" ht="24" hidden="false" customHeight="true" outlineLevel="0" collapsed="false">
      <c r="A443" s="8" t="s">
        <v>299</v>
      </c>
      <c r="B443" s="8"/>
      <c r="C443" s="8"/>
      <c r="D443" s="8"/>
      <c r="E443" s="8"/>
      <c r="F443" s="8"/>
      <c r="G443" s="8"/>
      <c r="H443" s="8"/>
    </row>
    <row r="444" customFormat="false" ht="24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</row>
  </sheetData>
  <mergeCells count="2">
    <mergeCell ref="A362:H362"/>
    <mergeCell ref="A443:H444"/>
  </mergeCells>
  <dataValidations count="1">
    <dataValidation allowBlank="false" errorStyle="stop" operator="between" showDropDown="false" showErrorMessage="false" showInputMessage="false" sqref="A2:A441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300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HYPERLINK("https://pokecottage.com/151-master-set-guide","Download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301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302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303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301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302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