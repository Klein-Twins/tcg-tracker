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ack Bolt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<sst xmlns="http://schemas.openxmlformats.org/spreadsheetml/2006/main" count="1744" uniqueCount="231">
  <si>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</si>
  <si>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</si>
  <si>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</si>
  <si>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</si>
  <si>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</si>
  <si>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</si>
  <si>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</si>
  <si>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001/086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</si>
  <si>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</si>
  <si>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</si>
  <si>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</si>
  <si>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</si>
  <si>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Poké Ball</t>
  </si>
  <si>
    <t xml:space="preserve">Master Ball</t>
  </si>
  <si>
    <t xml:space="preserve">002/086</t>
  </si>
  <si>
    <t xml:space="preserve">003/086</t>
  </si>
  <si>
    <t xml:space="preserve">Double Rare</t>
  </si>
  <si>
    <t xml:space="preserve">Holo</t>
  </si>
  <si>
    <t xml:space="preserve">004/086</t>
  </si>
  <si>
    <t xml:space="preserve">005/086</t>
  </si>
  <si>
    <t xml:space="preserve">Uncommon</t>
  </si>
  <si>
    <t xml:space="preserve">006/086</t>
  </si>
  <si>
    <t xml:space="preserve">007/086</t>
  </si>
  <si>
    <t xml:space="preserve">008/086</t>
  </si>
  <si>
    <t xml:space="preserve">009/086</t>
  </si>
  <si>
    <t xml:space="preserve">010/086</t>
  </si>
  <si>
    <t xml:space="preserve">011/086</t>
  </si>
  <si>
    <t xml:space="preserve">012/086</t>
  </si>
  <si>
    <t xml:space="preserve">Rare</t>
  </si>
  <si>
    <t xml:space="preserve">013/086</t>
  </si>
  <si>
    <t xml:space="preserve">014/086</t>
  </si>
  <si>
    <t xml:space="preserve">015/086</t>
  </si>
  <si>
    <t xml:space="preserve">016/086</t>
  </si>
  <si>
    <t xml:space="preserve">017/086</t>
  </si>
  <si>
    <t xml:space="preserve">018/086</t>
  </si>
  <si>
    <t xml:space="preserve">019/086</t>
  </si>
  <si>
    <t xml:space="preserve">020/086</t>
  </si>
  <si>
    <t xml:space="preserve">021/086</t>
  </si>
  <si>
    <t xml:space="preserve">022/086</t>
  </si>
  <si>
    <t xml:space="preserve">023/086</t>
  </si>
  <si>
    <t xml:space="preserve">024/086</t>
  </si>
  <si>
    <t xml:space="preserve">025/086</t>
  </si>
  <si>
    <t xml:space="preserve">026/086</t>
  </si>
  <si>
    <t xml:space="preserve">027/086</t>
  </si>
  <si>
    <t xml:space="preserve">028/086</t>
  </si>
  <si>
    <t xml:space="preserve">029/086</t>
  </si>
  <si>
    <t xml:space="preserve">030/086</t>
  </si>
  <si>
    <t xml:space="preserve">031/086</t>
  </si>
  <si>
    <t xml:space="preserve">032/086</t>
  </si>
  <si>
    <t xml:space="preserve">033/086</t>
  </si>
  <si>
    <t xml:space="preserve">034/086</t>
  </si>
  <si>
    <t xml:space="preserve">035/086</t>
  </si>
  <si>
    <t xml:space="preserve">036/086</t>
  </si>
  <si>
    <t xml:space="preserve">037/086</t>
  </si>
  <si>
    <t xml:space="preserve">038/086</t>
  </si>
  <si>
    <t xml:space="preserve">039/086</t>
  </si>
  <si>
    <t xml:space="preserve">040/086</t>
  </si>
  <si>
    <t xml:space="preserve">041/086</t>
  </si>
  <si>
    <t xml:space="preserve">042/086</t>
  </si>
  <si>
    <t xml:space="preserve">043/086</t>
  </si>
  <si>
    <t xml:space="preserve">044/086</t>
  </si>
  <si>
    <t xml:space="preserve">045/086</t>
  </si>
  <si>
    <t xml:space="preserve">046/086</t>
  </si>
  <si>
    <t xml:space="preserve">047/086</t>
  </si>
  <si>
    <t xml:space="preserve">048/086</t>
  </si>
  <si>
    <t xml:space="preserve">049/086</t>
  </si>
  <si>
    <t xml:space="preserve">050/086</t>
  </si>
  <si>
    <t xml:space="preserve">051/086</t>
  </si>
  <si>
    <t xml:space="preserve">052/086</t>
  </si>
  <si>
    <t xml:space="preserve">053/086</t>
  </si>
  <si>
    <t xml:space="preserve">054/086</t>
  </si>
  <si>
    <t xml:space="preserve">055/086</t>
  </si>
  <si>
    <t xml:space="preserve">056/086</t>
  </si>
  <si>
    <t xml:space="preserve">057/086</t>
  </si>
  <si>
    <t xml:space="preserve">058/086</t>
  </si>
  <si>
    <t xml:space="preserve">059/086</t>
  </si>
  <si>
    <t xml:space="preserve">060/086</t>
  </si>
  <si>
    <t xml:space="preserve">061/086</t>
  </si>
  <si>
    <t xml:space="preserve">062/086</t>
  </si>
  <si>
    <t xml:space="preserve">063/086</t>
  </si>
  <si>
    <t xml:space="preserve">064/086</t>
  </si>
  <si>
    <t xml:space="preserve">065/086</t>
  </si>
  <si>
    <t xml:space="preserve">066/086</t>
  </si>
  <si>
    <t xml:space="preserve">067/086</t>
  </si>
  <si>
    <t xml:space="preserve">068/086</t>
  </si>
  <si>
    <t xml:space="preserve">069/086</t>
  </si>
  <si>
    <t xml:space="preserve">070/086</t>
  </si>
  <si>
    <t xml:space="preserve">071/086</t>
  </si>
  <si>
    <t xml:space="preserve">072/086</t>
  </si>
  <si>
    <t xml:space="preserve">073/086</t>
  </si>
  <si>
    <t xml:space="preserve">074/086</t>
  </si>
  <si>
    <t xml:space="preserve">075/086</t>
  </si>
  <si>
    <t xml:space="preserve">076/086</t>
  </si>
  <si>
    <t xml:space="preserve">077/086</t>
  </si>
  <si>
    <t xml:space="preserve">078/086</t>
  </si>
  <si>
    <t xml:space="preserve">079/086</t>
  </si>
  <si>
    <t xml:space="preserve">080/086</t>
  </si>
  <si>
    <t xml:space="preserve">081/086</t>
  </si>
  <si>
    <t xml:space="preserve">082/086</t>
  </si>
  <si>
    <t xml:space="preserve">083/086</t>
  </si>
  <si>
    <t xml:space="preserve">084/086</t>
  </si>
  <si>
    <t xml:space="preserve">085/086</t>
  </si>
  <si>
    <t xml:space="preserve">086/086</t>
  </si>
  <si>
    <t xml:space="preserve">087/086</t>
  </si>
  <si>
    <t xml:space="preserve">Illustration Rare</t>
  </si>
  <si>
    <t xml:space="preserve">088/086</t>
  </si>
  <si>
    <t xml:space="preserve">089/086</t>
  </si>
  <si>
    <t xml:space="preserve">090/086</t>
  </si>
  <si>
    <t xml:space="preserve">091/086</t>
  </si>
  <si>
    <t xml:space="preserve">092/086</t>
  </si>
  <si>
    <t xml:space="preserve">093/086</t>
  </si>
  <si>
    <t xml:space="preserve">094/086</t>
  </si>
  <si>
    <t xml:space="preserve">095/086</t>
  </si>
  <si>
    <t xml:space="preserve">096/086</t>
  </si>
  <si>
    <t xml:space="preserve">097/086</t>
  </si>
  <si>
    <t xml:space="preserve">098/086</t>
  </si>
  <si>
    <t xml:space="preserve">099/086</t>
  </si>
  <si>
    <t xml:space="preserve">100/086</t>
  </si>
  <si>
    <t xml:space="preserve">101/086</t>
  </si>
  <si>
    <t xml:space="preserve">102/086</t>
  </si>
  <si>
    <t xml:space="preserve">103/086</t>
  </si>
  <si>
    <t xml:space="preserve">104/086</t>
  </si>
  <si>
    <t xml:space="preserve">105/086</t>
  </si>
  <si>
    <t xml:space="preserve">106/086</t>
  </si>
  <si>
    <t xml:space="preserve">107/086</t>
  </si>
  <si>
    <t xml:space="preserve">108/086</t>
  </si>
  <si>
    <t xml:space="preserve">109/086</t>
  </si>
  <si>
    <t xml:space="preserve">110/086</t>
  </si>
  <si>
    <t xml:space="preserve">111/086</t>
  </si>
  <si>
    <t xml:space="preserve">112/086</t>
  </si>
  <si>
    <t xml:space="preserve">113/086</t>
  </si>
  <si>
    <t xml:space="preserve">114/086</t>
  </si>
  <si>
    <t xml:space="preserve">115/086</t>
  </si>
  <si>
    <t xml:space="preserve">116/086</t>
  </si>
  <si>
    <t xml:space="preserve">117/086</t>
  </si>
  <si>
    <t xml:space="preserve">118/086</t>
  </si>
  <si>
    <t xml:space="preserve">119/086</t>
  </si>
  <si>
    <t xml:space="preserve">120/086</t>
  </si>
  <si>
    <t xml:space="preserve">121/086</t>
  </si>
  <si>
    <t xml:space="preserve">122/086</t>
  </si>
  <si>
    <t xml:space="preserve">123/086</t>
  </si>
  <si>
    <t xml:space="preserve">124/086</t>
  </si>
  <si>
    <t xml:space="preserve">125/086</t>
  </si>
  <si>
    <t xml:space="preserve">126/086</t>
  </si>
  <si>
    <t xml:space="preserve">127/086</t>
  </si>
  <si>
    <t xml:space="preserve">128/086</t>
  </si>
  <si>
    <t xml:space="preserve">129/086</t>
  </si>
  <si>
    <t xml:space="preserve">130/086</t>
  </si>
  <si>
    <t xml:space="preserve">131/086</t>
  </si>
  <si>
    <t xml:space="preserve">132/086</t>
  </si>
  <si>
    <t xml:space="preserve">133/086</t>
  </si>
  <si>
    <t xml:space="preserve">134/086</t>
  </si>
  <si>
    <t xml:space="preserve">135/086</t>
  </si>
  <si>
    <t xml:space="preserve">136/086</t>
  </si>
  <si>
    <t xml:space="preserve">137/086</t>
  </si>
  <si>
    <t xml:space="preserve">138/086</t>
  </si>
  <si>
    <t xml:space="preserve">139/086</t>
  </si>
  <si>
    <t xml:space="preserve">140/086</t>
  </si>
  <si>
    <t xml:space="preserve">141/086</t>
  </si>
  <si>
    <t xml:space="preserve">142/086</t>
  </si>
  <si>
    <t xml:space="preserve">143/086</t>
  </si>
  <si>
    <t xml:space="preserve">144/086</t>
  </si>
  <si>
    <t xml:space="preserve">145/086</t>
  </si>
  <si>
    <t xml:space="preserve">146/086</t>
  </si>
  <si>
    <t xml:space="preserve">147/086</t>
  </si>
  <si>
    <t xml:space="preserve">148/086</t>
  </si>
  <si>
    <t xml:space="preserve">149/086</t>
  </si>
  <si>
    <t xml:space="preserve">150/086</t>
  </si>
  <si>
    <t xml:space="preserve">151/086</t>
  </si>
  <si>
    <t xml:space="preserve">152/086</t>
  </si>
  <si>
    <t xml:space="preserve">153/086</t>
  </si>
  <si>
    <t xml:space="preserve">154/086</t>
  </si>
  <si>
    <t xml:space="preserve">155/086</t>
  </si>
  <si>
    <t xml:space="preserve">156/086</t>
  </si>
  <si>
    <t xml:space="preserve">Ultra Rare</t>
  </si>
  <si>
    <t xml:space="preserve">157/086</t>
  </si>
  <si>
    <t xml:space="preserve">158/086</t>
  </si>
  <si>
    <t xml:space="preserve">159/086</t>
  </si>
  <si>
    <t xml:space="preserve">160/086</t>
  </si>
  <si>
    <t xml:space="preserve">161/086</t>
  </si>
  <si>
    <t xml:space="preserve">162/086</t>
  </si>
  <si>
    <t xml:space="preserve">163/086</t>
  </si>
  <si>
    <t xml:space="preserve">164/086</t>
  </si>
  <si>
    <t xml:space="preserve">Special Illustration Rare</t>
  </si>
  <si>
    <t xml:space="preserve">165/086</t>
  </si>
  <si>
    <t xml:space="preserve">166/086</t>
  </si>
  <si>
    <t xml:space="preserve">167/086</t>
  </si>
  <si>
    <t xml:space="preserve">168/086</t>
  </si>
  <si>
    <t xml:space="preserve">169/086</t>
  </si>
  <si>
    <t xml:space="preserve">170/086</t>
  </si>
  <si>
    <t xml:space="preserve">171/086</t>
  </si>
  <si>
    <t xml:space="preserve">Black &amp; White Rare</t>
  </si>
  <si>
    <t xml:space="preserve">172/086</t>
  </si>
  <si>
    <t xml:space="preserve">Promos &amp; Variants - Optional</t>
  </si>
  <si>
    <t xml:space="preserve">SVP 208</t>
  </si>
  <si>
    <t xml:space="preserve">Victini Illustration Collection</t>
  </si>
  <si>
    <t xml:space="preserve">SVP 210</t>
  </si>
  <si>
    <t xml:space="preserve">Elite Trainer Box Promo</t>
  </si>
  <si>
    <t xml:space="preserve">Pokémon Center ETB Promo</t>
  </si>
  <si>
    <t xml:space="preserve">SVP 212</t>
  </si>
  <si>
    <t xml:space="preserve">Black Bolt Tech Sticker Collection</t>
  </si>
  <si>
    <t xml:space="preserve">Unova Poster Collection</t>
  </si>
  <si>
    <t xml:space="preserve">Unova Heavy Hitters Premium Collection</t>
  </si>
  <si>
    <t xml:space="preserve">Play! Prize Pack</t>
  </si>
  <si>
    <t xml:space="preserve">Play! Pokemon Prize Packs</t>
  </si>
  <si>
    <t xml:space="preserve">Eelektrik</t>
  </si>
  <si>
    <t xml:space="preserve">Pokémon TCG Gym</t>
  </si>
  <si>
    <t xml:space="preserve">Zekrom ex</t>
  </si>
  <si>
    <t xml:space="preserve">Ultra Ball League</t>
  </si>
  <si>
    <t xml:space="preserve">Genesect ex</t>
  </si>
  <si>
    <t xml:space="preserve">World Championships Deck 2025: Joltdengo by Liao Fu Guan</t>
  </si>
  <si>
    <t xml:space="preserve">Air Balloon</t>
  </si>
  <si>
    <t xml:space="preserve">World Championships Deck 2025: Pult Bomb by Jose Cruz Galindo-Resendiz</t>
  </si>
  <si>
    <t xml:space="preserve">Great Ball League</t>
  </si>
  <si>
    <t xml:space="preserve">Professor's Research (Professor Juniper)</t>
  </si>
  <si>
    <t xml:space="preserve">World Championships Deck 2025: Flutter Devo Gardevoir by Riley McKay</t>
  </si>
  <si>
    <t xml:space="preserve">Professor Program Stamp</t>
  </si>
  <si>
    <t xml:space="preserve">SVE 017</t>
  </si>
  <si>
    <t xml:space="preserve">Holo Energy</t>
  </si>
  <si>
    <t xml:space="preserve">SVE 018</t>
  </si>
  <si>
    <t xml:space="preserve">SVE 019</t>
  </si>
  <si>
    <t xml:space="preserve">SVE 020</t>
  </si>
  <si>
    <t xml:space="preserve">SVE 021</t>
  </si>
  <si>
    <t xml:space="preserve">SVE 022</t>
  </si>
  <si>
    <t xml:space="preserve">SVE 023</t>
  </si>
  <si>
    <t xml:space="preserve">SVE 024</t>
  </si>
  <si>
    <t xml:space="preserve">This checklist contains affiliate links for which I may be compensated.</t>
  </si>
  <si>
    <t xml:space="preserve">Want free Black Bolt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</si>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</sst>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IFERROR((COUNTIF(A2:A405,"☑"))/((COUNTIF(A2:A405,"☑"))+(COUNTIF(A2:A405,"☐"))),0)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HYPERLINK("https://partner.tcgplayer.com/c/6278691/1780961/21018?u=https%3A%2F%2Fwww.tcgplayer.com%2Fproduct%2F642450%3Futm_source%3Dimpact%26utm_medium%3Daffiliate%26utm_campaign%3Dpoke%2Bcottage","Snivy")</f>
        <v>Snivy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IFERROR(COUNTIF(A2:A440,"☑")/(COUNTIF(A2:A440,"☑")+COUNTIF(A2:A440,"☐")),0)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HYPERLINK("https://partner.tcgplayer.com/c/6278691/1780961/21018?u=https%3A%2F%2Fwww.tcgplayer.com%2Fproduct%2F642450%3Futm_source%3Dimpact%26utm_medium%3Daffiliate%26utm_campaign%3Dpoke%2Bcottage","Snivy")</f>
        <v>Snivy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7</v>
      </c>
      <c r="C4" s="6" t="str">
        <f aca="false">HYPERLINK("https://partner.tcgplayer.com/c/6278691/1780961/21018?u=https%3A%2F%2Fwww.tcgplayer.com%2Fproduct%2F642696%3Futm_source%3Dimpact%26utm_medium%3Daffiliate%26utm_campaign%3Dpoke%2Bcottage","Snivy")</f>
        <v>Snivy</v>
      </c>
      <c r="D4" s="5" t="s">
        <v>8</v>
      </c>
      <c r="E4" s="5" t="s">
        <v>12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7</v>
      </c>
      <c r="C5" s="6" t="str">
        <f aca="false">HYPERLINK("https://partner.tcgplayer.com/c/6278691/1780961/21018?u=https%3A%2F%2Fwww.tcgplayer.com%2Fproduct%2F642624%3Futm_source%3Dimpact%26utm_medium%3Daffiliate%26utm_campaign%3Dpoke%2Bcottage","Snivy")</f>
        <v>Snivy</v>
      </c>
      <c r="D5" s="5" t="s">
        <v>8</v>
      </c>
      <c r="E5" s="5" t="s">
        <v>13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HYPERLINK("https://partner.tcgplayer.com/c/6278691/1780961/21018?u=https%3A%2F%2Fwww.tcgplayer.com%2Fproduct%2F642451%3Futm_source%3Dimpact%26utm_medium%3Daffiliate%26utm_campaign%3Dpoke%2Bcottage","Servine")</f>
        <v>Servine</v>
      </c>
      <c r="D6" s="5" t="s">
        <v>8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14</v>
      </c>
      <c r="C7" s="6" t="str">
        <f aca="false">HYPERLINK("https://partner.tcgplayer.com/c/6278691/1780961/21018?u=https%3A%2F%2Fwww.tcgplayer.com%2Fproduct%2F642451%3Futm_source%3Dimpact%26utm_medium%3Daffiliate%26utm_campaign%3Dpoke%2Bcottage","Servine")</f>
        <v>Servine</v>
      </c>
      <c r="D7" s="5" t="s">
        <v>8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14</v>
      </c>
      <c r="C8" s="6" t="str">
        <f aca="false">HYPERLINK("https://partner.tcgplayer.com/c/6278691/1780961/21018?u=https%3A%2F%2Fwww.tcgplayer.com%2Fproduct%2F642697%3Futm_source%3Dimpact%26utm_medium%3Daffiliate%26utm_campaign%3Dpoke%2Bcottage","Servine")</f>
        <v>Servine</v>
      </c>
      <c r="D8" s="5" t="s">
        <v>8</v>
      </c>
      <c r="E8" s="5" t="s">
        <v>12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14</v>
      </c>
      <c r="C9" s="6" t="str">
        <f aca="false">HYPERLINK("https://partner.tcgplayer.com/c/6278691/1780961/21018?u=https%3A%2F%2Fwww.tcgplayer.com%2Fproduct%2F642625%3Futm_source%3Dimpact%26utm_medium%3Daffiliate%26utm_campaign%3Dpoke%2Bcottage","Servine")</f>
        <v>Servine</v>
      </c>
      <c r="D9" s="5" t="s">
        <v>8</v>
      </c>
      <c r="E9" s="5" t="s">
        <v>13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15</v>
      </c>
      <c r="C10" s="6" t="str">
        <f aca="false">HYPERLINK("https://partner.tcgplayer.com/c/6278691/1780961/21018?u=https%3A%2F%2Fwww.tcgplayer.com%2Fproduct%2F642452%3Futm_source%3Dimpact%26utm_medium%3Daffiliate%26utm_campaign%3Dpoke%2Bcottage","Serperior ex")</f>
        <v>Serperior ex</v>
      </c>
      <c r="D10" s="5" t="s">
        <v>16</v>
      </c>
      <c r="E10" s="5" t="s">
        <v>17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18</v>
      </c>
      <c r="C11" s="6" t="str">
        <f aca="false">HYPERLINK("https://partner.tcgplayer.com/c/6278691/1780961/21018?u=https%3A%2F%2Fwww.tcgplayer.com%2Fproduct%2F642453%3Futm_source%3Dimpact%26utm_medium%3Daffiliate%26utm_campaign%3Dpoke%2Bcottage","Pansage")</f>
        <v>Pansage</v>
      </c>
      <c r="D11" s="5" t="s">
        <v>8</v>
      </c>
      <c r="E11" s="5" t="s">
        <v>9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18</v>
      </c>
      <c r="C12" s="6" t="str">
        <f aca="false">HYPERLINK("https://partner.tcgplayer.com/c/6278691/1780961/21018?u=https%3A%2F%2Fwww.tcgplayer.com%2Fproduct%2F642453%3Futm_source%3Dimpact%26utm_medium%3Daffiliate%26utm_campaign%3Dpoke%2Bcottage","Pansage")</f>
        <v>Pansage</v>
      </c>
      <c r="D12" s="5" t="s">
        <v>8</v>
      </c>
      <c r="E12" s="5" t="s">
        <v>11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18</v>
      </c>
      <c r="C13" s="6" t="str">
        <f aca="false">HYPERLINK("https://partner.tcgplayer.com/c/6278691/1780961/21018?u=https%3A%2F%2Fwww.tcgplayer.com%2Fproduct%2F642698%3Futm_source%3Dimpact%26utm_medium%3Daffiliate%26utm_campaign%3Dpoke%2Bcottage","Pansage")</f>
        <v>Pansage</v>
      </c>
      <c r="D13" s="5" t="s">
        <v>8</v>
      </c>
      <c r="E13" s="5" t="s">
        <v>12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18</v>
      </c>
      <c r="C14" s="6" t="str">
        <f aca="false">HYPERLINK("https://partner.tcgplayer.com/c/6278691/1780961/21018?u=https%3A%2F%2Fwww.tcgplayer.com%2Fproduct%2F642626%3Futm_source%3Dimpact%26utm_medium%3Daffiliate%26utm_campaign%3Dpoke%2Bcottage","Pansage")</f>
        <v>Pansage</v>
      </c>
      <c r="D14" s="5" t="s">
        <v>8</v>
      </c>
      <c r="E14" s="5" t="s">
        <v>13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19</v>
      </c>
      <c r="C15" s="6" t="str">
        <f aca="false">HYPERLINK("https://partner.tcgplayer.com/c/6278691/1780961/21018?u=https%3A%2F%2Fwww.tcgplayer.com%2Fproduct%2F642454%3Futm_source%3Dimpact%26utm_medium%3Daffiliate%26utm_campaign%3Dpoke%2Bcottage","Simisage")</f>
        <v>Simisage</v>
      </c>
      <c r="D15" s="5" t="s">
        <v>20</v>
      </c>
      <c r="E15" s="5" t="s">
        <v>9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19</v>
      </c>
      <c r="C16" s="6" t="str">
        <f aca="false">HYPERLINK("https://partner.tcgplayer.com/c/6278691/1780961/21018?u=https%3A%2F%2Fwww.tcgplayer.com%2Fproduct%2F642454%3Futm_source%3Dimpact%26utm_medium%3Daffiliate%26utm_campaign%3Dpoke%2Bcottage","Simisage")</f>
        <v>Simisage</v>
      </c>
      <c r="D16" s="5" t="s">
        <v>20</v>
      </c>
      <c r="E16" s="5" t="s">
        <v>11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19</v>
      </c>
      <c r="C17" s="6" t="str">
        <f aca="false">HYPERLINK("https://partner.tcgplayer.com/c/6278691/1780961/21018?u=https%3A%2F%2Fwww.tcgplayer.com%2Fproduct%2F642699%3Futm_source%3Dimpact%26utm_medium%3Daffiliate%26utm_campaign%3Dpoke%2Bcottage","Simisage")</f>
        <v>Simisage</v>
      </c>
      <c r="D17" s="5" t="s">
        <v>20</v>
      </c>
      <c r="E17" s="5" t="s">
        <v>12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19</v>
      </c>
      <c r="C18" s="6" t="str">
        <f aca="false">HYPERLINK("https://partner.tcgplayer.com/c/6278691/1780961/21018?u=https%3A%2F%2Fwww.tcgplayer.com%2Fproduct%2F642627%3Futm_source%3Dimpact%26utm_medium%3Daffiliate%26utm_campaign%3Dpoke%2Bcottage","Simisage")</f>
        <v>Simisage</v>
      </c>
      <c r="D18" s="5" t="s">
        <v>20</v>
      </c>
      <c r="E18" s="5" t="s">
        <v>13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21</v>
      </c>
      <c r="C19" s="6" t="str">
        <f aca="false">HYPERLINK("https://partner.tcgplayer.com/c/6278691/1780961/21018?u=https%3A%2F%2Fwww.tcgplayer.com%2Fproduct%2F642455%3Futm_source%3Dimpact%26utm_medium%3Daffiliate%26utm_campaign%3Dpoke%2Bcottage","Petilil")</f>
        <v>Petilil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21</v>
      </c>
      <c r="C20" s="6" t="str">
        <f aca="false">HYPERLINK("https://partner.tcgplayer.com/c/6278691/1780961/21018?u=https%3A%2F%2Fwww.tcgplayer.com%2Fproduct%2F642455%3Futm_source%3Dimpact%26utm_medium%3Daffiliate%26utm_campaign%3Dpoke%2Bcottage","Petilil")</f>
        <v>Petilil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21</v>
      </c>
      <c r="C21" s="6" t="str">
        <f aca="false">HYPERLINK("https://partner.tcgplayer.com/c/6278691/1780961/21018?u=https%3A%2F%2Fwww.tcgplayer.com%2Fproduct%2F642700%3Futm_source%3Dimpact%26utm_medium%3Daffiliate%26utm_campaign%3Dpoke%2Bcottage","Petilil")</f>
        <v>Petilil</v>
      </c>
      <c r="D21" s="5" t="s">
        <v>8</v>
      </c>
      <c r="E21" s="5" t="s">
        <v>12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21</v>
      </c>
      <c r="C22" s="6" t="str">
        <f aca="false">HYPERLINK("https://partner.tcgplayer.com/c/6278691/1780961/21018?u=https%3A%2F%2Fwww.tcgplayer.com%2Fproduct%2F642628%3Futm_source%3Dimpact%26utm_medium%3Daffiliate%26utm_campaign%3Dpoke%2Bcottage","Petilil")</f>
        <v>Petilil</v>
      </c>
      <c r="D22" s="5" t="s">
        <v>8</v>
      </c>
      <c r="E22" s="5" t="s">
        <v>13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22</v>
      </c>
      <c r="C23" s="6" t="str">
        <f aca="false">HYPERLINK("https://partner.tcgplayer.com/c/6278691/1780961/21018?u=https%3A%2F%2Fwww.tcgplayer.com%2Fproduct%2F642456%3Futm_source%3Dimpact%26utm_medium%3Daffiliate%26utm_campaign%3Dpoke%2Bcottage","Lilligant")</f>
        <v>Lilligant</v>
      </c>
      <c r="D23" s="5" t="s">
        <v>20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22</v>
      </c>
      <c r="C24" s="6" t="str">
        <f aca="false">HYPERLINK("https://partner.tcgplayer.com/c/6278691/1780961/21018?u=https%3A%2F%2Fwww.tcgplayer.com%2Fproduct%2F642456%3Futm_source%3Dimpact%26utm_medium%3Daffiliate%26utm_campaign%3Dpoke%2Bcottage","Lilligant")</f>
        <v>Lilligant</v>
      </c>
      <c r="D24" s="5" t="s">
        <v>20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22</v>
      </c>
      <c r="C25" s="6" t="str">
        <f aca="false">HYPERLINK("https://partner.tcgplayer.com/c/6278691/1780961/21018?u=https%3A%2F%2Fwww.tcgplayer.com%2Fproduct%2F642701%3Futm_source%3Dimpact%26utm_medium%3Daffiliate%26utm_campaign%3Dpoke%2Bcottage","Lilligant")</f>
        <v>Lilligant</v>
      </c>
      <c r="D25" s="5" t="s">
        <v>20</v>
      </c>
      <c r="E25" s="5" t="s">
        <v>12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22</v>
      </c>
      <c r="C26" s="6" t="str">
        <f aca="false">HYPERLINK("https://partner.tcgplayer.com/c/6278691/1780961/21018?u=https%3A%2F%2Fwww.tcgplayer.com%2Fproduct%2F642629%3Futm_source%3Dimpact%26utm_medium%3Daffiliate%26utm_campaign%3Dpoke%2Bcottage","Lilligant")</f>
        <v>Lilligant</v>
      </c>
      <c r="D26" s="5" t="s">
        <v>20</v>
      </c>
      <c r="E26" s="5" t="s">
        <v>13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23</v>
      </c>
      <c r="C27" s="6" t="str">
        <f aca="false">HYPERLINK("https://partner.tcgplayer.com/c/6278691/1780961/21018?u=https%3A%2F%2Fwww.tcgplayer.com%2Fproduct%2F642457%3Futm_source%3Dimpact%26utm_medium%3Daffiliate%26utm_campaign%3Dpoke%2Bcottage","Maractus")</f>
        <v>Maractus</v>
      </c>
      <c r="D27" s="5" t="s">
        <v>8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23</v>
      </c>
      <c r="C28" s="6" t="str">
        <f aca="false">HYPERLINK("https://partner.tcgplayer.com/c/6278691/1780961/21018?u=https%3A%2F%2Fwww.tcgplayer.com%2Fproduct%2F642457%3Futm_source%3Dimpact%26utm_medium%3Daffiliate%26utm_campaign%3Dpoke%2Bcottage","Maractus")</f>
        <v>Maractus</v>
      </c>
      <c r="D28" s="5" t="s">
        <v>8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23</v>
      </c>
      <c r="C29" s="6" t="str">
        <f aca="false">HYPERLINK("https://partner.tcgplayer.com/c/6278691/1780961/21018?u=https%3A%2F%2Fwww.tcgplayer.com%2Fproduct%2F642702%3Futm_source%3Dimpact%26utm_medium%3Daffiliate%26utm_campaign%3Dpoke%2Bcottage","Maractus")</f>
        <v>Maractus</v>
      </c>
      <c r="D29" s="5" t="s">
        <v>8</v>
      </c>
      <c r="E29" s="5" t="s">
        <v>12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23</v>
      </c>
      <c r="C30" s="6" t="str">
        <f aca="false">HYPERLINK("https://partner.tcgplayer.com/c/6278691/1780961/21018?u=https%3A%2F%2Fwww.tcgplayer.com%2Fproduct%2F642630%3Futm_source%3Dimpact%26utm_medium%3Daffiliate%26utm_campaign%3Dpoke%2Bcottage","Maractus")</f>
        <v>Maractus</v>
      </c>
      <c r="D30" s="5" t="s">
        <v>8</v>
      </c>
      <c r="E30" s="5" t="s">
        <v>13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24</v>
      </c>
      <c r="C31" s="6" t="str">
        <f aca="false">HYPERLINK("https://partner.tcgplayer.com/c/6278691/1780961/21018?u=https%3A%2F%2Fwww.tcgplayer.com%2Fproduct%2F642458%3Futm_source%3Dimpact%26utm_medium%3Daffiliate%26utm_campaign%3Dpoke%2Bcottage","Karrablast")</f>
        <v>Karrablast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24</v>
      </c>
      <c r="C32" s="6" t="str">
        <f aca="false">HYPERLINK("https://partner.tcgplayer.com/c/6278691/1780961/21018?u=https%3A%2F%2Fwww.tcgplayer.com%2Fproduct%2F642458%3Futm_source%3Dimpact%26utm_medium%3Daffiliate%26utm_campaign%3Dpoke%2Bcottage","Karrablast")</f>
        <v>Karrablast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24</v>
      </c>
      <c r="C33" s="6" t="str">
        <f aca="false">HYPERLINK("https://partner.tcgplayer.com/c/6278691/1780961/21018?u=https%3A%2F%2Fwww.tcgplayer.com%2Fproduct%2F642703%3Futm_source%3Dimpact%26utm_medium%3Daffiliate%26utm_campaign%3Dpoke%2Bcottage","Karrablast")</f>
        <v>Karrablast</v>
      </c>
      <c r="D33" s="5" t="s">
        <v>8</v>
      </c>
      <c r="E33" s="5" t="s">
        <v>12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24</v>
      </c>
      <c r="C34" s="6" t="str">
        <f aca="false">HYPERLINK("https://partner.tcgplayer.com/c/6278691/1780961/21018?u=https%3A%2F%2Fwww.tcgplayer.com%2Fproduct%2F642631%3Futm_source%3Dimpact%26utm_medium%3Daffiliate%26utm_campaign%3Dpoke%2Bcottage","Karrablast")</f>
        <v>Karrablast</v>
      </c>
      <c r="D34" s="5" t="s">
        <v>8</v>
      </c>
      <c r="E34" s="5" t="s">
        <v>13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25</v>
      </c>
      <c r="C35" s="6" t="str">
        <f aca="false">HYPERLINK("https://partner.tcgplayer.com/c/6278691/1780961/21018?u=https%3A%2F%2Fwww.tcgplayer.com%2Fproduct%2F642459%3Futm_source%3Dimpact%26utm_medium%3Daffiliate%26utm_campaign%3Dpoke%2Bcottage","Foongus")</f>
        <v>Foongus</v>
      </c>
      <c r="D35" s="5" t="s">
        <v>8</v>
      </c>
      <c r="E35" s="5" t="s">
        <v>9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25</v>
      </c>
      <c r="C36" s="6" t="str">
        <f aca="false">HYPERLINK("https://partner.tcgplayer.com/c/6278691/1780961/21018?u=https%3A%2F%2Fwww.tcgplayer.com%2Fproduct%2F642459%3Futm_source%3Dimpact%26utm_medium%3Daffiliate%26utm_campaign%3Dpoke%2Bcottage","Foongus")</f>
        <v>Foongus</v>
      </c>
      <c r="D36" s="5" t="s">
        <v>8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25</v>
      </c>
      <c r="C37" s="6" t="str">
        <f aca="false">HYPERLINK("https://partner.tcgplayer.com/c/6278691/1780961/21018?u=https%3A%2F%2Fwww.tcgplayer.com%2Fproduct%2F642704%3Futm_source%3Dimpact%26utm_medium%3Daffiliate%26utm_campaign%3Dpoke%2Bcottage","Foongus")</f>
        <v>Foongus</v>
      </c>
      <c r="D37" s="5" t="s">
        <v>8</v>
      </c>
      <c r="E37" s="5" t="s">
        <v>12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25</v>
      </c>
      <c r="C38" s="6" t="str">
        <f aca="false">HYPERLINK("https://partner.tcgplayer.com/c/6278691/1780961/21018?u=https%3A%2F%2Fwww.tcgplayer.com%2Fproduct%2F642632%3Futm_source%3Dimpact%26utm_medium%3Daffiliate%26utm_campaign%3Dpoke%2Bcottage","Foongus")</f>
        <v>Foongus</v>
      </c>
      <c r="D38" s="5" t="s">
        <v>8</v>
      </c>
      <c r="E38" s="5" t="s">
        <v>13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26</v>
      </c>
      <c r="C39" s="6" t="str">
        <f aca="false">HYPERLINK("https://partner.tcgplayer.com/c/6278691/1780961/21018?u=https%3A%2F%2Fwww.tcgplayer.com%2Fproduct%2F642460%3Futm_source%3Dimpact%26utm_medium%3Daffiliate%26utm_campaign%3Dpoke%2Bcottage","Amoonguss")</f>
        <v>Amoonguss</v>
      </c>
      <c r="D39" s="5" t="s">
        <v>20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26</v>
      </c>
      <c r="C40" s="6" t="str">
        <f aca="false">HYPERLINK("https://partner.tcgplayer.com/c/6278691/1780961/21018?u=https%3A%2F%2Fwww.tcgplayer.com%2Fproduct%2F642460%3Futm_source%3Dimpact%26utm_medium%3Daffiliate%26utm_campaign%3Dpoke%2Bcottage","Amoonguss")</f>
        <v>Amoonguss</v>
      </c>
      <c r="D40" s="5" t="s">
        <v>20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26</v>
      </c>
      <c r="C41" s="6" t="str">
        <f aca="false">HYPERLINK("https://partner.tcgplayer.com/c/6278691/1780961/21018?u=https%3A%2F%2Fwww.tcgplayer.com%2Fproduct%2F642705%3Futm_source%3Dimpact%26utm_medium%3Daffiliate%26utm_campaign%3Dpoke%2Bcottage","Amoonguss")</f>
        <v>Amoonguss</v>
      </c>
      <c r="D41" s="5" t="s">
        <v>20</v>
      </c>
      <c r="E41" s="5" t="s">
        <v>12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26</v>
      </c>
      <c r="C42" s="6" t="str">
        <f aca="false">HYPERLINK("https://partner.tcgplayer.com/c/6278691/1780961/21018?u=https%3A%2F%2Fwww.tcgplayer.com%2Fproduct%2F642633%3Futm_source%3Dimpact%26utm_medium%3Daffiliate%26utm_campaign%3Dpoke%2Bcottage","Amoonguss")</f>
        <v>Amoonguss</v>
      </c>
      <c r="D42" s="5" t="s">
        <v>20</v>
      </c>
      <c r="E42" s="5" t="s">
        <v>13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27</v>
      </c>
      <c r="C43" s="6" t="str">
        <f aca="false">HYPERLINK("https://partner.tcgplayer.com/c/6278691/1780961/21018?u=https%3A%2F%2Fwww.tcgplayer.com%2Fproduct%2F642461%3Futm_source%3Dimpact%26utm_medium%3Daffiliate%26utm_campaign%3Dpoke%2Bcottage","Victini")</f>
        <v>Victini</v>
      </c>
      <c r="D43" s="5" t="s">
        <v>28</v>
      </c>
      <c r="E43" s="5" t="s">
        <v>17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27</v>
      </c>
      <c r="C44" s="6" t="str">
        <f aca="false">HYPERLINK("https://partner.tcgplayer.com/c/6278691/1780961/21018?u=https%3A%2F%2Fwww.tcgplayer.com%2Fproduct%2F642461%3Futm_source%3Dimpact%26utm_medium%3Daffiliate%26utm_campaign%3Dpoke%2Bcottage","Victini")</f>
        <v>Victini</v>
      </c>
      <c r="D44" s="5" t="s">
        <v>28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27</v>
      </c>
      <c r="C45" s="6" t="str">
        <f aca="false">HYPERLINK("https://partner.tcgplayer.com/c/6278691/1780961/21018?u=https%3A%2F%2Fwww.tcgplayer.com%2Fproduct%2F642706%3Futm_source%3Dimpact%26utm_medium%3Daffiliate%26utm_campaign%3Dpoke%2Bcottage","Victini")</f>
        <v>Victini</v>
      </c>
      <c r="D45" s="5" t="s">
        <v>28</v>
      </c>
      <c r="E45" s="5" t="s">
        <v>12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27</v>
      </c>
      <c r="C46" s="6" t="str">
        <f aca="false">HYPERLINK("https://partner.tcgplayer.com/c/6278691/1780961/21018?u=https%3A%2F%2Fwww.tcgplayer.com%2Fproduct%2F642634%3Futm_source%3Dimpact%26utm_medium%3Daffiliate%26utm_campaign%3Dpoke%2Bcottage","Victini")</f>
        <v>Victini</v>
      </c>
      <c r="D46" s="5" t="s">
        <v>28</v>
      </c>
      <c r="E46" s="5" t="s">
        <v>13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29</v>
      </c>
      <c r="C47" s="6" t="str">
        <f aca="false">HYPERLINK("https://partner.tcgplayer.com/c/6278691/1780961/21018?u=https%3A%2F%2Fwww.tcgplayer.com%2Fproduct%2F642462%3Futm_source%3Dimpact%26utm_medium%3Daffiliate%26utm_campaign%3Dpoke%2Bcottage","Darumaka")</f>
        <v>Darumaka</v>
      </c>
      <c r="D47" s="5" t="s">
        <v>8</v>
      </c>
      <c r="E47" s="5" t="s">
        <v>9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29</v>
      </c>
      <c r="C48" s="6" t="str">
        <f aca="false">HYPERLINK("https://partner.tcgplayer.com/c/6278691/1780961/21018?u=https%3A%2F%2Fwww.tcgplayer.com%2Fproduct%2F642462%3Futm_source%3Dimpact%26utm_medium%3Daffiliate%26utm_campaign%3Dpoke%2Bcottage","Darumaka")</f>
        <v>Darumaka</v>
      </c>
      <c r="D48" s="5" t="s">
        <v>8</v>
      </c>
      <c r="E48" s="5" t="s">
        <v>11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29</v>
      </c>
      <c r="C49" s="6" t="str">
        <f aca="false">HYPERLINK("https://partner.tcgplayer.com/c/6278691/1780961/21018?u=https%3A%2F%2Fwww.tcgplayer.com%2Fproduct%2F642707%3Futm_source%3Dimpact%26utm_medium%3Daffiliate%26utm_campaign%3Dpoke%2Bcottage","Darumaka")</f>
        <v>Darumaka</v>
      </c>
      <c r="D49" s="5" t="s">
        <v>8</v>
      </c>
      <c r="E49" s="5" t="s">
        <v>12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29</v>
      </c>
      <c r="C50" s="6" t="str">
        <f aca="false">HYPERLINK("https://partner.tcgplayer.com/c/6278691/1780961/21018?u=https%3A%2F%2Fwww.tcgplayer.com%2Fproduct%2F642635%3Futm_source%3Dimpact%26utm_medium%3Daffiliate%26utm_campaign%3Dpoke%2Bcottage","Darumaka")</f>
        <v>Darumaka</v>
      </c>
      <c r="D50" s="5" t="s">
        <v>8</v>
      </c>
      <c r="E50" s="5" t="s">
        <v>13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30</v>
      </c>
      <c r="C51" s="6" t="str">
        <f aca="false">HYPERLINK("https://partner.tcgplayer.com/c/6278691/1780961/21018?u=https%3A%2F%2Fwww.tcgplayer.com%2Fproduct%2F642463%3Futm_source%3Dimpact%26utm_medium%3Daffiliate%26utm_campaign%3Dpoke%2Bcottage","Darmanitan")</f>
        <v>Darmanitan</v>
      </c>
      <c r="D51" s="5" t="s">
        <v>20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30</v>
      </c>
      <c r="C52" s="6" t="str">
        <f aca="false">HYPERLINK("https://partner.tcgplayer.com/c/6278691/1780961/21018?u=https%3A%2F%2Fwww.tcgplayer.com%2Fproduct%2F642463%3Futm_source%3Dimpact%26utm_medium%3Daffiliate%26utm_campaign%3Dpoke%2Bcottage","Darmanitan")</f>
        <v>Darmanitan</v>
      </c>
      <c r="D52" s="5" t="s">
        <v>20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30</v>
      </c>
      <c r="C53" s="6" t="str">
        <f aca="false">HYPERLINK("https://partner.tcgplayer.com/c/6278691/1780961/21018?u=https%3A%2F%2Fwww.tcgplayer.com%2Fproduct%2F642708%3Futm_source%3Dimpact%26utm_medium%3Daffiliate%26utm_campaign%3Dpoke%2Bcottage","Darmanitan")</f>
        <v>Darmanitan</v>
      </c>
      <c r="D53" s="5" t="s">
        <v>20</v>
      </c>
      <c r="E53" s="5" t="s">
        <v>12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30</v>
      </c>
      <c r="C54" s="6" t="str">
        <f aca="false">HYPERLINK("https://partner.tcgplayer.com/c/6278691/1780961/21018?u=https%3A%2F%2Fwww.tcgplayer.com%2Fproduct%2F642636%3Futm_source%3Dimpact%26utm_medium%3Daffiliate%26utm_campaign%3Dpoke%2Bcottage","Darmanitan")</f>
        <v>Darmanitan</v>
      </c>
      <c r="D54" s="5" t="s">
        <v>20</v>
      </c>
      <c r="E54" s="5" t="s">
        <v>13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31</v>
      </c>
      <c r="C55" s="6" t="str">
        <f aca="false">HYPERLINK("https://partner.tcgplayer.com/c/6278691/1780961/21018?u=https%3A%2F%2Fwww.tcgplayer.com%2Fproduct%2F642467%3Futm_source%3Dimpact%26utm_medium%3Daffiliate%26utm_campaign%3Dpoke%2Bcottage","Larvesta")</f>
        <v>Larvesta</v>
      </c>
      <c r="D55" s="5" t="s">
        <v>8</v>
      </c>
      <c r="E55" s="5" t="s">
        <v>9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31</v>
      </c>
      <c r="C56" s="6" t="str">
        <f aca="false">HYPERLINK("https://partner.tcgplayer.com/c/6278691/1780961/21018?u=https%3A%2F%2Fwww.tcgplayer.com%2Fproduct%2F642467%3Futm_source%3Dimpact%26utm_medium%3Daffiliate%26utm_campaign%3Dpoke%2Bcottage","Larvesta")</f>
        <v>Larvesta</v>
      </c>
      <c r="D56" s="5" t="s">
        <v>8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31</v>
      </c>
      <c r="C57" s="6" t="str">
        <f aca="false">HYPERLINK("https://partner.tcgplayer.com/c/6278691/1780961/21018?u=https%3A%2F%2Fwww.tcgplayer.com%2Fproduct%2F642712%3Futm_source%3Dimpact%26utm_medium%3Daffiliate%26utm_campaign%3Dpoke%2Bcottage","Larvesta")</f>
        <v>Larvesta</v>
      </c>
      <c r="D57" s="5" t="s">
        <v>8</v>
      </c>
      <c r="E57" s="5" t="s">
        <v>12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31</v>
      </c>
      <c r="C58" s="6" t="str">
        <f aca="false">HYPERLINK("https://partner.tcgplayer.com/c/6278691/1780961/21018?u=https%3A%2F%2Fwww.tcgplayer.com%2Fproduct%2F642640%3Futm_source%3Dimpact%26utm_medium%3Daffiliate%26utm_campaign%3Dpoke%2Bcottage","Larvesta")</f>
        <v>Larvesta</v>
      </c>
      <c r="D58" s="5" t="s">
        <v>8</v>
      </c>
      <c r="E58" s="5" t="s">
        <v>13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32</v>
      </c>
      <c r="C59" s="6" t="str">
        <f aca="false">HYPERLINK("https://partner.tcgplayer.com/c/6278691/1780961/21018?u=https%3A%2F%2Fwww.tcgplayer.com%2Fproduct%2F642468%3Futm_source%3Dimpact%26utm_medium%3Daffiliate%26utm_campaign%3Dpoke%2Bcottage","Volcarona")</f>
        <v>Volcarona</v>
      </c>
      <c r="D59" s="5" t="s">
        <v>28</v>
      </c>
      <c r="E59" s="5" t="s">
        <v>17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32</v>
      </c>
      <c r="C60" s="6" t="str">
        <f aca="false">HYPERLINK("https://partner.tcgplayer.com/c/6278691/1780961/21018?u=https%3A%2F%2Fwww.tcgplayer.com%2Fproduct%2F642468%3Futm_source%3Dimpact%26utm_medium%3Daffiliate%26utm_campaign%3Dpoke%2Bcottage","Volcarona")</f>
        <v>Volcarona</v>
      </c>
      <c r="D60" s="5" t="s">
        <v>28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32</v>
      </c>
      <c r="C61" s="6" t="str">
        <f aca="false">HYPERLINK("https://partner.tcgplayer.com/c/6278691/1780961/21018?u=https%3A%2F%2Fwww.tcgplayer.com%2Fproduct%2F642713%3Futm_source%3Dimpact%26utm_medium%3Daffiliate%26utm_campaign%3Dpoke%2Bcottage","Volcarona")</f>
        <v>Volcarona</v>
      </c>
      <c r="D61" s="5" t="s">
        <v>28</v>
      </c>
      <c r="E61" s="5" t="s">
        <v>12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32</v>
      </c>
      <c r="C62" s="6" t="str">
        <f aca="false">HYPERLINK("https://partner.tcgplayer.com/c/6278691/1780961/21018?u=https%3A%2F%2Fwww.tcgplayer.com%2Fproduct%2F642641%3Futm_source%3Dimpact%26utm_medium%3Daffiliate%26utm_campaign%3Dpoke%2Bcottage","Volcarona")</f>
        <v>Volcarona</v>
      </c>
      <c r="D62" s="5" t="s">
        <v>28</v>
      </c>
      <c r="E62" s="5" t="s">
        <v>13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33</v>
      </c>
      <c r="C63" s="6" t="str">
        <f aca="false">HYPERLINK("https://partner.tcgplayer.com/c/6278691/1780961/21018?u=https%3A%2F%2Fwww.tcgplayer.com%2Fproduct%2F642469%3Futm_source%3Dimpact%26utm_medium%3Daffiliate%26utm_campaign%3Dpoke%2Bcottage","Panpour")</f>
        <v>Panpour</v>
      </c>
      <c r="D63" s="5" t="s">
        <v>8</v>
      </c>
      <c r="E63" s="5" t="s">
        <v>9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33</v>
      </c>
      <c r="C64" s="6" t="str">
        <f aca="false">HYPERLINK("https://partner.tcgplayer.com/c/6278691/1780961/21018?u=https%3A%2F%2Fwww.tcgplayer.com%2Fproduct%2F642469%3Futm_source%3Dimpact%26utm_medium%3Daffiliate%26utm_campaign%3Dpoke%2Bcottage","Panpour")</f>
        <v>Panpour</v>
      </c>
      <c r="D64" s="5" t="s">
        <v>8</v>
      </c>
      <c r="E64" s="5" t="s">
        <v>11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33</v>
      </c>
      <c r="C65" s="6" t="str">
        <f aca="false">HYPERLINK("https://partner.tcgplayer.com/c/6278691/1780961/21018?u=https%3A%2F%2Fwww.tcgplayer.com%2Fproduct%2F642714%3Futm_source%3Dimpact%26utm_medium%3Daffiliate%26utm_campaign%3Dpoke%2Bcottage","Panpour")</f>
        <v>Panpour</v>
      </c>
      <c r="D65" s="5" t="s">
        <v>8</v>
      </c>
      <c r="E65" s="5" t="s">
        <v>12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33</v>
      </c>
      <c r="C66" s="6" t="str">
        <f aca="false">HYPERLINK("https://partner.tcgplayer.com/c/6278691/1780961/21018?u=https%3A%2F%2Fwww.tcgplayer.com%2Fproduct%2F642642%3Futm_source%3Dimpact%26utm_medium%3Daffiliate%26utm_campaign%3Dpoke%2Bcottage","Panpour")</f>
        <v>Panpour</v>
      </c>
      <c r="D66" s="5" t="s">
        <v>8</v>
      </c>
      <c r="E66" s="5" t="s">
        <v>13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34</v>
      </c>
      <c r="C67" s="6" t="str">
        <f aca="false">HYPERLINK("https://partner.tcgplayer.com/c/6278691/1780961/21018?u=https%3A%2F%2Fwww.tcgplayer.com%2Fproduct%2F642470%3Futm_source%3Dimpact%26utm_medium%3Daffiliate%26utm_campaign%3Dpoke%2Bcottage","Simipour")</f>
        <v>Simipour</v>
      </c>
      <c r="D67" s="5" t="s">
        <v>20</v>
      </c>
      <c r="E67" s="5" t="s">
        <v>9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34</v>
      </c>
      <c r="C68" s="6" t="str">
        <f aca="false">HYPERLINK("https://partner.tcgplayer.com/c/6278691/1780961/21018?u=https%3A%2F%2Fwww.tcgplayer.com%2Fproduct%2F642470%3Futm_source%3Dimpact%26utm_medium%3Daffiliate%26utm_campaign%3Dpoke%2Bcottage","Simipour")</f>
        <v>Simipour</v>
      </c>
      <c r="D68" s="5" t="s">
        <v>20</v>
      </c>
      <c r="E68" s="5" t="s">
        <v>11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34</v>
      </c>
      <c r="C69" s="6" t="str">
        <f aca="false">HYPERLINK("https://partner.tcgplayer.com/c/6278691/1780961/21018?u=https%3A%2F%2Fwww.tcgplayer.com%2Fproduct%2F642715%3Futm_source%3Dimpact%26utm_medium%3Daffiliate%26utm_campaign%3Dpoke%2Bcottage","Simipour")</f>
        <v>Simipour</v>
      </c>
      <c r="D69" s="5" t="s">
        <v>20</v>
      </c>
      <c r="E69" s="5" t="s">
        <v>12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34</v>
      </c>
      <c r="C70" s="6" t="str">
        <f aca="false">HYPERLINK("https://partner.tcgplayer.com/c/6278691/1780961/21018?u=https%3A%2F%2Fwww.tcgplayer.com%2Fproduct%2F642643%3Futm_source%3Dimpact%26utm_medium%3Daffiliate%26utm_campaign%3Dpoke%2Bcottage","Simipour")</f>
        <v>Simipour</v>
      </c>
      <c r="D70" s="5" t="s">
        <v>20</v>
      </c>
      <c r="E70" s="5" t="s">
        <v>13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35</v>
      </c>
      <c r="C71" s="6" t="str">
        <f aca="false">HYPERLINK("https://partner.tcgplayer.com/c/6278691/1780961/21018?u=https%3A%2F%2Fwww.tcgplayer.com%2Fproduct%2F642471%3Futm_source%3Dimpact%26utm_medium%3Daffiliate%26utm_campaign%3Dpoke%2Bcottage","Tympole")</f>
        <v>Tympole</v>
      </c>
      <c r="D71" s="5" t="s">
        <v>8</v>
      </c>
      <c r="E71" s="5" t="s">
        <v>9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35</v>
      </c>
      <c r="C72" s="6" t="str">
        <f aca="false">HYPERLINK("https://partner.tcgplayer.com/c/6278691/1780961/21018?u=https%3A%2F%2Fwww.tcgplayer.com%2Fproduct%2F642471%3Futm_source%3Dimpact%26utm_medium%3Daffiliate%26utm_campaign%3Dpoke%2Bcottage","Tympole")</f>
        <v>Tympole</v>
      </c>
      <c r="D72" s="5" t="s">
        <v>8</v>
      </c>
      <c r="E72" s="5" t="s">
        <v>11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35</v>
      </c>
      <c r="C73" s="6" t="str">
        <f aca="false">HYPERLINK("https://partner.tcgplayer.com/c/6278691/1780961/21018?u=https%3A%2F%2Fwww.tcgplayer.com%2Fproduct%2F642716%3Futm_source%3Dimpact%26utm_medium%3Daffiliate%26utm_campaign%3Dpoke%2Bcottage","Tympole")</f>
        <v>Tympole</v>
      </c>
      <c r="D73" s="5" t="s">
        <v>8</v>
      </c>
      <c r="E73" s="5" t="s">
        <v>12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35</v>
      </c>
      <c r="C74" s="6" t="str">
        <f aca="false">HYPERLINK("https://partner.tcgplayer.com/c/6278691/1780961/21018?u=https%3A%2F%2Fwww.tcgplayer.com%2Fproduct%2F642644%3Futm_source%3Dimpact%26utm_medium%3Daffiliate%26utm_campaign%3Dpoke%2Bcottage","Tympole")</f>
        <v>Tympole</v>
      </c>
      <c r="D74" s="5" t="s">
        <v>8</v>
      </c>
      <c r="E74" s="5" t="s">
        <v>13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36</v>
      </c>
      <c r="C75" s="6" t="str">
        <f aca="false">HYPERLINK("https://partner.tcgplayer.com/c/6278691/1780961/21018?u=https%3A%2F%2Fwww.tcgplayer.com%2Fproduct%2F642472%3Futm_source%3Dimpact%26utm_medium%3Daffiliate%26utm_campaign%3Dpoke%2Bcottage","Palpitoad")</f>
        <v>Palpitoad</v>
      </c>
      <c r="D75" s="5" t="s">
        <v>8</v>
      </c>
      <c r="E75" s="5" t="s">
        <v>9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36</v>
      </c>
      <c r="C76" s="6" t="str">
        <f aca="false">HYPERLINK("https://partner.tcgplayer.com/c/6278691/1780961/21018?u=https%3A%2F%2Fwww.tcgplayer.com%2Fproduct%2F642472%3Futm_source%3Dimpact%26utm_medium%3Daffiliate%26utm_campaign%3Dpoke%2Bcottage","Palpitoad")</f>
        <v>Palpitoad</v>
      </c>
      <c r="D76" s="5" t="s">
        <v>8</v>
      </c>
      <c r="E76" s="5" t="s">
        <v>11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36</v>
      </c>
      <c r="C77" s="6" t="str">
        <f aca="false">HYPERLINK("https://partner.tcgplayer.com/c/6278691/1780961/21018?u=https%3A%2F%2Fwww.tcgplayer.com%2Fproduct%2F642717%3Futm_source%3Dimpact%26utm_medium%3Daffiliate%26utm_campaign%3Dpoke%2Bcottage","Palpitoad")</f>
        <v>Palpitoad</v>
      </c>
      <c r="D77" s="5" t="s">
        <v>8</v>
      </c>
      <c r="E77" s="5" t="s">
        <v>12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36</v>
      </c>
      <c r="C78" s="6" t="str">
        <f aca="false">HYPERLINK("https://partner.tcgplayer.com/c/6278691/1780961/21018?u=https%3A%2F%2Fwww.tcgplayer.com%2Fproduct%2F642645%3Futm_source%3Dimpact%26utm_medium%3Daffiliate%26utm_campaign%3Dpoke%2Bcottage","Palpitoad")</f>
        <v>Palpitoad</v>
      </c>
      <c r="D78" s="5" t="s">
        <v>8</v>
      </c>
      <c r="E78" s="5" t="s">
        <v>13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37</v>
      </c>
      <c r="C79" s="6" t="str">
        <f aca="false">HYPERLINK("https://partner.tcgplayer.com/c/6278691/1780961/21018?u=https%3A%2F%2Fwww.tcgplayer.com%2Fproduct%2F642473%3Futm_source%3Dimpact%26utm_medium%3Daffiliate%26utm_campaign%3Dpoke%2Bcottage","Seismitoad")</f>
        <v>Seismitoad</v>
      </c>
      <c r="D79" s="5" t="s">
        <v>20</v>
      </c>
      <c r="E79" s="5" t="s">
        <v>9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37</v>
      </c>
      <c r="C80" s="6" t="str">
        <f aca="false">HYPERLINK("https://partner.tcgplayer.com/c/6278691/1780961/21018?u=https%3A%2F%2Fwww.tcgplayer.com%2Fproduct%2F642473%3Futm_source%3Dimpact%26utm_medium%3Daffiliate%26utm_campaign%3Dpoke%2Bcottage","Seismitoad")</f>
        <v>Seismitoad</v>
      </c>
      <c r="D80" s="5" t="s">
        <v>20</v>
      </c>
      <c r="E80" s="5" t="s">
        <v>11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37</v>
      </c>
      <c r="C81" s="6" t="str">
        <f aca="false">HYPERLINK("https://partner.tcgplayer.com/c/6278691/1780961/21018?u=https%3A%2F%2Fwww.tcgplayer.com%2Fproduct%2F642718%3Futm_source%3Dimpact%26utm_medium%3Daffiliate%26utm_campaign%3Dpoke%2Bcottage","Seismitoad")</f>
        <v>Seismitoad</v>
      </c>
      <c r="D81" s="5" t="s">
        <v>20</v>
      </c>
      <c r="E81" s="5" t="s">
        <v>12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37</v>
      </c>
      <c r="C82" s="6" t="str">
        <f aca="false">HYPERLINK("https://partner.tcgplayer.com/c/6278691/1780961/21018?u=https%3A%2F%2Fwww.tcgplayer.com%2Fproduct%2F642646%3Futm_source%3Dimpact%26utm_medium%3Daffiliate%26utm_campaign%3Dpoke%2Bcottage","Seismitoad")</f>
        <v>Seismitoad</v>
      </c>
      <c r="D82" s="5" t="s">
        <v>20</v>
      </c>
      <c r="E82" s="5" t="s">
        <v>13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38</v>
      </c>
      <c r="C83" s="6" t="str">
        <f aca="false">HYPERLINK("https://partner.tcgplayer.com/c/6278691/1780961/21018?u=https%3A%2F%2Fwww.tcgplayer.com%2Fproduct%2F642474%3Futm_source%3Dimpact%26utm_medium%3Daffiliate%26utm_campaign%3Dpoke%2Bcottage","Tirtouga")</f>
        <v>Tirtouga</v>
      </c>
      <c r="D83" s="5" t="s">
        <v>20</v>
      </c>
      <c r="E83" s="5" t="s">
        <v>9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38</v>
      </c>
      <c r="C84" s="6" t="str">
        <f aca="false">HYPERLINK("https://partner.tcgplayer.com/c/6278691/1780961/21018?u=https%3A%2F%2Fwww.tcgplayer.com%2Fproduct%2F642474%3Futm_source%3Dimpact%26utm_medium%3Daffiliate%26utm_campaign%3Dpoke%2Bcottage","Tirtouga")</f>
        <v>Tirtouga</v>
      </c>
      <c r="D84" s="5" t="s">
        <v>20</v>
      </c>
      <c r="E84" s="5" t="s">
        <v>11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38</v>
      </c>
      <c r="C85" s="6" t="str">
        <f aca="false">HYPERLINK("https://partner.tcgplayer.com/c/6278691/1780961/21018?u=https%3A%2F%2Fwww.tcgplayer.com%2Fproduct%2F642719%3Futm_source%3Dimpact%26utm_medium%3Daffiliate%26utm_campaign%3Dpoke%2Bcottage","Tirtouga")</f>
        <v>Tirtouga</v>
      </c>
      <c r="D85" s="5" t="s">
        <v>20</v>
      </c>
      <c r="E85" s="5" t="s">
        <v>12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38</v>
      </c>
      <c r="C86" s="6" t="str">
        <f aca="false">HYPERLINK("https://partner.tcgplayer.com/c/6278691/1780961/21018?u=https%3A%2F%2Fwww.tcgplayer.com%2Fproduct%2F642647%3Futm_source%3Dimpact%26utm_medium%3Daffiliate%26utm_campaign%3Dpoke%2Bcottage","Tirtouga")</f>
        <v>Tirtouga</v>
      </c>
      <c r="D86" s="5" t="s">
        <v>20</v>
      </c>
      <c r="E86" s="5" t="s">
        <v>13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39</v>
      </c>
      <c r="C87" s="6" t="str">
        <f aca="false">HYPERLINK("https://partner.tcgplayer.com/c/6278691/1780961/21018?u=https%3A%2F%2Fwww.tcgplayer.com%2Fproduct%2F642475%3Futm_source%3Dimpact%26utm_medium%3Daffiliate%26utm_campaign%3Dpoke%2Bcottage","Carracosta")</f>
        <v>Carracosta</v>
      </c>
      <c r="D87" s="5" t="s">
        <v>28</v>
      </c>
      <c r="E87" s="5" t="s">
        <v>17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39</v>
      </c>
      <c r="C88" s="6" t="str">
        <f aca="false">HYPERLINK("https://partner.tcgplayer.com/c/6278691/1780961/21018?u=https%3A%2F%2Fwww.tcgplayer.com%2Fproduct%2F642475%3Futm_source%3Dimpact%26utm_medium%3Daffiliate%26utm_campaign%3Dpoke%2Bcottage","Carracosta")</f>
        <v>Carracosta</v>
      </c>
      <c r="D88" s="5" t="s">
        <v>28</v>
      </c>
      <c r="E88" s="5" t="s">
        <v>11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39</v>
      </c>
      <c r="C89" s="6" t="str">
        <f aca="false">HYPERLINK("https://partner.tcgplayer.com/c/6278691/1780961/21018?u=https%3A%2F%2Fwww.tcgplayer.com%2Fproduct%2F642720%3Futm_source%3Dimpact%26utm_medium%3Daffiliate%26utm_campaign%3Dpoke%2Bcottage","Carracosta")</f>
        <v>Carracosta</v>
      </c>
      <c r="D89" s="5" t="s">
        <v>28</v>
      </c>
      <c r="E89" s="5" t="s">
        <v>12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39</v>
      </c>
      <c r="C90" s="6" t="str">
        <f aca="false">HYPERLINK("https://partner.tcgplayer.com/c/6278691/1780961/21018?u=https%3A%2F%2Fwww.tcgplayer.com%2Fproduct%2F642648%3Futm_source%3Dimpact%26utm_medium%3Daffiliate%26utm_campaign%3Dpoke%2Bcottage","Carracosta")</f>
        <v>Carracosta</v>
      </c>
      <c r="D90" s="5" t="s">
        <v>28</v>
      </c>
      <c r="E90" s="5" t="s">
        <v>13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40</v>
      </c>
      <c r="C91" s="6" t="str">
        <f aca="false">HYPERLINK("https://partner.tcgplayer.com/c/6278691/1780961/21018?u=https%3A%2F%2Fwww.tcgplayer.com%2Fproduct%2F642476%3Futm_source%3Dimpact%26utm_medium%3Daffiliate%26utm_campaign%3Dpoke%2Bcottage","Alomomola")</f>
        <v>Alomomola</v>
      </c>
      <c r="D91" s="5" t="s">
        <v>20</v>
      </c>
      <c r="E91" s="5" t="s">
        <v>9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40</v>
      </c>
      <c r="C92" s="6" t="str">
        <f aca="false">HYPERLINK("https://partner.tcgplayer.com/c/6278691/1780961/21018?u=https%3A%2F%2Fwww.tcgplayer.com%2Fproduct%2F642476%3Futm_source%3Dimpact%26utm_medium%3Daffiliate%26utm_campaign%3Dpoke%2Bcottage","Alomomola")</f>
        <v>Alomomola</v>
      </c>
      <c r="D92" s="5" t="s">
        <v>20</v>
      </c>
      <c r="E92" s="5" t="s">
        <v>11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40</v>
      </c>
      <c r="C93" s="6" t="str">
        <f aca="false">HYPERLINK("https://partner.tcgplayer.com/c/6278691/1780961/21018?u=https%3A%2F%2Fwww.tcgplayer.com%2Fproduct%2F642721%3Futm_source%3Dimpact%26utm_medium%3Daffiliate%26utm_campaign%3Dpoke%2Bcottage","Alomomola")</f>
        <v>Alomomola</v>
      </c>
      <c r="D93" s="5" t="s">
        <v>20</v>
      </c>
      <c r="E93" s="5" t="s">
        <v>12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40</v>
      </c>
      <c r="C94" s="6" t="str">
        <f aca="false">HYPERLINK("https://partner.tcgplayer.com/c/6278691/1780961/21018?u=https%3A%2F%2Fwww.tcgplayer.com%2Fproduct%2F642649%3Futm_source%3Dimpact%26utm_medium%3Daffiliate%26utm_campaign%3Dpoke%2Bcottage","Alomomola")</f>
        <v>Alomomola</v>
      </c>
      <c r="D94" s="5" t="s">
        <v>20</v>
      </c>
      <c r="E94" s="5" t="s">
        <v>13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41</v>
      </c>
      <c r="C95" s="6" t="str">
        <f aca="false">HYPERLINK("https://partner.tcgplayer.com/c/6278691/1780961/21018?u=https%3A%2F%2Fwww.tcgplayer.com%2Fproduct%2F642477%3Futm_source%3Dimpact%26utm_medium%3Daffiliate%26utm_campaign%3Dpoke%2Bcottage","Cubchoo")</f>
        <v>Cubchoo</v>
      </c>
      <c r="D95" s="5" t="s">
        <v>8</v>
      </c>
      <c r="E95" s="5" t="s">
        <v>9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41</v>
      </c>
      <c r="C96" s="6" t="str">
        <f aca="false">HYPERLINK("https://partner.tcgplayer.com/c/6278691/1780961/21018?u=https%3A%2F%2Fwww.tcgplayer.com%2Fproduct%2F642477%3Futm_source%3Dimpact%26utm_medium%3Daffiliate%26utm_campaign%3Dpoke%2Bcottage","Cubchoo")</f>
        <v>Cubchoo</v>
      </c>
      <c r="D96" s="5" t="s">
        <v>8</v>
      </c>
      <c r="E96" s="5" t="s">
        <v>11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41</v>
      </c>
      <c r="C97" s="6" t="str">
        <f aca="false">HYPERLINK("https://partner.tcgplayer.com/c/6278691/1780961/21018?u=https%3A%2F%2Fwww.tcgplayer.com%2Fproduct%2F642722%3Futm_source%3Dimpact%26utm_medium%3Daffiliate%26utm_campaign%3Dpoke%2Bcottage","Cubchoo")</f>
        <v>Cubchoo</v>
      </c>
      <c r="D97" s="5" t="s">
        <v>8</v>
      </c>
      <c r="E97" s="5" t="s">
        <v>12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41</v>
      </c>
      <c r="C98" s="6" t="str">
        <f aca="false">HYPERLINK("https://partner.tcgplayer.com/c/6278691/1780961/21018?u=https%3A%2F%2Fwww.tcgplayer.com%2Fproduct%2F642650%3Futm_source%3Dimpact%26utm_medium%3Daffiliate%26utm_campaign%3Dpoke%2Bcottage","Cubchoo")</f>
        <v>Cubchoo</v>
      </c>
      <c r="D98" s="5" t="s">
        <v>8</v>
      </c>
      <c r="E98" s="5" t="s">
        <v>13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42</v>
      </c>
      <c r="C99" s="6" t="str">
        <f aca="false">HYPERLINK("https://partner.tcgplayer.com/c/6278691/1780961/21018?u=https%3A%2F%2Fwww.tcgplayer.com%2Fproduct%2F642478%3Futm_source%3Dimpact%26utm_medium%3Daffiliate%26utm_campaign%3Dpoke%2Bcottage","Beartic")</f>
        <v>Beartic</v>
      </c>
      <c r="D99" s="5" t="s">
        <v>28</v>
      </c>
      <c r="E99" s="5" t="s">
        <v>17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42</v>
      </c>
      <c r="C100" s="6" t="str">
        <f aca="false">HYPERLINK("https://partner.tcgplayer.com/c/6278691/1780961/21018?u=https%3A%2F%2Fwww.tcgplayer.com%2Fproduct%2F642478%3Futm_source%3Dimpact%26utm_medium%3Daffiliate%26utm_campaign%3Dpoke%2Bcottage","Beartic")</f>
        <v>Beartic</v>
      </c>
      <c r="D100" s="5" t="s">
        <v>28</v>
      </c>
      <c r="E100" s="5" t="s">
        <v>11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42</v>
      </c>
      <c r="C101" s="6" t="str">
        <f aca="false">HYPERLINK("https://partner.tcgplayer.com/c/6278691/1780961/21018?u=https%3A%2F%2Fwww.tcgplayer.com%2Fproduct%2F642723%3Futm_source%3Dimpact%26utm_medium%3Daffiliate%26utm_campaign%3Dpoke%2Bcottage","Beartic")</f>
        <v>Beartic</v>
      </c>
      <c r="D101" s="5" t="s">
        <v>28</v>
      </c>
      <c r="E101" s="5" t="s">
        <v>12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42</v>
      </c>
      <c r="C102" s="6" t="str">
        <f aca="false">HYPERLINK("https://partner.tcgplayer.com/c/6278691/1780961/21018?u=https%3A%2F%2Fwww.tcgplayer.com%2Fproduct%2F642651%3Futm_source%3Dimpact%26utm_medium%3Daffiliate%26utm_campaign%3Dpoke%2Bcottage","Beartic")</f>
        <v>Beartic</v>
      </c>
      <c r="D102" s="5" t="s">
        <v>28</v>
      </c>
      <c r="E102" s="5" t="s">
        <v>13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43</v>
      </c>
      <c r="C103" s="6" t="str">
        <f aca="false">HYPERLINK("https://partner.tcgplayer.com/c/6278691/1780961/21018?u=https%3A%2F%2Fwww.tcgplayer.com%2Fproduct%2F642479%3Futm_source%3Dimpact%26utm_medium%3Daffiliate%26utm_campaign%3Dpoke%2Bcottage","Cryogonal")</f>
        <v>Cryogonal</v>
      </c>
      <c r="D103" s="5" t="s">
        <v>20</v>
      </c>
      <c r="E103" s="5" t="s">
        <v>9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43</v>
      </c>
      <c r="C104" s="6" t="str">
        <f aca="false">HYPERLINK("https://partner.tcgplayer.com/c/6278691/1780961/21018?u=https%3A%2F%2Fwww.tcgplayer.com%2Fproduct%2F642479%3Futm_source%3Dimpact%26utm_medium%3Daffiliate%26utm_campaign%3Dpoke%2Bcottage","Cryogonal")</f>
        <v>Cryogonal</v>
      </c>
      <c r="D104" s="5" t="s">
        <v>20</v>
      </c>
      <c r="E104" s="5" t="s">
        <v>11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43</v>
      </c>
      <c r="C105" s="6" t="str">
        <f aca="false">HYPERLINK("https://partner.tcgplayer.com/c/6278691/1780961/21018?u=https%3A%2F%2Fwww.tcgplayer.com%2Fproduct%2F642724%3Futm_source%3Dimpact%26utm_medium%3Daffiliate%26utm_campaign%3Dpoke%2Bcottage","Cryogonal")</f>
        <v>Cryogonal</v>
      </c>
      <c r="D105" s="5" t="s">
        <v>20</v>
      </c>
      <c r="E105" s="5" t="s">
        <v>12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43</v>
      </c>
      <c r="C106" s="6" t="str">
        <f aca="false">HYPERLINK("https://partner.tcgplayer.com/c/6278691/1780961/21018?u=https%3A%2F%2Fwww.tcgplayer.com%2Fproduct%2F642652%3Futm_source%3Dimpact%26utm_medium%3Daffiliate%26utm_campaign%3Dpoke%2Bcottage","Cryogonal")</f>
        <v>Cryogonal</v>
      </c>
      <c r="D106" s="5" t="s">
        <v>20</v>
      </c>
      <c r="E106" s="5" t="s">
        <v>13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44</v>
      </c>
      <c r="C107" s="6" t="str">
        <f aca="false">HYPERLINK("https://partner.tcgplayer.com/c/6278691/1780961/21018?u=https%3A%2F%2Fwww.tcgplayer.com%2Fproduct%2F642480%3Futm_source%3Dimpact%26utm_medium%3Daffiliate%26utm_campaign%3Dpoke%2Bcottage","Kyurem ex")</f>
        <v>Kyurem ex</v>
      </c>
      <c r="D107" s="5" t="s">
        <v>16</v>
      </c>
      <c r="E107" s="5" t="s">
        <v>17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45</v>
      </c>
      <c r="C108" s="6" t="str">
        <f aca="false">HYPERLINK("https://partner.tcgplayer.com/c/6278691/1780961/21018?u=https%3A%2F%2Fwww.tcgplayer.com%2Fproduct%2F642481%3Futm_source%3Dimpact%26utm_medium%3Daffiliate%26utm_campaign%3Dpoke%2Bcottage","Emolga")</f>
        <v>Emolga</v>
      </c>
      <c r="D108" s="5" t="s">
        <v>8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45</v>
      </c>
      <c r="C109" s="6" t="str">
        <f aca="false">HYPERLINK("https://partner.tcgplayer.com/c/6278691/1780961/21018?u=https%3A%2F%2Fwww.tcgplayer.com%2Fproduct%2F642481%3Futm_source%3Dimpact%26utm_medium%3Daffiliate%26utm_campaign%3Dpoke%2Bcottage","Emolga")</f>
        <v>Emolga</v>
      </c>
      <c r="D109" s="5" t="s">
        <v>8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45</v>
      </c>
      <c r="C110" s="6" t="str">
        <f aca="false">HYPERLINK("https://partner.tcgplayer.com/c/6278691/1780961/21018?u=https%3A%2F%2Fwww.tcgplayer.com%2Fproduct%2F642726%3Futm_source%3Dimpact%26utm_medium%3Daffiliate%26utm_campaign%3Dpoke%2Bcottage","Emolga")</f>
        <v>Emolga</v>
      </c>
      <c r="D110" s="5" t="s">
        <v>8</v>
      </c>
      <c r="E110" s="5" t="s">
        <v>12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45</v>
      </c>
      <c r="C111" s="6" t="str">
        <f aca="false">HYPERLINK("https://partner.tcgplayer.com/c/6278691/1780961/21018?u=https%3A%2F%2Fwww.tcgplayer.com%2Fproduct%2F642653%3Futm_source%3Dimpact%26utm_medium%3Daffiliate%26utm_campaign%3Dpoke%2Bcottage","Emolga")</f>
        <v>Emolga</v>
      </c>
      <c r="D111" s="5" t="s">
        <v>8</v>
      </c>
      <c r="E111" s="5" t="s">
        <v>13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46</v>
      </c>
      <c r="C112" s="6" t="str">
        <f aca="false">HYPERLINK("https://partner.tcgplayer.com/c/6278691/1780961/21018?u=https%3A%2F%2Fwww.tcgplayer.com%2Fproduct%2F642482%3Futm_source%3Dimpact%26utm_medium%3Daffiliate%26utm_campaign%3Dpoke%2Bcottage","Tynamo")</f>
        <v>Tynamo</v>
      </c>
      <c r="D112" s="5" t="s">
        <v>8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46</v>
      </c>
      <c r="C113" s="6" t="str">
        <f aca="false">HYPERLINK("https://partner.tcgplayer.com/c/6278691/1780961/21018?u=https%3A%2F%2Fwww.tcgplayer.com%2Fproduct%2F642482%3Futm_source%3Dimpact%26utm_medium%3Daffiliate%26utm_campaign%3Dpoke%2Bcottage","Tynamo")</f>
        <v>Tynamo</v>
      </c>
      <c r="D113" s="5" t="s">
        <v>8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46</v>
      </c>
      <c r="C114" s="6" t="str">
        <f aca="false">HYPERLINK("https://partner.tcgplayer.com/c/6278691/1780961/21018?u=https%3A%2F%2Fwww.tcgplayer.com%2Fproduct%2F642727%3Futm_source%3Dimpact%26utm_medium%3Daffiliate%26utm_campaign%3Dpoke%2Bcottage","Tynamo")</f>
        <v>Tynamo</v>
      </c>
      <c r="D114" s="5" t="s">
        <v>8</v>
      </c>
      <c r="E114" s="5" t="s">
        <v>12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46</v>
      </c>
      <c r="C115" s="6" t="str">
        <f aca="false">HYPERLINK("https://partner.tcgplayer.com/c/6278691/1780961/21018?u=https%3A%2F%2Fwww.tcgplayer.com%2Fproduct%2F642654%3Futm_source%3Dimpact%26utm_medium%3Daffiliate%26utm_campaign%3Dpoke%2Bcottage","Tynamo")</f>
        <v>Tynamo</v>
      </c>
      <c r="D115" s="5" t="s">
        <v>8</v>
      </c>
      <c r="E115" s="5" t="s">
        <v>13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47</v>
      </c>
      <c r="C116" s="6" t="str">
        <f aca="false">HYPERLINK("https://partner.tcgplayer.com/c/6278691/1780961/21018?u=https%3A%2F%2Fwww.tcgplayer.com%2Fproduct%2F642483%3Futm_source%3Dimpact%26utm_medium%3Daffiliate%26utm_campaign%3Dpoke%2Bcottage","Eelektrik")</f>
        <v>Eelektrik</v>
      </c>
      <c r="D116" s="5" t="s">
        <v>20</v>
      </c>
      <c r="E116" s="5" t="s">
        <v>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47</v>
      </c>
      <c r="C117" s="6" t="str">
        <f aca="false">HYPERLINK("https://partner.tcgplayer.com/c/6278691/1780961/21018?u=https%3A%2F%2Fwww.tcgplayer.com%2Fproduct%2F642483%3Futm_source%3Dimpact%26utm_medium%3Daffiliate%26utm_campaign%3Dpoke%2Bcottage","Eelektrik")</f>
        <v>Eelektrik</v>
      </c>
      <c r="D117" s="5" t="s">
        <v>20</v>
      </c>
      <c r="E117" s="5" t="s">
        <v>11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47</v>
      </c>
      <c r="C118" s="6" t="str">
        <f aca="false">HYPERLINK("https://partner.tcgplayer.com/c/6278691/1780961/21018?u=https%3A%2F%2Fwww.tcgplayer.com%2Fproduct%2F642728%3Futm_source%3Dimpact%26utm_medium%3Daffiliate%26utm_campaign%3Dpoke%2Bcottage","Eelektrik")</f>
        <v>Eelektrik</v>
      </c>
      <c r="D118" s="5" t="s">
        <v>20</v>
      </c>
      <c r="E118" s="5" t="s">
        <v>12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47</v>
      </c>
      <c r="C119" s="6" t="str">
        <f aca="false">HYPERLINK("https://partner.tcgplayer.com/c/6278691/1780961/21018?u=https%3A%2F%2Fwww.tcgplayer.com%2Fproduct%2F642655%3Futm_source%3Dimpact%26utm_medium%3Daffiliate%26utm_campaign%3Dpoke%2Bcottage","Eelektrik")</f>
        <v>Eelektrik</v>
      </c>
      <c r="D119" s="5" t="s">
        <v>20</v>
      </c>
      <c r="E119" s="5" t="s">
        <v>13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48</v>
      </c>
      <c r="C120" s="6" t="str">
        <f aca="false">HYPERLINK("https://partner.tcgplayer.com/c/6278691/1780961/21018?u=https%3A%2F%2Fwww.tcgplayer.com%2Fproduct%2F642484%3Futm_source%3Dimpact%26utm_medium%3Daffiliate%26utm_campaign%3Dpoke%2Bcottage","Eelektross")</f>
        <v>Eelektross</v>
      </c>
      <c r="D120" s="5" t="s">
        <v>20</v>
      </c>
      <c r="E120" s="5" t="s">
        <v>9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48</v>
      </c>
      <c r="C121" s="6" t="str">
        <f aca="false">HYPERLINK("https://partner.tcgplayer.com/c/6278691/1780961/21018?u=https%3A%2F%2Fwww.tcgplayer.com%2Fproduct%2F642484%3Futm_source%3Dimpact%26utm_medium%3Daffiliate%26utm_campaign%3Dpoke%2Bcottage","Eelektross")</f>
        <v>Eelektross</v>
      </c>
      <c r="D121" s="5" t="s">
        <v>20</v>
      </c>
      <c r="E121" s="5" t="s">
        <v>11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48</v>
      </c>
      <c r="C122" s="6" t="str">
        <f aca="false">HYPERLINK("https://partner.tcgplayer.com/c/6278691/1780961/21018?u=https%3A%2F%2Fwww.tcgplayer.com%2Fproduct%2F642729%3Futm_source%3Dimpact%26utm_medium%3Daffiliate%26utm_campaign%3Dpoke%2Bcottage","Eelektross")</f>
        <v>Eelektross</v>
      </c>
      <c r="D122" s="5" t="s">
        <v>20</v>
      </c>
      <c r="E122" s="5" t="s">
        <v>12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48</v>
      </c>
      <c r="C123" s="6" t="str">
        <f aca="false">HYPERLINK("https://partner.tcgplayer.com/c/6278691/1780961/21018?u=https%3A%2F%2Fwww.tcgplayer.com%2Fproduct%2F642656%3Futm_source%3Dimpact%26utm_medium%3Daffiliate%26utm_campaign%3Dpoke%2Bcottage","Eelektross")</f>
        <v>Eelektross</v>
      </c>
      <c r="D123" s="5" t="s">
        <v>20</v>
      </c>
      <c r="E123" s="5" t="s">
        <v>13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49</v>
      </c>
      <c r="C124" s="6" t="str">
        <f aca="false">HYPERLINK("https://partner.tcgplayer.com/c/6278691/1780961/21018?u=https%3A%2F%2Fwww.tcgplayer.com%2Fproduct%2F642485%3Futm_source%3Dimpact%26utm_medium%3Daffiliate%26utm_campaign%3Dpoke%2Bcottage","Thundurus")</f>
        <v>Thundurus</v>
      </c>
      <c r="D124" s="5" t="s">
        <v>28</v>
      </c>
      <c r="E124" s="5" t="s">
        <v>17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49</v>
      </c>
      <c r="C125" s="6" t="str">
        <f aca="false">HYPERLINK("https://partner.tcgplayer.com/c/6278691/1780961/21018?u=https%3A%2F%2Fwww.tcgplayer.com%2Fproduct%2F642485%3Futm_source%3Dimpact%26utm_medium%3Daffiliate%26utm_campaign%3Dpoke%2Bcottage","Thundurus")</f>
        <v>Thundurus</v>
      </c>
      <c r="D125" s="5" t="s">
        <v>28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49</v>
      </c>
      <c r="C126" s="6" t="str">
        <f aca="false">HYPERLINK("https://partner.tcgplayer.com/c/6278691/1780961/21018?u=https%3A%2F%2Fwww.tcgplayer.com%2Fproduct%2F642730%3Futm_source%3Dimpact%26utm_medium%3Daffiliate%26utm_campaign%3Dpoke%2Bcottage","Thundurus")</f>
        <v>Thundurus</v>
      </c>
      <c r="D126" s="5" t="s">
        <v>28</v>
      </c>
      <c r="E126" s="5" t="s">
        <v>12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49</v>
      </c>
      <c r="C127" s="6" t="str">
        <f aca="false">HYPERLINK("https://partner.tcgplayer.com/c/6278691/1780961/21018?u=https%3A%2F%2Fwww.tcgplayer.com%2Fproduct%2F642657%3Futm_source%3Dimpact%26utm_medium%3Daffiliate%26utm_campaign%3Dpoke%2Bcottage","Thundurus")</f>
        <v>Thundurus</v>
      </c>
      <c r="D127" s="5" t="s">
        <v>28</v>
      </c>
      <c r="E127" s="5" t="s">
        <v>13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50</v>
      </c>
      <c r="C128" s="6" t="str">
        <f aca="false">HYPERLINK("https://partner.tcgplayer.com/c/6278691/1780961/21018?u=https%3A%2F%2Fwww.tcgplayer.com%2Fproduct%2F642486%3Futm_source%3Dimpact%26utm_medium%3Daffiliate%26utm_campaign%3Dpoke%2Bcottage","Zekrom ex")</f>
        <v>Zekrom ex</v>
      </c>
      <c r="D128" s="5" t="s">
        <v>16</v>
      </c>
      <c r="E128" s="5" t="s">
        <v>17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51</v>
      </c>
      <c r="C129" s="6" t="str">
        <f aca="false">HYPERLINK("https://partner.tcgplayer.com/c/6278691/1780961/21018?u=https%3A%2F%2Fwww.tcgplayer.com%2Fproduct%2F642487%3Futm_source%3Dimpact%26utm_medium%3Daffiliate%26utm_campaign%3Dpoke%2Bcottage","Munna")</f>
        <v>Munna</v>
      </c>
      <c r="D129" s="5" t="s">
        <v>8</v>
      </c>
      <c r="E129" s="5" t="s">
        <v>9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51</v>
      </c>
      <c r="C130" s="6" t="str">
        <f aca="false">HYPERLINK("https://partner.tcgplayer.com/c/6278691/1780961/21018?u=https%3A%2F%2Fwww.tcgplayer.com%2Fproduct%2F642487%3Futm_source%3Dimpact%26utm_medium%3Daffiliate%26utm_campaign%3Dpoke%2Bcottage","Munna")</f>
        <v>Munna</v>
      </c>
      <c r="D130" s="5" t="s">
        <v>8</v>
      </c>
      <c r="E130" s="5" t="s">
        <v>11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51</v>
      </c>
      <c r="C131" s="6" t="str">
        <f aca="false">HYPERLINK("https://partner.tcgplayer.com/c/6278691/1780961/21018?u=https%3A%2F%2Fwww.tcgplayer.com%2Fproduct%2F642731%3Futm_source%3Dimpact%26utm_medium%3Daffiliate%26utm_campaign%3Dpoke%2Bcottage","Munna")</f>
        <v>Munna</v>
      </c>
      <c r="D131" s="5" t="s">
        <v>8</v>
      </c>
      <c r="E131" s="5" t="s">
        <v>12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51</v>
      </c>
      <c r="C132" s="6" t="str">
        <f aca="false">HYPERLINK("https://partner.tcgplayer.com/c/6278691/1780961/21018?u=https%3A%2F%2Fwww.tcgplayer.com%2Fproduct%2F642658%3Futm_source%3Dimpact%26utm_medium%3Daffiliate%26utm_campaign%3Dpoke%2Bcottage","Munna")</f>
        <v>Munna</v>
      </c>
      <c r="D132" s="5" t="s">
        <v>8</v>
      </c>
      <c r="E132" s="5" t="s">
        <v>13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52</v>
      </c>
      <c r="C133" s="6" t="str">
        <f aca="false">HYPERLINK("https://partner.tcgplayer.com/c/6278691/1780961/21018?u=https%3A%2F%2Fwww.tcgplayer.com%2Fproduct%2F642488%3Futm_source%3Dimpact%26utm_medium%3Daffiliate%26utm_campaign%3Dpoke%2Bcottage","Musharna")</f>
        <v>Musharna</v>
      </c>
      <c r="D133" s="5" t="s">
        <v>20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52</v>
      </c>
      <c r="C134" s="6" t="str">
        <f aca="false">HYPERLINK("https://partner.tcgplayer.com/c/6278691/1780961/21018?u=https%3A%2F%2Fwww.tcgplayer.com%2Fproduct%2F642488%3Futm_source%3Dimpact%26utm_medium%3Daffiliate%26utm_campaign%3Dpoke%2Bcottage","Musharna")</f>
        <v>Musharna</v>
      </c>
      <c r="D134" s="5" t="s">
        <v>20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52</v>
      </c>
      <c r="C135" s="6" t="str">
        <f aca="false">HYPERLINK("https://partner.tcgplayer.com/c/6278691/1780961/21018?u=https%3A%2F%2Fwww.tcgplayer.com%2Fproduct%2F642732%3Futm_source%3Dimpact%26utm_medium%3Daffiliate%26utm_campaign%3Dpoke%2Bcottage","Musharna")</f>
        <v>Musharna</v>
      </c>
      <c r="D135" s="5" t="s">
        <v>20</v>
      </c>
      <c r="E135" s="5" t="s">
        <v>12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52</v>
      </c>
      <c r="C136" s="6" t="str">
        <f aca="false">HYPERLINK("https://partner.tcgplayer.com/c/6278691/1780961/21018?u=https%3A%2F%2Fwww.tcgplayer.com%2Fproduct%2F642659%3Futm_source%3Dimpact%26utm_medium%3Daffiliate%26utm_campaign%3Dpoke%2Bcottage","Musharna")</f>
        <v>Musharna</v>
      </c>
      <c r="D136" s="5" t="s">
        <v>20</v>
      </c>
      <c r="E136" s="5" t="s">
        <v>13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53</v>
      </c>
      <c r="C137" s="6" t="str">
        <f aca="false">HYPERLINK("https://partner.tcgplayer.com/c/6278691/1780961/21018?u=https%3A%2F%2Fwww.tcgplayer.com%2Fproduct%2F642489%3Futm_source%3Dimpact%26utm_medium%3Daffiliate%26utm_campaign%3Dpoke%2Bcottage","Solosis")</f>
        <v>Solosis</v>
      </c>
      <c r="D137" s="5" t="s">
        <v>8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53</v>
      </c>
      <c r="C138" s="6" t="str">
        <f aca="false">HYPERLINK("https://partner.tcgplayer.com/c/6278691/1780961/21018?u=https%3A%2F%2Fwww.tcgplayer.com%2Fproduct%2F642489%3Futm_source%3Dimpact%26utm_medium%3Daffiliate%26utm_campaign%3Dpoke%2Bcottage","Solosis")</f>
        <v>Solosis</v>
      </c>
      <c r="D138" s="5" t="s">
        <v>8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53</v>
      </c>
      <c r="C139" s="6" t="str">
        <f aca="false">HYPERLINK("https://partner.tcgplayer.com/c/6278691/1780961/21018?u=https%3A%2F%2Fwww.tcgplayer.com%2Fproduct%2F642733%3Futm_source%3Dimpact%26utm_medium%3Daffiliate%26utm_campaign%3Dpoke%2Bcottage","Solosis")</f>
        <v>Solosis</v>
      </c>
      <c r="D139" s="5" t="s">
        <v>8</v>
      </c>
      <c r="E139" s="5" t="s">
        <v>12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53</v>
      </c>
      <c r="C140" s="6" t="str">
        <f aca="false">HYPERLINK("https://partner.tcgplayer.com/c/6278691/1780961/21018?u=https%3A%2F%2Fwww.tcgplayer.com%2Fproduct%2F642660%3Futm_source%3Dimpact%26utm_medium%3Daffiliate%26utm_campaign%3Dpoke%2Bcottage","Solosis")</f>
        <v>Solosis</v>
      </c>
      <c r="D140" s="5" t="s">
        <v>8</v>
      </c>
      <c r="E140" s="5" t="s">
        <v>13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54</v>
      </c>
      <c r="C141" s="6" t="str">
        <f aca="false">HYPERLINK("https://partner.tcgplayer.com/c/6278691/1780961/21018?u=https%3A%2F%2Fwww.tcgplayer.com%2Fproduct%2F642490%3Futm_source%3Dimpact%26utm_medium%3Daffiliate%26utm_campaign%3Dpoke%2Bcottage","Duosion")</f>
        <v>Duosion</v>
      </c>
      <c r="D141" s="5" t="s">
        <v>8</v>
      </c>
      <c r="E141" s="5" t="s">
        <v>9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54</v>
      </c>
      <c r="C142" s="6" t="str">
        <f aca="false">HYPERLINK("https://partner.tcgplayer.com/c/6278691/1780961/21018?u=https%3A%2F%2Fwww.tcgplayer.com%2Fproduct%2F642490%3Futm_source%3Dimpact%26utm_medium%3Daffiliate%26utm_campaign%3Dpoke%2Bcottage","Duosion")</f>
        <v>Duosion</v>
      </c>
      <c r="D142" s="5" t="s">
        <v>8</v>
      </c>
      <c r="E142" s="5" t="s">
        <v>11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54</v>
      </c>
      <c r="C143" s="6" t="str">
        <f aca="false">HYPERLINK("https://partner.tcgplayer.com/c/6278691/1780961/21018?u=https%3A%2F%2Fwww.tcgplayer.com%2Fproduct%2F642734%3Futm_source%3Dimpact%26utm_medium%3Daffiliate%26utm_campaign%3Dpoke%2Bcottage","Duosion")</f>
        <v>Duosion</v>
      </c>
      <c r="D143" s="5" t="s">
        <v>8</v>
      </c>
      <c r="E143" s="5" t="s">
        <v>12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54</v>
      </c>
      <c r="C144" s="6" t="str">
        <f aca="false">HYPERLINK("https://partner.tcgplayer.com/c/6278691/1780961/21018?u=https%3A%2F%2Fwww.tcgplayer.com%2Fproduct%2F642661%3Futm_source%3Dimpact%26utm_medium%3Daffiliate%26utm_campaign%3Dpoke%2Bcottage","Duosion")</f>
        <v>Duosion</v>
      </c>
      <c r="D144" s="5" t="s">
        <v>8</v>
      </c>
      <c r="E144" s="5" t="s">
        <v>13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55</v>
      </c>
      <c r="C145" s="6" t="str">
        <f aca="false">HYPERLINK("https://partner.tcgplayer.com/c/6278691/1780961/21018?u=https%3A%2F%2Fwww.tcgplayer.com%2Fproduct%2F642491%3Futm_source%3Dimpact%26utm_medium%3Daffiliate%26utm_campaign%3Dpoke%2Bcottage","Reuniclus")</f>
        <v>Reuniclus</v>
      </c>
      <c r="D145" s="5" t="s">
        <v>20</v>
      </c>
      <c r="E145" s="5" t="s">
        <v>9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55</v>
      </c>
      <c r="C146" s="6" t="str">
        <f aca="false">HYPERLINK("https://partner.tcgplayer.com/c/6278691/1780961/21018?u=https%3A%2F%2Fwww.tcgplayer.com%2Fproduct%2F642491%3Futm_source%3Dimpact%26utm_medium%3Daffiliate%26utm_campaign%3Dpoke%2Bcottage","Reuniclus")</f>
        <v>Reuniclus</v>
      </c>
      <c r="D146" s="5" t="s">
        <v>20</v>
      </c>
      <c r="E146" s="5" t="s">
        <v>11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55</v>
      </c>
      <c r="C147" s="6" t="str">
        <f aca="false">HYPERLINK("https://partner.tcgplayer.com/c/6278691/1780961/21018?u=https%3A%2F%2Fwww.tcgplayer.com%2Fproduct%2F642735%3Futm_source%3Dimpact%26utm_medium%3Daffiliate%26utm_campaign%3Dpoke%2Bcottage","Reuniclus")</f>
        <v>Reuniclus</v>
      </c>
      <c r="D147" s="5" t="s">
        <v>20</v>
      </c>
      <c r="E147" s="5" t="s">
        <v>12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55</v>
      </c>
      <c r="C148" s="6" t="str">
        <f aca="false">HYPERLINK("https://partner.tcgplayer.com/c/6278691/1780961/21018?u=https%3A%2F%2Fwww.tcgplayer.com%2Fproduct%2F642662%3Futm_source%3Dimpact%26utm_medium%3Daffiliate%26utm_campaign%3Dpoke%2Bcottage","Reuniclus")</f>
        <v>Reuniclus</v>
      </c>
      <c r="D148" s="5" t="s">
        <v>20</v>
      </c>
      <c r="E148" s="5" t="s">
        <v>13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56</v>
      </c>
      <c r="C149" s="6" t="str">
        <f aca="false">HYPERLINK("https://partner.tcgplayer.com/c/6278691/1780961/21018?u=https%3A%2F%2Fwww.tcgplayer.com%2Fproduct%2F642492%3Futm_source%3Dimpact%26utm_medium%3Daffiliate%26utm_campaign%3Dpoke%2Bcottage","Elgyem")</f>
        <v>Elgyem</v>
      </c>
      <c r="D149" s="5" t="s">
        <v>8</v>
      </c>
      <c r="E149" s="5" t="s">
        <v>9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56</v>
      </c>
      <c r="C150" s="6" t="str">
        <f aca="false">HYPERLINK("https://partner.tcgplayer.com/c/6278691/1780961/21018?u=https%3A%2F%2Fwww.tcgplayer.com%2Fproduct%2F642492%3Futm_source%3Dimpact%26utm_medium%3Daffiliate%26utm_campaign%3Dpoke%2Bcottage","Elgyem")</f>
        <v>Elgyem</v>
      </c>
      <c r="D150" s="5" t="s">
        <v>8</v>
      </c>
      <c r="E150" s="5" t="s">
        <v>11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56</v>
      </c>
      <c r="C151" s="6" t="str">
        <f aca="false">HYPERLINK("https://partner.tcgplayer.com/c/6278691/1780961/21018?u=https%3A%2F%2Fwww.tcgplayer.com%2Fproduct%2F642736%3Futm_source%3Dimpact%26utm_medium%3Daffiliate%26utm_campaign%3Dpoke%2Bcottage","Elgyem")</f>
        <v>Elgyem</v>
      </c>
      <c r="D151" s="5" t="s">
        <v>8</v>
      </c>
      <c r="E151" s="5" t="s">
        <v>12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56</v>
      </c>
      <c r="C152" s="6" t="str">
        <f aca="false">HYPERLINK("https://partner.tcgplayer.com/c/6278691/1780961/21018?u=https%3A%2F%2Fwww.tcgplayer.com%2Fproduct%2F642663%3Futm_source%3Dimpact%26utm_medium%3Daffiliate%26utm_campaign%3Dpoke%2Bcottage","Elgyem")</f>
        <v>Elgyem</v>
      </c>
      <c r="D152" s="5" t="s">
        <v>8</v>
      </c>
      <c r="E152" s="5" t="s">
        <v>13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57</v>
      </c>
      <c r="C153" s="6" t="str">
        <f aca="false">HYPERLINK("https://partner.tcgplayer.com/c/6278691/1780961/21018?u=https%3A%2F%2Fwww.tcgplayer.com%2Fproduct%2F642493%3Futm_source%3Dimpact%26utm_medium%3Daffiliate%26utm_campaign%3Dpoke%2Bcottage","Beheeyem")</f>
        <v>Beheeyem</v>
      </c>
      <c r="D153" s="5" t="s">
        <v>20</v>
      </c>
      <c r="E153" s="5" t="s">
        <v>9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57</v>
      </c>
      <c r="C154" s="6" t="str">
        <f aca="false">HYPERLINK("https://partner.tcgplayer.com/c/6278691/1780961/21018?u=https%3A%2F%2Fwww.tcgplayer.com%2Fproduct%2F642493%3Futm_source%3Dimpact%26utm_medium%3Daffiliate%26utm_campaign%3Dpoke%2Bcottage","Beheeyem")</f>
        <v>Beheeyem</v>
      </c>
      <c r="D154" s="5" t="s">
        <v>20</v>
      </c>
      <c r="E154" s="5" t="s">
        <v>11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57</v>
      </c>
      <c r="C155" s="6" t="str">
        <f aca="false">HYPERLINK("https://partner.tcgplayer.com/c/6278691/1780961/21018?u=https%3A%2F%2Fwww.tcgplayer.com%2Fproduct%2F642737%3Futm_source%3Dimpact%26utm_medium%3Daffiliate%26utm_campaign%3Dpoke%2Bcottage","Beheeyem")</f>
        <v>Beheeyem</v>
      </c>
      <c r="D155" s="5" t="s">
        <v>20</v>
      </c>
      <c r="E155" s="5" t="s">
        <v>12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57</v>
      </c>
      <c r="C156" s="6" t="str">
        <f aca="false">HYPERLINK("https://partner.tcgplayer.com/c/6278691/1780961/21018?u=https%3A%2F%2Fwww.tcgplayer.com%2Fproduct%2F642664%3Futm_source%3Dimpact%26utm_medium%3Daffiliate%26utm_campaign%3Dpoke%2Bcottage","Beheeyem")</f>
        <v>Beheeyem</v>
      </c>
      <c r="D156" s="5" t="s">
        <v>20</v>
      </c>
      <c r="E156" s="5" t="s">
        <v>13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58</v>
      </c>
      <c r="C157" s="6" t="str">
        <f aca="false">HYPERLINK("https://partner.tcgplayer.com/c/6278691/1780961/21018?u=https%3A%2F%2Fwww.tcgplayer.com%2Fproduct%2F642494%3Futm_source%3Dimpact%26utm_medium%3Daffiliate%26utm_campaign%3Dpoke%2Bcottage","Golett")</f>
        <v>Golett</v>
      </c>
      <c r="D157" s="5" t="s">
        <v>8</v>
      </c>
      <c r="E157" s="5" t="s">
        <v>9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58</v>
      </c>
      <c r="C158" s="6" t="str">
        <f aca="false">HYPERLINK("https://partner.tcgplayer.com/c/6278691/1780961/21018?u=https%3A%2F%2Fwww.tcgplayer.com%2Fproduct%2F642494%3Futm_source%3Dimpact%26utm_medium%3Daffiliate%26utm_campaign%3Dpoke%2Bcottage","Golett")</f>
        <v>Golett</v>
      </c>
      <c r="D158" s="5" t="s">
        <v>8</v>
      </c>
      <c r="E158" s="5" t="s">
        <v>11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58</v>
      </c>
      <c r="C159" s="6" t="str">
        <f aca="false">HYPERLINK("https://partner.tcgplayer.com/c/6278691/1780961/21018?u=https%3A%2F%2Fwww.tcgplayer.com%2Fproduct%2F642738%3Futm_source%3Dimpact%26utm_medium%3Daffiliate%26utm_campaign%3Dpoke%2Bcottage","Golett")</f>
        <v>Golett</v>
      </c>
      <c r="D159" s="5" t="s">
        <v>8</v>
      </c>
      <c r="E159" s="5" t="s">
        <v>12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58</v>
      </c>
      <c r="C160" s="6" t="str">
        <f aca="false">HYPERLINK("https://partner.tcgplayer.com/c/6278691/1780961/21018?u=https%3A%2F%2Fwww.tcgplayer.com%2Fproduct%2F642665%3Futm_source%3Dimpact%26utm_medium%3Daffiliate%26utm_campaign%3Dpoke%2Bcottage","Golett")</f>
        <v>Golett</v>
      </c>
      <c r="D160" s="5" t="s">
        <v>8</v>
      </c>
      <c r="E160" s="5" t="s">
        <v>13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59</v>
      </c>
      <c r="C161" s="6" t="str">
        <f aca="false">HYPERLINK("https://partner.tcgplayer.com/c/6278691/1780961/21018?u=https%3A%2F%2Fwww.tcgplayer.com%2Fproduct%2F642495%3Futm_source%3Dimpact%26utm_medium%3Daffiliate%26utm_campaign%3Dpoke%2Bcottage","Golurk")</f>
        <v>Golurk</v>
      </c>
      <c r="D161" s="5" t="s">
        <v>20</v>
      </c>
      <c r="E161" s="5" t="s">
        <v>9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59</v>
      </c>
      <c r="C162" s="6" t="str">
        <f aca="false">HYPERLINK("https://partner.tcgplayer.com/c/6278691/1780961/21018?u=https%3A%2F%2Fwww.tcgplayer.com%2Fproduct%2F642495%3Futm_source%3Dimpact%26utm_medium%3Daffiliate%26utm_campaign%3Dpoke%2Bcottage","Golurk")</f>
        <v>Golurk</v>
      </c>
      <c r="D162" s="5" t="s">
        <v>20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59</v>
      </c>
      <c r="C163" s="6" t="str">
        <f aca="false">HYPERLINK("https://partner.tcgplayer.com/c/6278691/1780961/21018?u=https%3A%2F%2Fwww.tcgplayer.com%2Fproduct%2F642739%3Futm_source%3Dimpact%26utm_medium%3Daffiliate%26utm_campaign%3Dpoke%2Bcottage","Golurk")</f>
        <v>Golurk</v>
      </c>
      <c r="D163" s="5" t="s">
        <v>20</v>
      </c>
      <c r="E163" s="5" t="s">
        <v>12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59</v>
      </c>
      <c r="C164" s="6" t="str">
        <f aca="false">HYPERLINK("https://partner.tcgplayer.com/c/6278691/1780961/21018?u=https%3A%2F%2Fwww.tcgplayer.com%2Fproduct%2F642666%3Futm_source%3Dimpact%26utm_medium%3Daffiliate%26utm_campaign%3Dpoke%2Bcottage","Golurk")</f>
        <v>Golurk</v>
      </c>
      <c r="D164" s="5" t="s">
        <v>20</v>
      </c>
      <c r="E164" s="5" t="s">
        <v>13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60</v>
      </c>
      <c r="C165" s="6" t="str">
        <f aca="false">HYPERLINK("https://partner.tcgplayer.com/c/6278691/1780961/21018?u=https%3A%2F%2Fwww.tcgplayer.com%2Fproduct%2F642496%3Futm_source%3Dimpact%26utm_medium%3Daffiliate%26utm_campaign%3Dpoke%2Bcottage","Meloetta ex")</f>
        <v>Meloetta ex</v>
      </c>
      <c r="D165" s="5" t="s">
        <v>16</v>
      </c>
      <c r="E165" s="5" t="s">
        <v>17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61</v>
      </c>
      <c r="C166" s="6" t="str">
        <f aca="false">HYPERLINK("https://partner.tcgplayer.com/c/6278691/1780961/21018?u=https%3A%2F%2Fwww.tcgplayer.com%2Fproduct%2F642497%3Futm_source%3Dimpact%26utm_medium%3Daffiliate%26utm_campaign%3Dpoke%2Bcottage","Drilbur")</f>
        <v>Drilbur</v>
      </c>
      <c r="D166" s="5" t="s">
        <v>8</v>
      </c>
      <c r="E166" s="5" t="s">
        <v>9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61</v>
      </c>
      <c r="C167" s="6" t="str">
        <f aca="false">HYPERLINK("https://partner.tcgplayer.com/c/6278691/1780961/21018?u=https%3A%2F%2Fwww.tcgplayer.com%2Fproduct%2F642497%3Futm_source%3Dimpact%26utm_medium%3Daffiliate%26utm_campaign%3Dpoke%2Bcottage","Drilbur")</f>
        <v>Drilbur</v>
      </c>
      <c r="D167" s="5" t="s">
        <v>8</v>
      </c>
      <c r="E167" s="5" t="s">
        <v>11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61</v>
      </c>
      <c r="C168" s="6" t="str">
        <f aca="false">HYPERLINK("https://partner.tcgplayer.com/c/6278691/1780961/21018?u=https%3A%2F%2Fwww.tcgplayer.com%2Fproduct%2F642740%3Futm_source%3Dimpact%26utm_medium%3Daffiliate%26utm_campaign%3Dpoke%2Bcottage","Drilbur")</f>
        <v>Drilbur</v>
      </c>
      <c r="D168" s="5" t="s">
        <v>8</v>
      </c>
      <c r="E168" s="5" t="s">
        <v>12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61</v>
      </c>
      <c r="C169" s="6" t="str">
        <f aca="false">HYPERLINK("https://partner.tcgplayer.com/c/6278691/1780961/21018?u=https%3A%2F%2Fwww.tcgplayer.com%2Fproduct%2F642667%3Futm_source%3Dimpact%26utm_medium%3Daffiliate%26utm_campaign%3Dpoke%2Bcottage","Drilbur")</f>
        <v>Drilbur</v>
      </c>
      <c r="D169" s="5" t="s">
        <v>8</v>
      </c>
      <c r="E169" s="5" t="s">
        <v>13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62</v>
      </c>
      <c r="C170" s="6" t="str">
        <f aca="false">HYPERLINK("https://partner.tcgplayer.com/c/6278691/1780961/21018?u=https%3A%2F%2Fwww.tcgplayer.com%2Fproduct%2F642498%3Futm_source%3Dimpact%26utm_medium%3Daffiliate%26utm_campaign%3Dpoke%2Bcottage","Excadrill ex")</f>
        <v>Excadrill ex</v>
      </c>
      <c r="D170" s="5" t="s">
        <v>16</v>
      </c>
      <c r="E170" s="5" t="s">
        <v>17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63</v>
      </c>
      <c r="C171" s="6" t="str">
        <f aca="false">HYPERLINK("https://partner.tcgplayer.com/c/6278691/1780961/21018?u=https%3A%2F%2Fwww.tcgplayer.com%2Fproduct%2F642499%3Futm_source%3Dimpact%26utm_medium%3Daffiliate%26utm_campaign%3Dpoke%2Bcottage","Timburr")</f>
        <v>Timburr</v>
      </c>
      <c r="D171" s="5" t="s">
        <v>8</v>
      </c>
      <c r="E171" s="5" t="s">
        <v>9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63</v>
      </c>
      <c r="C172" s="6" t="str">
        <f aca="false">HYPERLINK("https://partner.tcgplayer.com/c/6278691/1780961/21018?u=https%3A%2F%2Fwww.tcgplayer.com%2Fproduct%2F642499%3Futm_source%3Dimpact%26utm_medium%3Daffiliate%26utm_campaign%3Dpoke%2Bcottage","Timburr")</f>
        <v>Timburr</v>
      </c>
      <c r="D172" s="5" t="s">
        <v>8</v>
      </c>
      <c r="E172" s="5" t="s">
        <v>11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63</v>
      </c>
      <c r="C173" s="6" t="str">
        <f aca="false">HYPERLINK("https://partner.tcgplayer.com/c/6278691/1780961/21018?u=https%3A%2F%2Fwww.tcgplayer.com%2Fproduct%2F642741%3Futm_source%3Dimpact%26utm_medium%3Daffiliate%26utm_campaign%3Dpoke%2Bcottage","Timburr")</f>
        <v>Timburr</v>
      </c>
      <c r="D173" s="5" t="s">
        <v>8</v>
      </c>
      <c r="E173" s="5" t="s">
        <v>12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63</v>
      </c>
      <c r="C174" s="6" t="str">
        <f aca="false">HYPERLINK("https://partner.tcgplayer.com/c/6278691/1780961/21018?u=https%3A%2F%2Fwww.tcgplayer.com%2Fproduct%2F642668%3Futm_source%3Dimpact%26utm_medium%3Daffiliate%26utm_campaign%3Dpoke%2Bcottage","Timburr")</f>
        <v>Timburr</v>
      </c>
      <c r="D174" s="5" t="s">
        <v>8</v>
      </c>
      <c r="E174" s="5" t="s">
        <v>13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64</v>
      </c>
      <c r="C175" s="6" t="str">
        <f aca="false">HYPERLINK("https://partner.tcgplayer.com/c/6278691/1780961/21018?u=https%3A%2F%2Fwww.tcgplayer.com%2Fproduct%2F642500%3Futm_source%3Dimpact%26utm_medium%3Daffiliate%26utm_campaign%3Dpoke%2Bcottage","Gurdurr")</f>
        <v>Gurdurr</v>
      </c>
      <c r="D175" s="5" t="s">
        <v>8</v>
      </c>
      <c r="E175" s="5" t="s">
        <v>9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64</v>
      </c>
      <c r="C176" s="6" t="str">
        <f aca="false">HYPERLINK("https://partner.tcgplayer.com/c/6278691/1780961/21018?u=https%3A%2F%2Fwww.tcgplayer.com%2Fproduct%2F642500%3Futm_source%3Dimpact%26utm_medium%3Daffiliate%26utm_campaign%3Dpoke%2Bcottage","Gurdurr")</f>
        <v>Gurdurr</v>
      </c>
      <c r="D176" s="5" t="s">
        <v>8</v>
      </c>
      <c r="E176" s="5" t="s">
        <v>11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64</v>
      </c>
      <c r="C177" s="6" t="str">
        <f aca="false">HYPERLINK("https://partner.tcgplayer.com/c/6278691/1780961/21018?u=https%3A%2F%2Fwww.tcgplayer.com%2Fproduct%2F642742%3Futm_source%3Dimpact%26utm_medium%3Daffiliate%26utm_campaign%3Dpoke%2Bcottage","Gurdurr")</f>
        <v>Gurdurr</v>
      </c>
      <c r="D177" s="5" t="s">
        <v>8</v>
      </c>
      <c r="E177" s="5" t="s">
        <v>12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64</v>
      </c>
      <c r="C178" s="6" t="str">
        <f aca="false">HYPERLINK("https://partner.tcgplayer.com/c/6278691/1780961/21018?u=https%3A%2F%2Fwww.tcgplayer.com%2Fproduct%2F642669%3Futm_source%3Dimpact%26utm_medium%3Daffiliate%26utm_campaign%3Dpoke%2Bcottage","Gurdurr")</f>
        <v>Gurdurr</v>
      </c>
      <c r="D178" s="5" t="s">
        <v>8</v>
      </c>
      <c r="E178" s="5" t="s">
        <v>13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65</v>
      </c>
      <c r="C179" s="6" t="str">
        <f aca="false">HYPERLINK("https://partner.tcgplayer.com/c/6278691/1780961/21018?u=https%3A%2F%2Fwww.tcgplayer.com%2Fproduct%2F642501%3Futm_source%3Dimpact%26utm_medium%3Daffiliate%26utm_campaign%3Dpoke%2Bcottage","Conkeldurr")</f>
        <v>Conkeldurr</v>
      </c>
      <c r="D179" s="5" t="s">
        <v>28</v>
      </c>
      <c r="E179" s="5" t="s">
        <v>17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65</v>
      </c>
      <c r="C180" s="6" t="str">
        <f aca="false">HYPERLINK("https://partner.tcgplayer.com/c/6278691/1780961/21018?u=https%3A%2F%2Fwww.tcgplayer.com%2Fproduct%2F642501%3Futm_source%3Dimpact%26utm_medium%3Daffiliate%26utm_campaign%3Dpoke%2Bcottage","Conkeldurr")</f>
        <v>Conkeldurr</v>
      </c>
      <c r="D180" s="5" t="s">
        <v>28</v>
      </c>
      <c r="E180" s="5" t="s">
        <v>11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65</v>
      </c>
      <c r="C181" s="6" t="str">
        <f aca="false">HYPERLINK("https://partner.tcgplayer.com/c/6278691/1780961/21018?u=https%3A%2F%2Fwww.tcgplayer.com%2Fproduct%2F642743%3Futm_source%3Dimpact%26utm_medium%3Daffiliate%26utm_campaign%3Dpoke%2Bcottage","Conkeldurr")</f>
        <v>Conkeldurr</v>
      </c>
      <c r="D181" s="5" t="s">
        <v>28</v>
      </c>
      <c r="E181" s="5" t="s">
        <v>12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65</v>
      </c>
      <c r="C182" s="6" t="str">
        <f aca="false">HYPERLINK("https://partner.tcgplayer.com/c/6278691/1780961/21018?u=https%3A%2F%2Fwww.tcgplayer.com%2Fproduct%2F642670%3Futm_source%3Dimpact%26utm_medium%3Daffiliate%26utm_campaign%3Dpoke%2Bcottage","Conkeldurr")</f>
        <v>Conkeldurr</v>
      </c>
      <c r="D182" s="5" t="s">
        <v>28</v>
      </c>
      <c r="E182" s="5" t="s">
        <v>13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66</v>
      </c>
      <c r="C183" s="6" t="str">
        <f aca="false">HYPERLINK("https://partner.tcgplayer.com/c/6278691/1780961/21018?u=https%3A%2F%2Fwww.tcgplayer.com%2Fproduct%2F642502%3Futm_source%3Dimpact%26utm_medium%3Daffiliate%26utm_campaign%3Dpoke%2Bcottage","Throh")</f>
        <v>Throh</v>
      </c>
      <c r="D183" s="5" t="s">
        <v>20</v>
      </c>
      <c r="E183" s="5" t="s">
        <v>9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66</v>
      </c>
      <c r="C184" s="6" t="str">
        <f aca="false">HYPERLINK("https://partner.tcgplayer.com/c/6278691/1780961/21018?u=https%3A%2F%2Fwww.tcgplayer.com%2Fproduct%2F642502%3Futm_source%3Dimpact%26utm_medium%3Daffiliate%26utm_campaign%3Dpoke%2Bcottage","Throh")</f>
        <v>Throh</v>
      </c>
      <c r="D184" s="5" t="s">
        <v>20</v>
      </c>
      <c r="E184" s="5" t="s">
        <v>11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66</v>
      </c>
      <c r="C185" s="6" t="str">
        <f aca="false">HYPERLINK("https://partner.tcgplayer.com/c/6278691/1780961/21018?u=https%3A%2F%2Fwww.tcgplayer.com%2Fproduct%2F642744%3Futm_source%3Dimpact%26utm_medium%3Daffiliate%26utm_campaign%3Dpoke%2Bcottage","Throh")</f>
        <v>Throh</v>
      </c>
      <c r="D185" s="5" t="s">
        <v>20</v>
      </c>
      <c r="E185" s="5" t="s">
        <v>12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66</v>
      </c>
      <c r="C186" s="6" t="str">
        <f aca="false">HYPERLINK("https://partner.tcgplayer.com/c/6278691/1780961/21018?u=https%3A%2F%2Fwww.tcgplayer.com%2Fproduct%2F642671%3Futm_source%3Dimpact%26utm_medium%3Daffiliate%26utm_campaign%3Dpoke%2Bcottage","Throh")</f>
        <v>Throh</v>
      </c>
      <c r="D186" s="5" t="s">
        <v>20</v>
      </c>
      <c r="E186" s="5" t="s">
        <v>13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67</v>
      </c>
      <c r="C187" s="6" t="str">
        <f aca="false">HYPERLINK("https://partner.tcgplayer.com/c/6278691/1780961/21018?u=https%3A%2F%2Fwww.tcgplayer.com%2Fproduct%2F642503%3Futm_source%3Dimpact%26utm_medium%3Daffiliate%26utm_campaign%3Dpoke%2Bcottage","Dwebble")</f>
        <v>Dwebble</v>
      </c>
      <c r="D187" s="5" t="s">
        <v>8</v>
      </c>
      <c r="E187" s="5" t="s">
        <v>9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67</v>
      </c>
      <c r="C188" s="6" t="str">
        <f aca="false">HYPERLINK("https://partner.tcgplayer.com/c/6278691/1780961/21018?u=https%3A%2F%2Fwww.tcgplayer.com%2Fproduct%2F642503%3Futm_source%3Dimpact%26utm_medium%3Daffiliate%26utm_campaign%3Dpoke%2Bcottage","Dwebble")</f>
        <v>Dwebble</v>
      </c>
      <c r="D188" s="5" t="s">
        <v>8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67</v>
      </c>
      <c r="C189" s="6" t="str">
        <f aca="false">HYPERLINK("https://partner.tcgplayer.com/c/6278691/1780961/21018?u=https%3A%2F%2Fwww.tcgplayer.com%2Fproduct%2F642745%3Futm_source%3Dimpact%26utm_medium%3Daffiliate%26utm_campaign%3Dpoke%2Bcottage","Dwebble")</f>
        <v>Dwebble</v>
      </c>
      <c r="D189" s="5" t="s">
        <v>8</v>
      </c>
      <c r="E189" s="5" t="s">
        <v>12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67</v>
      </c>
      <c r="C190" s="6" t="str">
        <f aca="false">HYPERLINK("https://partner.tcgplayer.com/c/6278691/1780961/21018?u=https%3A%2F%2Fwww.tcgplayer.com%2Fproduct%2F642672%3Futm_source%3Dimpact%26utm_medium%3Daffiliate%26utm_campaign%3Dpoke%2Bcottage","Dwebble")</f>
        <v>Dwebble</v>
      </c>
      <c r="D190" s="5" t="s">
        <v>8</v>
      </c>
      <c r="E190" s="5" t="s">
        <v>13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68</v>
      </c>
      <c r="C191" s="6" t="str">
        <f aca="false">HYPERLINK("https://partner.tcgplayer.com/c/6278691/1780961/21018?u=https%3A%2F%2Fwww.tcgplayer.com%2Fproduct%2F642504%3Futm_source%3Dimpact%26utm_medium%3Daffiliate%26utm_campaign%3Dpoke%2Bcottage","Crustle")</f>
        <v>Crustle</v>
      </c>
      <c r="D191" s="5" t="s">
        <v>20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68</v>
      </c>
      <c r="C192" s="6" t="str">
        <f aca="false">HYPERLINK("https://partner.tcgplayer.com/c/6278691/1780961/21018?u=https%3A%2F%2Fwww.tcgplayer.com%2Fproduct%2F642504%3Futm_source%3Dimpact%26utm_medium%3Daffiliate%26utm_campaign%3Dpoke%2Bcottage","Crustle")</f>
        <v>Crustle</v>
      </c>
      <c r="D192" s="5" t="s">
        <v>20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68</v>
      </c>
      <c r="C193" s="6" t="str">
        <f aca="false">HYPERLINK("https://partner.tcgplayer.com/c/6278691/1780961/21018?u=https%3A%2F%2Fwww.tcgplayer.com%2Fproduct%2F642746%3Futm_source%3Dimpact%26utm_medium%3Daffiliate%26utm_campaign%3Dpoke%2Bcottage","Crustle")</f>
        <v>Crustle</v>
      </c>
      <c r="D193" s="5" t="s">
        <v>20</v>
      </c>
      <c r="E193" s="5" t="s">
        <v>12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68</v>
      </c>
      <c r="C194" s="6" t="str">
        <f aca="false">HYPERLINK("https://partner.tcgplayer.com/c/6278691/1780961/21018?u=https%3A%2F%2Fwww.tcgplayer.com%2Fproduct%2F642673%3Futm_source%3Dimpact%26utm_medium%3Daffiliate%26utm_campaign%3Dpoke%2Bcottage","Crustle")</f>
        <v>Crustle</v>
      </c>
      <c r="D194" s="5" t="s">
        <v>20</v>
      </c>
      <c r="E194" s="5" t="s">
        <v>13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69</v>
      </c>
      <c r="C195" s="6" t="str">
        <f aca="false">HYPERLINK("https://partner.tcgplayer.com/c/6278691/1780961/21018?u=https%3A%2F%2Fwww.tcgplayer.com%2Fproduct%2F642505%3Futm_source%3Dimpact%26utm_medium%3Daffiliate%26utm_campaign%3Dpoke%2Bcottage","Landorus")</f>
        <v>Landorus</v>
      </c>
      <c r="D195" s="5" t="s">
        <v>28</v>
      </c>
      <c r="E195" s="5" t="s">
        <v>17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69</v>
      </c>
      <c r="C196" s="6" t="str">
        <f aca="false">HYPERLINK("https://partner.tcgplayer.com/c/6278691/1780961/21018?u=https%3A%2F%2Fwww.tcgplayer.com%2Fproduct%2F642505%3Futm_source%3Dimpact%26utm_medium%3Daffiliate%26utm_campaign%3Dpoke%2Bcottage","Landorus")</f>
        <v>Landorus</v>
      </c>
      <c r="D196" s="5" t="s">
        <v>28</v>
      </c>
      <c r="E196" s="5" t="s">
        <v>11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69</v>
      </c>
      <c r="C197" s="6" t="str">
        <f aca="false">HYPERLINK("https://partner.tcgplayer.com/c/6278691/1780961/21018?u=https%3A%2F%2Fwww.tcgplayer.com%2Fproduct%2F642747%3Futm_source%3Dimpact%26utm_medium%3Daffiliate%26utm_campaign%3Dpoke%2Bcottage","Landorus")</f>
        <v>Landorus</v>
      </c>
      <c r="D197" s="5" t="s">
        <v>28</v>
      </c>
      <c r="E197" s="5" t="s">
        <v>12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69</v>
      </c>
      <c r="C198" s="6" t="str">
        <f aca="false">HYPERLINK("https://partner.tcgplayer.com/c/6278691/1780961/21018?u=https%3A%2F%2Fwww.tcgplayer.com%2Fproduct%2F642674%3Futm_source%3Dimpact%26utm_medium%3Daffiliate%26utm_campaign%3Dpoke%2Bcottage","Landorus")</f>
        <v>Landorus</v>
      </c>
      <c r="D198" s="5" t="s">
        <v>28</v>
      </c>
      <c r="E198" s="5" t="s">
        <v>13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70</v>
      </c>
      <c r="C199" s="6" t="str">
        <f aca="false">HYPERLINK("https://partner.tcgplayer.com/c/6278691/1780961/21018?u=https%3A%2F%2Fwww.tcgplayer.com%2Fproduct%2F642506%3Futm_source%3Dimpact%26utm_medium%3Daffiliate%26utm_campaign%3Dpoke%2Bcottage","Venipede")</f>
        <v>Venipede</v>
      </c>
      <c r="D199" s="5" t="s">
        <v>8</v>
      </c>
      <c r="E199" s="5" t="s">
        <v>9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70</v>
      </c>
      <c r="C200" s="6" t="str">
        <f aca="false">HYPERLINK("https://partner.tcgplayer.com/c/6278691/1780961/21018?u=https%3A%2F%2Fwww.tcgplayer.com%2Fproduct%2F642506%3Futm_source%3Dimpact%26utm_medium%3Daffiliate%26utm_campaign%3Dpoke%2Bcottage","Venipede")</f>
        <v>Venipede</v>
      </c>
      <c r="D200" s="5" t="s">
        <v>8</v>
      </c>
      <c r="E200" s="5" t="s">
        <v>11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70</v>
      </c>
      <c r="C201" s="6" t="str">
        <f aca="false">HYPERLINK("https://partner.tcgplayer.com/c/6278691/1780961/21018?u=https%3A%2F%2Fwww.tcgplayer.com%2Fproduct%2F642748%3Futm_source%3Dimpact%26utm_medium%3Daffiliate%26utm_campaign%3Dpoke%2Bcottage","Venipede")</f>
        <v>Venipede</v>
      </c>
      <c r="D201" s="5" t="s">
        <v>8</v>
      </c>
      <c r="E201" s="5" t="s">
        <v>12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70</v>
      </c>
      <c r="C202" s="6" t="str">
        <f aca="false">HYPERLINK("https://partner.tcgplayer.com/c/6278691/1780961/21018?u=https%3A%2F%2Fwww.tcgplayer.com%2Fproduct%2F642675%3Futm_source%3Dimpact%26utm_medium%3Daffiliate%26utm_campaign%3Dpoke%2Bcottage","Venipede")</f>
        <v>Venipede</v>
      </c>
      <c r="D202" s="5" t="s">
        <v>8</v>
      </c>
      <c r="E202" s="5" t="s">
        <v>13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71</v>
      </c>
      <c r="C203" s="6" t="str">
        <f aca="false">HYPERLINK("https://partner.tcgplayer.com/c/6278691/1780961/21018?u=https%3A%2F%2Fwww.tcgplayer.com%2Fproduct%2F642507%3Futm_source%3Dimpact%26utm_medium%3Daffiliate%26utm_campaign%3Dpoke%2Bcottage","Whirlipede")</f>
        <v>Whirlipede</v>
      </c>
      <c r="D203" s="5" t="s">
        <v>8</v>
      </c>
      <c r="E203" s="5" t="s">
        <v>9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71</v>
      </c>
      <c r="C204" s="6" t="str">
        <f aca="false">HYPERLINK("https://partner.tcgplayer.com/c/6278691/1780961/21018?u=https%3A%2F%2Fwww.tcgplayer.com%2Fproduct%2F642507%3Futm_source%3Dimpact%26utm_medium%3Daffiliate%26utm_campaign%3Dpoke%2Bcottage","Whirlipede")</f>
        <v>Whirlipede</v>
      </c>
      <c r="D204" s="5" t="s">
        <v>8</v>
      </c>
      <c r="E204" s="5" t="s">
        <v>11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71</v>
      </c>
      <c r="C205" s="6" t="str">
        <f aca="false">HYPERLINK("https://partner.tcgplayer.com/c/6278691/1780961/21018?u=https%3A%2F%2Fwww.tcgplayer.com%2Fproduct%2F642749%3Futm_source%3Dimpact%26utm_medium%3Daffiliate%26utm_campaign%3Dpoke%2Bcottage","Whirlipede")</f>
        <v>Whirlipede</v>
      </c>
      <c r="D205" s="5" t="s">
        <v>8</v>
      </c>
      <c r="E205" s="5" t="s">
        <v>12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71</v>
      </c>
      <c r="C206" s="6" t="str">
        <f aca="false">HYPERLINK("https://partner.tcgplayer.com/c/6278691/1780961/21018?u=https%3A%2F%2Fwww.tcgplayer.com%2Fproduct%2F642676%3Futm_source%3Dimpact%26utm_medium%3Daffiliate%26utm_campaign%3Dpoke%2Bcottage","Whirlipede")</f>
        <v>Whirlipede</v>
      </c>
      <c r="D206" s="5" t="s">
        <v>8</v>
      </c>
      <c r="E206" s="5" t="s">
        <v>13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72</v>
      </c>
      <c r="C207" s="6" t="str">
        <f aca="false">HYPERLINK("https://partner.tcgplayer.com/c/6278691/1780961/21018?u=https%3A%2F%2Fwww.tcgplayer.com%2Fproduct%2F642508%3Futm_source%3Dimpact%26utm_medium%3Daffiliate%26utm_campaign%3Dpoke%2Bcottage","Scolipede")</f>
        <v>Scolipede</v>
      </c>
      <c r="D207" s="5" t="s">
        <v>20</v>
      </c>
      <c r="E207" s="5" t="s">
        <v>9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72</v>
      </c>
      <c r="C208" s="6" t="str">
        <f aca="false">HYPERLINK("https://partner.tcgplayer.com/c/6278691/1780961/21018?u=https%3A%2F%2Fwww.tcgplayer.com%2Fproduct%2F642508%3Futm_source%3Dimpact%26utm_medium%3Daffiliate%26utm_campaign%3Dpoke%2Bcottage","Scolipede")</f>
        <v>Scolipede</v>
      </c>
      <c r="D208" s="5" t="s">
        <v>20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72</v>
      </c>
      <c r="C209" s="6" t="str">
        <f aca="false">HYPERLINK("https://partner.tcgplayer.com/c/6278691/1780961/21018?u=https%3A%2F%2Fwww.tcgplayer.com%2Fproduct%2F642750%3Futm_source%3Dimpact%26utm_medium%3Daffiliate%26utm_campaign%3Dpoke%2Bcottage","Scolipede")</f>
        <v>Scolipede</v>
      </c>
      <c r="D209" s="5" t="s">
        <v>20</v>
      </c>
      <c r="E209" s="5" t="s">
        <v>12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72</v>
      </c>
      <c r="C210" s="6" t="str">
        <f aca="false">HYPERLINK("https://partner.tcgplayer.com/c/6278691/1780961/21018?u=https%3A%2F%2Fwww.tcgplayer.com%2Fproduct%2F642677%3Futm_source%3Dimpact%26utm_medium%3Daffiliate%26utm_campaign%3Dpoke%2Bcottage","Scolipede")</f>
        <v>Scolipede</v>
      </c>
      <c r="D210" s="5" t="s">
        <v>20</v>
      </c>
      <c r="E210" s="5" t="s">
        <v>13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73</v>
      </c>
      <c r="C211" s="6" t="str">
        <f aca="false">HYPERLINK("https://partner.tcgplayer.com/c/6278691/1780961/21018?u=https%3A%2F%2Fwww.tcgplayer.com%2Fproduct%2F642509%3Futm_source%3Dimpact%26utm_medium%3Daffiliate%26utm_campaign%3Dpoke%2Bcottage","Sandile")</f>
        <v>Sandile</v>
      </c>
      <c r="D211" s="5" t="s">
        <v>8</v>
      </c>
      <c r="E211" s="5" t="s">
        <v>9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73</v>
      </c>
      <c r="C212" s="6" t="str">
        <f aca="false">HYPERLINK("https://partner.tcgplayer.com/c/6278691/1780961/21018?u=https%3A%2F%2Fwww.tcgplayer.com%2Fproduct%2F642509%3Futm_source%3Dimpact%26utm_medium%3Daffiliate%26utm_campaign%3Dpoke%2Bcottage","Sandile")</f>
        <v>Sandile</v>
      </c>
      <c r="D212" s="5" t="s">
        <v>8</v>
      </c>
      <c r="E212" s="5" t="s">
        <v>11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73</v>
      </c>
      <c r="C213" s="6" t="str">
        <f aca="false">HYPERLINK("https://partner.tcgplayer.com/c/6278691/1780961/21018?u=https%3A%2F%2Fwww.tcgplayer.com%2Fproduct%2F642751%3Futm_source%3Dimpact%26utm_medium%3Daffiliate%26utm_campaign%3Dpoke%2Bcottage","Sandile")</f>
        <v>Sandile</v>
      </c>
      <c r="D213" s="5" t="s">
        <v>8</v>
      </c>
      <c r="E213" s="5" t="s">
        <v>12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73</v>
      </c>
      <c r="C214" s="6" t="str">
        <f aca="false">HYPERLINK("https://partner.tcgplayer.com/c/6278691/1780961/21018?u=https%3A%2F%2Fwww.tcgplayer.com%2Fproduct%2F642678%3Futm_source%3Dimpact%26utm_medium%3Daffiliate%26utm_campaign%3Dpoke%2Bcottage","Sandile")</f>
        <v>Sandile</v>
      </c>
      <c r="D214" s="5" t="s">
        <v>8</v>
      </c>
      <c r="E214" s="5" t="s">
        <v>13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74</v>
      </c>
      <c r="C215" s="6" t="str">
        <f aca="false">HYPERLINK("https://partner.tcgplayer.com/c/6278691/1780961/21018?u=https%3A%2F%2Fwww.tcgplayer.com%2Fproduct%2F642510%3Futm_source%3Dimpact%26utm_medium%3Daffiliate%26utm_campaign%3Dpoke%2Bcottage","Krokorok")</f>
        <v>Krokorok</v>
      </c>
      <c r="D215" s="5" t="s">
        <v>8</v>
      </c>
      <c r="E215" s="5" t="s">
        <v>9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74</v>
      </c>
      <c r="C216" s="6" t="str">
        <f aca="false">HYPERLINK("https://partner.tcgplayer.com/c/6278691/1780961/21018?u=https%3A%2F%2Fwww.tcgplayer.com%2Fproduct%2F642510%3Futm_source%3Dimpact%26utm_medium%3Daffiliate%26utm_campaign%3Dpoke%2Bcottage","Krokorok")</f>
        <v>Krokorok</v>
      </c>
      <c r="D216" s="5" t="s">
        <v>8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74</v>
      </c>
      <c r="C217" s="6" t="str">
        <f aca="false">HYPERLINK("https://partner.tcgplayer.com/c/6278691/1780961/21018?u=https%3A%2F%2Fwww.tcgplayer.com%2Fproduct%2F642752%3Futm_source%3Dimpact%26utm_medium%3Daffiliate%26utm_campaign%3Dpoke%2Bcottage","Krokorok")</f>
        <v>Krokorok</v>
      </c>
      <c r="D217" s="5" t="s">
        <v>8</v>
      </c>
      <c r="E217" s="5" t="s">
        <v>12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74</v>
      </c>
      <c r="C218" s="6" t="str">
        <f aca="false">HYPERLINK("https://partner.tcgplayer.com/c/6278691/1780961/21018?u=https%3A%2F%2Fwww.tcgplayer.com%2Fproduct%2F642679%3Futm_source%3Dimpact%26utm_medium%3Daffiliate%26utm_campaign%3Dpoke%2Bcottage","Krokorok")</f>
        <v>Krokorok</v>
      </c>
      <c r="D218" s="5" t="s">
        <v>8</v>
      </c>
      <c r="E218" s="5" t="s">
        <v>13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75</v>
      </c>
      <c r="C219" s="6" t="str">
        <f aca="false">HYPERLINK("https://partner.tcgplayer.com/c/6278691/1780961/21018?u=https%3A%2F%2Fwww.tcgplayer.com%2Fproduct%2F642511%3Futm_source%3Dimpact%26utm_medium%3Daffiliate%26utm_campaign%3Dpoke%2Bcottage","Krookodile")</f>
        <v>Krookodile</v>
      </c>
      <c r="D219" s="5" t="s">
        <v>20</v>
      </c>
      <c r="E219" s="5" t="s">
        <v>9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75</v>
      </c>
      <c r="C220" s="6" t="str">
        <f aca="false">HYPERLINK("https://partner.tcgplayer.com/c/6278691/1780961/21018?u=https%3A%2F%2Fwww.tcgplayer.com%2Fproduct%2F642511%3Futm_source%3Dimpact%26utm_medium%3Daffiliate%26utm_campaign%3Dpoke%2Bcottage","Krookodile")</f>
        <v>Krookodile</v>
      </c>
      <c r="D220" s="5" t="s">
        <v>20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75</v>
      </c>
      <c r="C221" s="6" t="str">
        <f aca="false">HYPERLINK("https://partner.tcgplayer.com/c/6278691/1780961/21018?u=https%3A%2F%2Fwww.tcgplayer.com%2Fproduct%2F642753%3Futm_source%3Dimpact%26utm_medium%3Daffiliate%26utm_campaign%3Dpoke%2Bcottage","Krookodile")</f>
        <v>Krookodile</v>
      </c>
      <c r="D221" s="5" t="s">
        <v>20</v>
      </c>
      <c r="E221" s="5" t="s">
        <v>12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75</v>
      </c>
      <c r="C222" s="6" t="str">
        <f aca="false">HYPERLINK("https://partner.tcgplayer.com/c/6278691/1780961/21018?u=https%3A%2F%2Fwww.tcgplayer.com%2Fproduct%2F642680%3Futm_source%3Dimpact%26utm_medium%3Daffiliate%26utm_campaign%3Dpoke%2Bcottage","Krookodile")</f>
        <v>Krookodile</v>
      </c>
      <c r="D222" s="5" t="s">
        <v>20</v>
      </c>
      <c r="E222" s="5" t="s">
        <v>13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76</v>
      </c>
      <c r="C223" s="6" t="str">
        <f aca="false">HYPERLINK("https://partner.tcgplayer.com/c/6278691/1780961/21018?u=https%3A%2F%2Fwww.tcgplayer.com%2Fproduct%2F642514%3Futm_source%3Dimpact%26utm_medium%3Daffiliate%26utm_campaign%3Dpoke%2Bcottage","Escavalier")</f>
        <v>Escavalier</v>
      </c>
      <c r="D223" s="5" t="s">
        <v>20</v>
      </c>
      <c r="E223" s="5" t="s">
        <v>9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76</v>
      </c>
      <c r="C224" s="6" t="str">
        <f aca="false">HYPERLINK("https://partner.tcgplayer.com/c/6278691/1780961/21018?u=https%3A%2F%2Fwww.tcgplayer.com%2Fproduct%2F642514%3Futm_source%3Dimpact%26utm_medium%3Daffiliate%26utm_campaign%3Dpoke%2Bcottage","Escavalier")</f>
        <v>Escavalier</v>
      </c>
      <c r="D224" s="5" t="s">
        <v>20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76</v>
      </c>
      <c r="C225" s="6" t="str">
        <f aca="false">HYPERLINK("https://partner.tcgplayer.com/c/6278691/1780961/21018?u=https%3A%2F%2Fwww.tcgplayer.com%2Fproduct%2F642756%3Futm_source%3Dimpact%26utm_medium%3Daffiliate%26utm_campaign%3Dpoke%2Bcottage","Escavalier")</f>
        <v>Escavalier</v>
      </c>
      <c r="D225" s="5" t="s">
        <v>20</v>
      </c>
      <c r="E225" s="5" t="s">
        <v>12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76</v>
      </c>
      <c r="C226" s="6" t="str">
        <f aca="false">HYPERLINK("https://partner.tcgplayer.com/c/6278691/1780961/21018?u=https%3A%2F%2Fwww.tcgplayer.com%2Fproduct%2F642683%3Futm_source%3Dimpact%26utm_medium%3Daffiliate%26utm_campaign%3Dpoke%2Bcottage","Escavalier")</f>
        <v>Escavalier</v>
      </c>
      <c r="D226" s="5" t="s">
        <v>20</v>
      </c>
      <c r="E226" s="5" t="s">
        <v>13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77</v>
      </c>
      <c r="C227" s="6" t="str">
        <f aca="false">HYPERLINK("https://partner.tcgplayer.com/c/6278691/1780961/21018?u=https%3A%2F%2Fwww.tcgplayer.com%2Fproduct%2F642180%3Futm_source%3Dimpact%26utm_medium%3Daffiliate%26utm_campaign%3Dpoke%2Bcottage","Klink")</f>
        <v>Klink</v>
      </c>
      <c r="D227" s="5" t="s">
        <v>8</v>
      </c>
      <c r="E227" s="5" t="s">
        <v>9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77</v>
      </c>
      <c r="C228" s="6" t="str">
        <f aca="false">HYPERLINK("https://partner.tcgplayer.com/c/6278691/1780961/21018?u=https%3A%2F%2Fwww.tcgplayer.com%2Fproduct%2F642180%3Futm_source%3Dimpact%26utm_medium%3Daffiliate%26utm_campaign%3Dpoke%2Bcottage","Klink")</f>
        <v>Klink</v>
      </c>
      <c r="D228" s="5" t="s">
        <v>8</v>
      </c>
      <c r="E228" s="5" t="s">
        <v>11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77</v>
      </c>
      <c r="C229" s="6" t="str">
        <f aca="false">HYPERLINK("https://partner.tcgplayer.com/c/6278691/1780961/21018?u=https%3A%2F%2Fwww.tcgplayer.com%2Fproduct%2F642421%3Futm_source%3Dimpact%26utm_medium%3Daffiliate%26utm_campaign%3Dpoke%2Bcottage","Klink")</f>
        <v>Klink</v>
      </c>
      <c r="D229" s="5" t="s">
        <v>8</v>
      </c>
      <c r="E229" s="5" t="s">
        <v>12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77</v>
      </c>
      <c r="C230" s="6" t="str">
        <f aca="false">HYPERLINK("https://partner.tcgplayer.com/c/6278691/1780961/21018?u=https%3A%2F%2Fwww.tcgplayer.com%2Fproduct%2F642349%3Futm_source%3Dimpact%26utm_medium%3Daffiliate%26utm_campaign%3Dpoke%2Bcottage","Klink")</f>
        <v>Klink</v>
      </c>
      <c r="D230" s="5" t="s">
        <v>8</v>
      </c>
      <c r="E230" s="5" t="s">
        <v>13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78</v>
      </c>
      <c r="C231" s="6" t="str">
        <f aca="false">HYPERLINK("https://partner.tcgplayer.com/c/6278691/1780961/21018?u=https%3A%2F%2Fwww.tcgplayer.com%2Fproduct%2F642181%3Futm_source%3Dimpact%26utm_medium%3Daffiliate%26utm_campaign%3Dpoke%2Bcottage","Klang")</f>
        <v>Klang</v>
      </c>
      <c r="D231" s="5" t="s">
        <v>8</v>
      </c>
      <c r="E231" s="5" t="s">
        <v>9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78</v>
      </c>
      <c r="C232" s="6" t="str">
        <f aca="false">HYPERLINK("https://partner.tcgplayer.com/c/6278691/1780961/21018?u=https%3A%2F%2Fwww.tcgplayer.com%2Fproduct%2F642181%3Futm_source%3Dimpact%26utm_medium%3Daffiliate%26utm_campaign%3Dpoke%2Bcottage","Klang")</f>
        <v>Klang</v>
      </c>
      <c r="D232" s="5" t="s">
        <v>8</v>
      </c>
      <c r="E232" s="5" t="s">
        <v>11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78</v>
      </c>
      <c r="C233" s="6" t="str">
        <f aca="false">HYPERLINK("https://partner.tcgplayer.com/c/6278691/1780961/21018?u=https%3A%2F%2Fwww.tcgplayer.com%2Fproduct%2F642422%3Futm_source%3Dimpact%26utm_medium%3Daffiliate%26utm_campaign%3Dpoke%2Bcottage","Klang")</f>
        <v>Klang</v>
      </c>
      <c r="D233" s="5" t="s">
        <v>8</v>
      </c>
      <c r="E233" s="5" t="s">
        <v>12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78</v>
      </c>
      <c r="C234" s="6" t="str">
        <f aca="false">HYPERLINK("https://partner.tcgplayer.com/c/6278691/1780961/21018?u=https%3A%2F%2Fwww.tcgplayer.com%2Fproduct%2F642350%3Futm_source%3Dimpact%26utm_medium%3Daffiliate%26utm_campaign%3Dpoke%2Bcottage","Klang")</f>
        <v>Klang</v>
      </c>
      <c r="D234" s="5" t="s">
        <v>8</v>
      </c>
      <c r="E234" s="5" t="s">
        <v>13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79</v>
      </c>
      <c r="C235" s="6" t="str">
        <f aca="false">HYPERLINK("https://partner.tcgplayer.com/c/6278691/1780961/21018?u=https%3A%2F%2Fwww.tcgplayer.com%2Fproduct%2F642182%3Futm_source%3Dimpact%26utm_medium%3Daffiliate%26utm_campaign%3Dpoke%2Bcottage","Klinklang")</f>
        <v>Klinklang</v>
      </c>
      <c r="D235" s="5" t="s">
        <v>28</v>
      </c>
      <c r="E235" s="5" t="s">
        <v>17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79</v>
      </c>
      <c r="C236" s="6" t="str">
        <f aca="false">HYPERLINK("https://partner.tcgplayer.com/c/6278691/1780961/21018?u=https%3A%2F%2Fwww.tcgplayer.com%2Fproduct%2F642182%3Futm_source%3Dimpact%26utm_medium%3Daffiliate%26utm_campaign%3Dpoke%2Bcottage","Klinklang")</f>
        <v>Klinklang</v>
      </c>
      <c r="D236" s="5" t="s">
        <v>28</v>
      </c>
      <c r="E236" s="5" t="s">
        <v>11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79</v>
      </c>
      <c r="C237" s="6" t="str">
        <f aca="false">HYPERLINK("https://partner.tcgplayer.com/c/6278691/1780961/21018?u=https%3A%2F%2Fwww.tcgplayer.com%2Fproduct%2F642423%3Futm_source%3Dimpact%26utm_medium%3Daffiliate%26utm_campaign%3Dpoke%2Bcottage","Klinklang")</f>
        <v>Klinklang</v>
      </c>
      <c r="D237" s="5" t="s">
        <v>28</v>
      </c>
      <c r="E237" s="5" t="s">
        <v>12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79</v>
      </c>
      <c r="C238" s="6" t="str">
        <f aca="false">HYPERLINK("https://partner.tcgplayer.com/c/6278691/1780961/21018?u=https%3A%2F%2Fwww.tcgplayer.com%2Fproduct%2F642351%3Futm_source%3Dimpact%26utm_medium%3Daffiliate%26utm_campaign%3Dpoke%2Bcottage","Klinklang")</f>
        <v>Klinklang</v>
      </c>
      <c r="D238" s="5" t="s">
        <v>28</v>
      </c>
      <c r="E238" s="5" t="s">
        <v>13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80</v>
      </c>
      <c r="C239" s="6" t="str">
        <f aca="false">HYPERLINK("https://partner.tcgplayer.com/c/6278691/1780961/21018?u=https%3A%2F%2Fwww.tcgplayer.com%2Fproduct%2F642515%3Futm_source%3Dimpact%26utm_medium%3Daffiliate%26utm_campaign%3Dpoke%2Bcottage","Pawniard")</f>
        <v>Pawniard</v>
      </c>
      <c r="D239" s="5" t="s">
        <v>8</v>
      </c>
      <c r="E239" s="5" t="s">
        <v>9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80</v>
      </c>
      <c r="C240" s="6" t="str">
        <f aca="false">HYPERLINK("https://partner.tcgplayer.com/c/6278691/1780961/21018?u=https%3A%2F%2Fwww.tcgplayer.com%2Fproduct%2F642515%3Futm_source%3Dimpact%26utm_medium%3Daffiliate%26utm_campaign%3Dpoke%2Bcottage","Pawniard")</f>
        <v>Pawniard</v>
      </c>
      <c r="D240" s="5" t="s">
        <v>8</v>
      </c>
      <c r="E240" s="5" t="s">
        <v>11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80</v>
      </c>
      <c r="C241" s="6" t="str">
        <f aca="false">HYPERLINK("https://partner.tcgplayer.com/c/6278691/1780961/21018?u=https%3A%2F%2Fwww.tcgplayer.com%2Fproduct%2F642757%3Futm_source%3Dimpact%26utm_medium%3Daffiliate%26utm_campaign%3Dpoke%2Bcottage","Pawniard")</f>
        <v>Pawniard</v>
      </c>
      <c r="D241" s="5" t="s">
        <v>8</v>
      </c>
      <c r="E241" s="5" t="s">
        <v>12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80</v>
      </c>
      <c r="C242" s="6" t="str">
        <f aca="false">HYPERLINK("https://partner.tcgplayer.com/c/6278691/1780961/21018?u=https%3A%2F%2Fwww.tcgplayer.com%2Fproduct%2F642684%3Futm_source%3Dimpact%26utm_medium%3Daffiliate%26utm_campaign%3Dpoke%2Bcottage","Pawniard")</f>
        <v>Pawniard</v>
      </c>
      <c r="D242" s="5" t="s">
        <v>8</v>
      </c>
      <c r="E242" s="5" t="s">
        <v>13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81</v>
      </c>
      <c r="C243" s="6" t="str">
        <f aca="false">HYPERLINK("https://partner.tcgplayer.com/c/6278691/1780961/21018?u=https%3A%2F%2Fwww.tcgplayer.com%2Fproduct%2F642516%3Futm_source%3Dimpact%26utm_medium%3Daffiliate%26utm_campaign%3Dpoke%2Bcottage","Bisharp")</f>
        <v>Bisharp</v>
      </c>
      <c r="D243" s="5" t="s">
        <v>20</v>
      </c>
      <c r="E243" s="5" t="s">
        <v>9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81</v>
      </c>
      <c r="C244" s="6" t="str">
        <f aca="false">HYPERLINK("https://partner.tcgplayer.com/c/6278691/1780961/21018?u=https%3A%2F%2Fwww.tcgplayer.com%2Fproduct%2F642516%3Futm_source%3Dimpact%26utm_medium%3Daffiliate%26utm_campaign%3Dpoke%2Bcottage","Bisharp")</f>
        <v>Bisharp</v>
      </c>
      <c r="D244" s="5" t="s">
        <v>20</v>
      </c>
      <c r="E244" s="5" t="s">
        <v>11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81</v>
      </c>
      <c r="C245" s="6" t="str">
        <f aca="false">HYPERLINK("https://partner.tcgplayer.com/c/6278691/1780961/21018?u=https%3A%2F%2Fwww.tcgplayer.com%2Fproduct%2F642758%3Futm_source%3Dimpact%26utm_medium%3Daffiliate%26utm_campaign%3Dpoke%2Bcottage","Bisharp")</f>
        <v>Bisharp</v>
      </c>
      <c r="D245" s="5" t="s">
        <v>20</v>
      </c>
      <c r="E245" s="5" t="s">
        <v>12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81</v>
      </c>
      <c r="C246" s="6" t="str">
        <f aca="false">HYPERLINK("https://partner.tcgplayer.com/c/6278691/1780961/21018?u=https%3A%2F%2Fwww.tcgplayer.com%2Fproduct%2F642685%3Futm_source%3Dimpact%26utm_medium%3Daffiliate%26utm_campaign%3Dpoke%2Bcottage","Bisharp")</f>
        <v>Bisharp</v>
      </c>
      <c r="D246" s="5" t="s">
        <v>20</v>
      </c>
      <c r="E246" s="5" t="s">
        <v>13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82</v>
      </c>
      <c r="C247" s="6" t="str">
        <f aca="false">HYPERLINK("https://partner.tcgplayer.com/c/6278691/1780961/21018?u=https%3A%2F%2Fwww.tcgplayer.com%2Fproduct%2F642517%3Futm_source%3Dimpact%26utm_medium%3Daffiliate%26utm_campaign%3Dpoke%2Bcottage","Cobalion")</f>
        <v>Cobalion</v>
      </c>
      <c r="D247" s="5" t="s">
        <v>28</v>
      </c>
      <c r="E247" s="5" t="s">
        <v>17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82</v>
      </c>
      <c r="C248" s="6" t="str">
        <f aca="false">HYPERLINK("https://partner.tcgplayer.com/c/6278691/1780961/21018?u=https%3A%2F%2Fwww.tcgplayer.com%2Fproduct%2F642517%3Futm_source%3Dimpact%26utm_medium%3Daffiliate%26utm_campaign%3Dpoke%2Bcottage","Cobalion")</f>
        <v>Cobalion</v>
      </c>
      <c r="D248" s="5" t="s">
        <v>28</v>
      </c>
      <c r="E248" s="5" t="s">
        <v>11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82</v>
      </c>
      <c r="C249" s="6" t="str">
        <f aca="false">HYPERLINK("https://partner.tcgplayer.com/c/6278691/1780961/21018?u=https%3A%2F%2Fwww.tcgplayer.com%2Fproduct%2F642759%3Futm_source%3Dimpact%26utm_medium%3Daffiliate%26utm_campaign%3Dpoke%2Bcottage","Cobalion")</f>
        <v>Cobalion</v>
      </c>
      <c r="D249" s="5" t="s">
        <v>28</v>
      </c>
      <c r="E249" s="5" t="s">
        <v>12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82</v>
      </c>
      <c r="C250" s="6" t="str">
        <f aca="false">HYPERLINK("https://partner.tcgplayer.com/c/6278691/1780961/21018?u=https%3A%2F%2Fwww.tcgplayer.com%2Fproduct%2F642686%3Futm_source%3Dimpact%26utm_medium%3Daffiliate%26utm_campaign%3Dpoke%2Bcottage","Cobalion")</f>
        <v>Cobalion</v>
      </c>
      <c r="D250" s="5" t="s">
        <v>28</v>
      </c>
      <c r="E250" s="5" t="s">
        <v>13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83</v>
      </c>
      <c r="C251" s="6" t="str">
        <f aca="false">HYPERLINK("https://partner.tcgplayer.com/c/6278691/1780961/21018?u=https%3A%2F%2Fwww.tcgplayer.com%2Fproduct%2F642518%3Futm_source%3Dimpact%26utm_medium%3Daffiliate%26utm_campaign%3Dpoke%2Bcottage","Genesect ex")</f>
        <v>Genesect ex</v>
      </c>
      <c r="D251" s="5" t="s">
        <v>16</v>
      </c>
      <c r="E251" s="5" t="s">
        <v>17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84</v>
      </c>
      <c r="C252" s="6" t="str">
        <f aca="false">HYPERLINK("https://partner.tcgplayer.com/c/6278691/1780961/21018?u=https%3A%2F%2Fwww.tcgplayer.com%2Fproduct%2F642519%3Futm_source%3Dimpact%26utm_medium%3Daffiliate%26utm_campaign%3Dpoke%2Bcottage","Axew")</f>
        <v>Axew</v>
      </c>
      <c r="D252" s="5" t="s">
        <v>8</v>
      </c>
      <c r="E252" s="5" t="s">
        <v>9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84</v>
      </c>
      <c r="C253" s="6" t="str">
        <f aca="false">HYPERLINK("https://partner.tcgplayer.com/c/6278691/1780961/21018?u=https%3A%2F%2Fwww.tcgplayer.com%2Fproduct%2F642519%3Futm_source%3Dimpact%26utm_medium%3Daffiliate%26utm_campaign%3Dpoke%2Bcottage","Axew")</f>
        <v>Axew</v>
      </c>
      <c r="D253" s="5" t="s">
        <v>8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84</v>
      </c>
      <c r="C254" s="6" t="str">
        <f aca="false">HYPERLINK("https://partner.tcgplayer.com/c/6278691/1780961/21018?u=https%3A%2F%2Fwww.tcgplayer.com%2Fproduct%2F642760%3Futm_source%3Dimpact%26utm_medium%3Daffiliate%26utm_campaign%3Dpoke%2Bcottage","Axew")</f>
        <v>Axew</v>
      </c>
      <c r="D254" s="5" t="s">
        <v>8</v>
      </c>
      <c r="E254" s="5" t="s">
        <v>12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84</v>
      </c>
      <c r="C255" s="6" t="str">
        <f aca="false">HYPERLINK("https://partner.tcgplayer.com/c/6278691/1780961/21018?u=https%3A%2F%2Fwww.tcgplayer.com%2Fproduct%2F642687%3Futm_source%3Dimpact%26utm_medium%3Daffiliate%26utm_campaign%3Dpoke%2Bcottage","Axew")</f>
        <v>Axew</v>
      </c>
      <c r="D255" s="5" t="s">
        <v>8</v>
      </c>
      <c r="E255" s="5" t="s">
        <v>13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85</v>
      </c>
      <c r="C256" s="6" t="str">
        <f aca="false">HYPERLINK("https://partner.tcgplayer.com/c/6278691/1780961/21018?u=https%3A%2F%2Fwww.tcgplayer.com%2Fproduct%2F642520%3Futm_source%3Dimpact%26utm_medium%3Daffiliate%26utm_campaign%3Dpoke%2Bcottage","Fraxure")</f>
        <v>Fraxure</v>
      </c>
      <c r="D256" s="5" t="s">
        <v>8</v>
      </c>
      <c r="E256" s="5" t="s">
        <v>9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85</v>
      </c>
      <c r="C257" s="6" t="str">
        <f aca="false">HYPERLINK("https://partner.tcgplayer.com/c/6278691/1780961/21018?u=https%3A%2F%2Fwww.tcgplayer.com%2Fproduct%2F642520%3Futm_source%3Dimpact%26utm_medium%3Daffiliate%26utm_campaign%3Dpoke%2Bcottage","Fraxure")</f>
        <v>Fraxure</v>
      </c>
      <c r="D257" s="5" t="s">
        <v>8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85</v>
      </c>
      <c r="C258" s="6" t="str">
        <f aca="false">HYPERLINK("https://partner.tcgplayer.com/c/6278691/1780961/21018?u=https%3A%2F%2Fwww.tcgplayer.com%2Fproduct%2F642761%3Futm_source%3Dimpact%26utm_medium%3Daffiliate%26utm_campaign%3Dpoke%2Bcottage","Fraxure")</f>
        <v>Fraxure</v>
      </c>
      <c r="D258" s="5" t="s">
        <v>8</v>
      </c>
      <c r="E258" s="5" t="s">
        <v>12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85</v>
      </c>
      <c r="C259" s="6" t="str">
        <f aca="false">HYPERLINK("https://partner.tcgplayer.com/c/6278691/1780961/21018?u=https%3A%2F%2Fwww.tcgplayer.com%2Fproduct%2F642688%3Futm_source%3Dimpact%26utm_medium%3Daffiliate%26utm_campaign%3Dpoke%2Bcottage","Fraxure")</f>
        <v>Fraxure</v>
      </c>
      <c r="D259" s="5" t="s">
        <v>8</v>
      </c>
      <c r="E259" s="5" t="s">
        <v>13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86</v>
      </c>
      <c r="C260" s="6" t="str">
        <f aca="false">HYPERLINK("https://partner.tcgplayer.com/c/6278691/1780961/21018?u=https%3A%2F%2Fwww.tcgplayer.com%2Fproduct%2F642521%3Futm_source%3Dimpact%26utm_medium%3Daffiliate%26utm_campaign%3Dpoke%2Bcottage","Haxorus")</f>
        <v>Haxorus</v>
      </c>
      <c r="D260" s="5" t="s">
        <v>28</v>
      </c>
      <c r="E260" s="5" t="s">
        <v>17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86</v>
      </c>
      <c r="C261" s="6" t="str">
        <f aca="false">HYPERLINK("https://partner.tcgplayer.com/c/6278691/1780961/21018?u=https%3A%2F%2Fwww.tcgplayer.com%2Fproduct%2F642521%3Futm_source%3Dimpact%26utm_medium%3Daffiliate%26utm_campaign%3Dpoke%2Bcottage","Haxorus")</f>
        <v>Haxorus</v>
      </c>
      <c r="D261" s="5" t="s">
        <v>28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86</v>
      </c>
      <c r="C262" s="6" t="str">
        <f aca="false">HYPERLINK("https://partner.tcgplayer.com/c/6278691/1780961/21018?u=https%3A%2F%2Fwww.tcgplayer.com%2Fproduct%2F642762%3Futm_source%3Dimpact%26utm_medium%3Daffiliate%26utm_campaign%3Dpoke%2Bcottage","Haxorus")</f>
        <v>Haxorus</v>
      </c>
      <c r="D262" s="5" t="s">
        <v>28</v>
      </c>
      <c r="E262" s="5" t="s">
        <v>12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86</v>
      </c>
      <c r="C263" s="6" t="str">
        <f aca="false">HYPERLINK("https://partner.tcgplayer.com/c/6278691/1780961/21018?u=https%3A%2F%2Fwww.tcgplayer.com%2Fproduct%2F642689%3Futm_source%3Dimpact%26utm_medium%3Daffiliate%26utm_campaign%3Dpoke%2Bcottage","Haxorus")</f>
        <v>Haxorus</v>
      </c>
      <c r="D263" s="5" t="s">
        <v>28</v>
      </c>
      <c r="E263" s="5" t="s">
        <v>13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87</v>
      </c>
      <c r="C264" s="6" t="str">
        <f aca="false">HYPERLINK("https://partner.tcgplayer.com/c/6278691/1780961/21018?u=https%3A%2F%2Fwww.tcgplayer.com%2Fproduct%2F642522%3Futm_source%3Dimpact%26utm_medium%3Daffiliate%26utm_campaign%3Dpoke%2Bcottage","Pidove")</f>
        <v>Pidove</v>
      </c>
      <c r="D264" s="5" t="s">
        <v>8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87</v>
      </c>
      <c r="C265" s="6" t="str">
        <f aca="false">HYPERLINK("https://partner.tcgplayer.com/c/6278691/1780961/21018?u=https%3A%2F%2Fwww.tcgplayer.com%2Fproduct%2F642522%3Futm_source%3Dimpact%26utm_medium%3Daffiliate%26utm_campaign%3Dpoke%2Bcottage","Pidove")</f>
        <v>Pidove</v>
      </c>
      <c r="D265" s="5" t="s">
        <v>8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87</v>
      </c>
      <c r="C266" s="6" t="str">
        <f aca="false">HYPERLINK("https://partner.tcgplayer.com/c/6278691/1780961/21018?u=https%3A%2F%2Fwww.tcgplayer.com%2Fproduct%2F642763%3Futm_source%3Dimpact%26utm_medium%3Daffiliate%26utm_campaign%3Dpoke%2Bcottage","Pidove")</f>
        <v>Pidove</v>
      </c>
      <c r="D266" s="5" t="s">
        <v>8</v>
      </c>
      <c r="E266" s="5" t="s">
        <v>12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87</v>
      </c>
      <c r="C267" s="6" t="str">
        <f aca="false">HYPERLINK("https://partner.tcgplayer.com/c/6278691/1780961/21018?u=https%3A%2F%2Fwww.tcgplayer.com%2Fproduct%2F642690%3Futm_source%3Dimpact%26utm_medium%3Daffiliate%26utm_campaign%3Dpoke%2Bcottage","Pidove")</f>
        <v>Pidove</v>
      </c>
      <c r="D267" s="5" t="s">
        <v>8</v>
      </c>
      <c r="E267" s="5" t="s">
        <v>13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88</v>
      </c>
      <c r="C268" s="6" t="str">
        <f aca="false">HYPERLINK("https://partner.tcgplayer.com/c/6278691/1780961/21018?u=https%3A%2F%2Fwww.tcgplayer.com%2Fproduct%2F642523%3Futm_source%3Dimpact%26utm_medium%3Daffiliate%26utm_campaign%3Dpoke%2Bcottage","Tranquill")</f>
        <v>Tranquill</v>
      </c>
      <c r="D268" s="5" t="s">
        <v>8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88</v>
      </c>
      <c r="C269" s="6" t="str">
        <f aca="false">HYPERLINK("https://partner.tcgplayer.com/c/6278691/1780961/21018?u=https%3A%2F%2Fwww.tcgplayer.com%2Fproduct%2F642523%3Futm_source%3Dimpact%26utm_medium%3Daffiliate%26utm_campaign%3Dpoke%2Bcottage","Tranquill")</f>
        <v>Tranquill</v>
      </c>
      <c r="D269" s="5" t="s">
        <v>8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88</v>
      </c>
      <c r="C270" s="6" t="str">
        <f aca="false">HYPERLINK("https://partner.tcgplayer.com/c/6278691/1780961/21018?u=https%3A%2F%2Fwww.tcgplayer.com%2Fproduct%2F642764%3Futm_source%3Dimpact%26utm_medium%3Daffiliate%26utm_campaign%3Dpoke%2Bcottage","Tranquill")</f>
        <v>Tranquill</v>
      </c>
      <c r="D270" s="5" t="s">
        <v>8</v>
      </c>
      <c r="E270" s="5" t="s">
        <v>12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88</v>
      </c>
      <c r="C271" s="6" t="str">
        <f aca="false">HYPERLINK("https://partner.tcgplayer.com/c/6278691/1780961/21018?u=https%3A%2F%2Fwww.tcgplayer.com%2Fproduct%2F642691%3Futm_source%3Dimpact%26utm_medium%3Daffiliate%26utm_campaign%3Dpoke%2Bcottage","Tranquill")</f>
        <v>Tranquill</v>
      </c>
      <c r="D271" s="5" t="s">
        <v>8</v>
      </c>
      <c r="E271" s="5" t="s">
        <v>13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89</v>
      </c>
      <c r="C272" s="6" t="str">
        <f aca="false">HYPERLINK("https://partner.tcgplayer.com/c/6278691/1780961/21018?u=https%3A%2F%2Fwww.tcgplayer.com%2Fproduct%2F642524%3Futm_source%3Dimpact%26utm_medium%3Daffiliate%26utm_campaign%3Dpoke%2Bcottage","Unfezant")</f>
        <v>Unfezant</v>
      </c>
      <c r="D272" s="5" t="s">
        <v>20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89</v>
      </c>
      <c r="C273" s="6" t="str">
        <f aca="false">HYPERLINK("https://partner.tcgplayer.com/c/6278691/1780961/21018?u=https%3A%2F%2Fwww.tcgplayer.com%2Fproduct%2F642524%3Futm_source%3Dimpact%26utm_medium%3Daffiliate%26utm_campaign%3Dpoke%2Bcottage","Unfezant")</f>
        <v>Unfezant</v>
      </c>
      <c r="D273" s="5" t="s">
        <v>20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89</v>
      </c>
      <c r="C274" s="6" t="str">
        <f aca="false">HYPERLINK("https://partner.tcgplayer.com/c/6278691/1780961/21018?u=https%3A%2F%2Fwww.tcgplayer.com%2Fproduct%2F642765%3Futm_source%3Dimpact%26utm_medium%3Daffiliate%26utm_campaign%3Dpoke%2Bcottage","Unfezant")</f>
        <v>Unfezant</v>
      </c>
      <c r="D274" s="5" t="s">
        <v>20</v>
      </c>
      <c r="E274" s="5" t="s">
        <v>12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89</v>
      </c>
      <c r="C275" s="6" t="str">
        <f aca="false">HYPERLINK("https://partner.tcgplayer.com/c/6278691/1780961/21018?u=https%3A%2F%2Fwww.tcgplayer.com%2Fproduct%2F642692%3Futm_source%3Dimpact%26utm_medium%3Daffiliate%26utm_campaign%3Dpoke%2Bcottage","Unfezant")</f>
        <v>Unfezant</v>
      </c>
      <c r="D275" s="5" t="s">
        <v>20</v>
      </c>
      <c r="E275" s="5" t="s">
        <v>13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90</v>
      </c>
      <c r="C276" s="6" t="str">
        <f aca="false">HYPERLINK("https://partner.tcgplayer.com/c/6278691/1780961/21018?u=https%3A%2F%2Fwww.tcgplayer.com%2Fproduct%2F642525%3Futm_source%3Dimpact%26utm_medium%3Daffiliate%26utm_campaign%3Dpoke%2Bcottage","Audino")</f>
        <v>Audino</v>
      </c>
      <c r="D276" s="5" t="s">
        <v>8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90</v>
      </c>
      <c r="C277" s="6" t="str">
        <f aca="false">HYPERLINK("https://partner.tcgplayer.com/c/6278691/1780961/21018?u=https%3A%2F%2Fwww.tcgplayer.com%2Fproduct%2F642525%3Futm_source%3Dimpact%26utm_medium%3Daffiliate%26utm_campaign%3Dpoke%2Bcottage","Audino")</f>
        <v>Audino</v>
      </c>
      <c r="D277" s="5" t="s">
        <v>8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90</v>
      </c>
      <c r="C278" s="6" t="str">
        <f aca="false">HYPERLINK("https://partner.tcgplayer.com/c/6278691/1780961/21018?u=https%3A%2F%2Fwww.tcgplayer.com%2Fproduct%2F642766%3Futm_source%3Dimpact%26utm_medium%3Daffiliate%26utm_campaign%3Dpoke%2Bcottage","Audino")</f>
        <v>Audino</v>
      </c>
      <c r="D278" s="5" t="s">
        <v>8</v>
      </c>
      <c r="E278" s="5" t="s">
        <v>12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90</v>
      </c>
      <c r="C279" s="6" t="str">
        <f aca="false">HYPERLINK("https://partner.tcgplayer.com/c/6278691/1780961/21018?u=https%3A%2F%2Fwww.tcgplayer.com%2Fproduct%2F642693%3Futm_source%3Dimpact%26utm_medium%3Daffiliate%26utm_campaign%3Dpoke%2Bcottage","Audino")</f>
        <v>Audino</v>
      </c>
      <c r="D279" s="5" t="s">
        <v>8</v>
      </c>
      <c r="E279" s="5" t="s">
        <v>13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91</v>
      </c>
      <c r="C280" s="6" t="str">
        <f aca="false">HYPERLINK("https://partner.tcgplayer.com/c/6278691/1780961/21018?u=https%3A%2F%2Fwww.tcgplayer.com%2Fproduct%2F642526%3Futm_source%3Dimpact%26utm_medium%3Daffiliate%26utm_campaign%3Dpoke%2Bcottage","Minccino")</f>
        <v>Minccino</v>
      </c>
      <c r="D280" s="5" t="s">
        <v>8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91</v>
      </c>
      <c r="C281" s="6" t="str">
        <f aca="false">HYPERLINK("https://partner.tcgplayer.com/c/6278691/1780961/21018?u=https%3A%2F%2Fwww.tcgplayer.com%2Fproduct%2F642526%3Futm_source%3Dimpact%26utm_medium%3Daffiliate%26utm_campaign%3Dpoke%2Bcottage","Minccino")</f>
        <v>Minccino</v>
      </c>
      <c r="D281" s="5" t="s">
        <v>8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91</v>
      </c>
      <c r="C282" s="6" t="str">
        <f aca="false">HYPERLINK("https://partner.tcgplayer.com/c/6278691/1780961/21018?u=https%3A%2F%2Fwww.tcgplayer.com%2Fproduct%2F642767%3Futm_source%3Dimpact%26utm_medium%3Daffiliate%26utm_campaign%3Dpoke%2Bcottage","Minccino")</f>
        <v>Minccino</v>
      </c>
      <c r="D282" s="5" t="s">
        <v>8</v>
      </c>
      <c r="E282" s="5" t="s">
        <v>12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91</v>
      </c>
      <c r="C283" s="6" t="str">
        <f aca="false">HYPERLINK("https://partner.tcgplayer.com/c/6278691/1780961/21018?u=https%3A%2F%2Fwww.tcgplayer.com%2Fproduct%2F642694%3Futm_source%3Dimpact%26utm_medium%3Daffiliate%26utm_campaign%3Dpoke%2Bcottage","Minccino")</f>
        <v>Minccino</v>
      </c>
      <c r="D283" s="5" t="s">
        <v>8</v>
      </c>
      <c r="E283" s="5" t="s">
        <v>13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92</v>
      </c>
      <c r="C284" s="6" t="str">
        <f aca="false">HYPERLINK("https://partner.tcgplayer.com/c/6278691/1780961/21018?u=https%3A%2F%2Fwww.tcgplayer.com%2Fproduct%2F642527%3Futm_source%3Dimpact%26utm_medium%3Daffiliate%26utm_campaign%3Dpoke%2Bcottage","Cinccino")</f>
        <v>Cinccino</v>
      </c>
      <c r="D284" s="5" t="s">
        <v>20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92</v>
      </c>
      <c r="C285" s="6" t="str">
        <f aca="false">HYPERLINK("https://partner.tcgplayer.com/c/6278691/1780961/21018?u=https%3A%2F%2Fwww.tcgplayer.com%2Fproduct%2F642527%3Futm_source%3Dimpact%26utm_medium%3Daffiliate%26utm_campaign%3Dpoke%2Bcottage","Cinccino")</f>
        <v>Cinccino</v>
      </c>
      <c r="D285" s="5" t="s">
        <v>20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92</v>
      </c>
      <c r="C286" s="6" t="str">
        <f aca="false">HYPERLINK("https://partner.tcgplayer.com/c/6278691/1780961/21018?u=https%3A%2F%2Fwww.tcgplayer.com%2Fproduct%2F642768%3Futm_source%3Dimpact%26utm_medium%3Daffiliate%26utm_campaign%3Dpoke%2Bcottage","Cinccino")</f>
        <v>Cinccino</v>
      </c>
      <c r="D286" s="5" t="s">
        <v>20</v>
      </c>
      <c r="E286" s="5" t="s">
        <v>12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92</v>
      </c>
      <c r="C287" s="6" t="str">
        <f aca="false">HYPERLINK("https://partner.tcgplayer.com/c/6278691/1780961/21018?u=https%3A%2F%2Fwww.tcgplayer.com%2Fproduct%2F642695%3Futm_source%3Dimpact%26utm_medium%3Daffiliate%26utm_campaign%3Dpoke%2Bcottage","Cinccino")</f>
        <v>Cinccino</v>
      </c>
      <c r="D287" s="5" t="s">
        <v>20</v>
      </c>
      <c r="E287" s="5" t="s">
        <v>13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93</v>
      </c>
      <c r="C288" s="6" t="str">
        <f aca="false">HYPERLINK("https://partner.tcgplayer.com/c/6278691/1780961/21018?u=https%3A%2F%2Fwww.tcgplayer.com%2Fproduct%2F642191%3Futm_source%3Dimpact%26utm_medium%3Daffiliate%26utm_campaign%3Dpoke%2Bcottage","Rufflet")</f>
        <v>Rufflet</v>
      </c>
      <c r="D288" s="5" t="s">
        <v>8</v>
      </c>
      <c r="E288" s="5" t="s">
        <v>9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93</v>
      </c>
      <c r="C289" s="6" t="str">
        <f aca="false">HYPERLINK("https://partner.tcgplayer.com/c/6278691/1780961/21018?u=https%3A%2F%2Fwww.tcgplayer.com%2Fproduct%2F642191%3Futm_source%3Dimpact%26utm_medium%3Daffiliate%26utm_campaign%3Dpoke%2Bcottage","Rufflet")</f>
        <v>Rufflet</v>
      </c>
      <c r="D289" s="5" t="s">
        <v>8</v>
      </c>
      <c r="E289" s="5" t="s">
        <v>11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93</v>
      </c>
      <c r="C290" s="6" t="str">
        <f aca="false">HYPERLINK("https://partner.tcgplayer.com/c/6278691/1780961/21018?u=https%3A%2F%2Fwww.tcgplayer.com%2Fproduct%2F642431%3Futm_source%3Dimpact%26utm_medium%3Daffiliate%26utm_campaign%3Dpoke%2Bcottage","Rufflet")</f>
        <v>Rufflet</v>
      </c>
      <c r="D290" s="5" t="s">
        <v>8</v>
      </c>
      <c r="E290" s="5" t="s">
        <v>12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93</v>
      </c>
      <c r="C291" s="6" t="str">
        <f aca="false">HYPERLINK("https://partner.tcgplayer.com/c/6278691/1780961/21018?u=https%3A%2F%2Fwww.tcgplayer.com%2Fproduct%2F642359%3Futm_source%3Dimpact%26utm_medium%3Daffiliate%26utm_campaign%3Dpoke%2Bcottage","Rufflet")</f>
        <v>Rufflet</v>
      </c>
      <c r="D291" s="5" t="s">
        <v>8</v>
      </c>
      <c r="E291" s="5" t="s">
        <v>13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94</v>
      </c>
      <c r="C292" s="6" t="str">
        <f aca="false">HYPERLINK("https://partner.tcgplayer.com/c/6278691/1780961/21018?u=https%3A%2F%2Fwww.tcgplayer.com%2Fproduct%2F642192%3Futm_source%3Dimpact%26utm_medium%3Daffiliate%26utm_campaign%3Dpoke%2Bcottage","Braviary")</f>
        <v>Braviary</v>
      </c>
      <c r="D292" s="5" t="s">
        <v>20</v>
      </c>
      <c r="E292" s="5" t="s">
        <v>9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94</v>
      </c>
      <c r="C293" s="6" t="str">
        <f aca="false">HYPERLINK("https://partner.tcgplayer.com/c/6278691/1780961/21018?u=https%3A%2F%2Fwww.tcgplayer.com%2Fproduct%2F642192%3Futm_source%3Dimpact%26utm_medium%3Daffiliate%26utm_campaign%3Dpoke%2Bcottage","Braviary")</f>
        <v>Braviary</v>
      </c>
      <c r="D293" s="5" t="s">
        <v>20</v>
      </c>
      <c r="E293" s="5" t="s">
        <v>11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94</v>
      </c>
      <c r="C294" s="6" t="str">
        <f aca="false">HYPERLINK("https://partner.tcgplayer.com/c/6278691/1780961/21018?u=https%3A%2F%2Fwww.tcgplayer.com%2Fproduct%2F642432%3Futm_source%3Dimpact%26utm_medium%3Daffiliate%26utm_campaign%3Dpoke%2Bcottage","Braviary")</f>
        <v>Braviary</v>
      </c>
      <c r="D294" s="5" t="s">
        <v>20</v>
      </c>
      <c r="E294" s="5" t="s">
        <v>12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94</v>
      </c>
      <c r="C295" s="6" t="str">
        <f aca="false">HYPERLINK("https://partner.tcgplayer.com/c/6278691/1780961/21018?u=https%3A%2F%2Fwww.tcgplayer.com%2Fproduct%2F642360%3Futm_source%3Dimpact%26utm_medium%3Daffiliate%26utm_campaign%3Dpoke%2Bcottage","Braviary")</f>
        <v>Braviary</v>
      </c>
      <c r="D295" s="5" t="s">
        <v>20</v>
      </c>
      <c r="E295" s="5" t="s">
        <v>13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95</v>
      </c>
      <c r="C296" s="6" t="str">
        <f aca="false">HYPERLINK("https://partner.tcgplayer.com/c/6278691/1780961/21018?u=https%3A%2F%2Fwww.tcgplayer.com%2Fproduct%2F642531%3Futm_source%3Dimpact%26utm_medium%3Daffiliate%26utm_campaign%3Dpoke%2Bcottage","Air Balloon")</f>
        <v>Air Balloon</v>
      </c>
      <c r="D296" s="5" t="s">
        <v>20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95</v>
      </c>
      <c r="C297" s="6" t="str">
        <f aca="false">HYPERLINK("https://partner.tcgplayer.com/c/6278691/1780961/21018?u=https%3A%2F%2Fwww.tcgplayer.com%2Fproduct%2F642531%3Futm_source%3Dimpact%26utm_medium%3Daffiliate%26utm_campaign%3Dpoke%2Bcottage","Air Balloon")</f>
        <v>Air Balloon</v>
      </c>
      <c r="D297" s="5" t="s">
        <v>20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95</v>
      </c>
      <c r="C298" s="6" t="str">
        <f aca="false">HYPERLINK("https://partner.tcgplayer.com/c/6278691/1780961/21018?u=https%3A%2F%2Fwww.tcgplayer.com%2Fproduct%2F642771%3Futm_source%3Dimpact%26utm_medium%3Daffiliate%26utm_campaign%3Dpoke%2Bcottage","Air Balloon")</f>
        <v>Air Balloon</v>
      </c>
      <c r="D298" s="5" t="s">
        <v>20</v>
      </c>
      <c r="E298" s="5" t="s">
        <v>12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96</v>
      </c>
      <c r="C299" s="6" t="str">
        <f aca="false">HYPERLINK("https://partner.tcgplayer.com/c/6278691/1780961/21018?u=https%3A%2F%2Fwww.tcgplayer.com%2Fproduct%2F642529%3Futm_source%3Dimpact%26utm_medium%3Daffiliate%26utm_campaign%3Dpoke%2Bcottage","Antique Cover Fossil")</f>
        <v>Antique Cover Fossil</v>
      </c>
      <c r="D299" s="5" t="s">
        <v>8</v>
      </c>
      <c r="E299" s="5" t="s">
        <v>9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96</v>
      </c>
      <c r="C300" s="6" t="str">
        <f aca="false">HYPERLINK("https://partner.tcgplayer.com/c/6278691/1780961/21018?u=https%3A%2F%2Fwww.tcgplayer.com%2Fproduct%2F642529%3Futm_source%3Dimpact%26utm_medium%3Daffiliate%26utm_campaign%3Dpoke%2Bcottage","Antique Cover Fossil")</f>
        <v>Antique Cover Fossil</v>
      </c>
      <c r="D300" s="5" t="s">
        <v>8</v>
      </c>
      <c r="E300" s="5" t="s">
        <v>11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96</v>
      </c>
      <c r="C301" s="6" t="str">
        <f aca="false">HYPERLINK("https://partner.tcgplayer.com/c/6278691/1780961/21018?u=https%3A%2F%2Fwww.tcgplayer.com%2Fproduct%2F644864%3Futm_source%3Dimpact%26utm_medium%3Daffiliate%26utm_campaign%3Dpoke%2Bcottage","Antique Cover Fossil")</f>
        <v>Antique Cover Fossil</v>
      </c>
      <c r="D301" s="5" t="s">
        <v>8</v>
      </c>
      <c r="E301" s="5" t="s">
        <v>12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97</v>
      </c>
      <c r="C302" s="6" t="str">
        <f aca="false">HYPERLINK("https://partner.tcgplayer.com/c/6278691/1780961/21018?u=https%3A%2F%2Fwww.tcgplayer.com%2Fproduct%2F642528%3Futm_source%3Dimpact%26utm_medium%3Daffiliate%26utm_campaign%3Dpoke%2Bcottage","Energy Coin")</f>
        <v>Energy Coin</v>
      </c>
      <c r="D302" s="5" t="s">
        <v>20</v>
      </c>
      <c r="E302" s="5" t="s">
        <v>9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97</v>
      </c>
      <c r="C303" s="6" t="str">
        <f aca="false">HYPERLINK("https://partner.tcgplayer.com/c/6278691/1780961/21018?u=https%3A%2F%2Fwww.tcgplayer.com%2Fproduct%2F642528%3Futm_source%3Dimpact%26utm_medium%3Daffiliate%26utm_campaign%3Dpoke%2Bcottage","Energy Coin")</f>
        <v>Energy Coin</v>
      </c>
      <c r="D303" s="5" t="s">
        <v>20</v>
      </c>
      <c r="E303" s="5" t="s">
        <v>11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97</v>
      </c>
      <c r="C304" s="6" t="str">
        <f aca="false">HYPERLINK("https://partner.tcgplayer.com/c/6278691/1780961/21018?u=https%3A%2F%2Fwww.tcgplayer.com%2Fproduct%2F642770%3Futm_source%3Dimpact%26utm_medium%3Daffiliate%26utm_campaign%3Dpoke%2Bcottage","Energy Coin")</f>
        <v>Energy Coin</v>
      </c>
      <c r="D304" s="5" t="s">
        <v>20</v>
      </c>
      <c r="E304" s="5" t="s">
        <v>12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98</v>
      </c>
      <c r="C305" s="6" t="str">
        <f aca="false">HYPERLINK("https://partner.tcgplayer.com/c/6278691/1780961/21018?u=https%3A%2F%2Fwww.tcgplayer.com%2Fproduct%2F642534%3Futm_source%3Dimpact%26utm_medium%3Daffiliate%26utm_campaign%3Dpoke%2Bcottage","Fennel")</f>
        <v>Fennel</v>
      </c>
      <c r="D305" s="5" t="s">
        <v>20</v>
      </c>
      <c r="E305" s="5" t="s">
        <v>9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98</v>
      </c>
      <c r="C306" s="6" t="str">
        <f aca="false">HYPERLINK("https://partner.tcgplayer.com/c/6278691/1780961/21018?u=https%3A%2F%2Fwww.tcgplayer.com%2Fproduct%2F642534%3Futm_source%3Dimpact%26utm_medium%3Daffiliate%26utm_campaign%3Dpoke%2Bcottage","Fennel")</f>
        <v>Fennel</v>
      </c>
      <c r="D306" s="5" t="s">
        <v>20</v>
      </c>
      <c r="E306" s="5" t="s">
        <v>11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98</v>
      </c>
      <c r="C307" s="6" t="str">
        <f aca="false">HYPERLINK("https://partner.tcgplayer.com/c/6278691/1780961/21018?u=https%3A%2F%2Fwww.tcgplayer.com%2Fproduct%2F644866%3Futm_source%3Dimpact%26utm_medium%3Daffiliate%26utm_campaign%3Dpoke%2Bcottage","Fennel")</f>
        <v>Fennel</v>
      </c>
      <c r="D307" s="5" t="s">
        <v>20</v>
      </c>
      <c r="E307" s="5" t="s">
        <v>12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99</v>
      </c>
      <c r="C308" s="6" t="str">
        <f aca="false">HYPERLINK("https://partner.tcgplayer.com/c/6278691/1780961/21018?u=https%3A%2F%2Fwww.tcgplayer.com%2Fproduct%2F642532%3Futm_source%3Dimpact%26utm_medium%3Daffiliate%26utm_campaign%3Dpoke%2Bcottage","N's Plan")</f>
        <v>N's Plan</v>
      </c>
      <c r="D308" s="5" t="s">
        <v>20</v>
      </c>
      <c r="E308" s="5" t="s">
        <v>9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99</v>
      </c>
      <c r="C309" s="6" t="str">
        <f aca="false">HYPERLINK("https://partner.tcgplayer.com/c/6278691/1780961/21018?u=https%3A%2F%2Fwww.tcgplayer.com%2Fproduct%2F642532%3Futm_source%3Dimpact%26utm_medium%3Daffiliate%26utm_campaign%3Dpoke%2Bcottage","N's Plan")</f>
        <v>N's Plan</v>
      </c>
      <c r="D309" s="5" t="s">
        <v>20</v>
      </c>
      <c r="E309" s="5" t="s">
        <v>11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99</v>
      </c>
      <c r="C310" s="6" t="str">
        <f aca="false">HYPERLINK("https://partner.tcgplayer.com/c/6278691/1780961/21018?u=https%3A%2F%2Fwww.tcgplayer.com%2Fproduct%2F644869%3Futm_source%3Dimpact%26utm_medium%3Daffiliate%26utm_campaign%3Dpoke%2Bcottage","N's Plan")</f>
        <v>N's Plan</v>
      </c>
      <c r="D310" s="5" t="s">
        <v>20</v>
      </c>
      <c r="E310" s="5" t="s">
        <v>12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100</v>
      </c>
      <c r="C311" s="6" t="str">
        <f aca="false">HYPERLINK("https://partner.tcgplayer.com/c/6278691/1780961/21018?u=https%3A%2F%2Fwww.tcgplayer.com%2Fproduct%2F642530%3Futm_source%3Dimpact%26utm_medium%3Daffiliate%26utm_campaign%3Dpoke%2Bcottage","Pokégear 3.0")</f>
        <v>Pokégear 3.0</v>
      </c>
      <c r="D311" s="5" t="s">
        <v>20</v>
      </c>
      <c r="E311" s="5" t="s">
        <v>9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100</v>
      </c>
      <c r="C312" s="6" t="str">
        <f aca="false">HYPERLINK("https://partner.tcgplayer.com/c/6278691/1780961/21018?u=https%3A%2F%2Fwww.tcgplayer.com%2Fproduct%2F642530%3Futm_source%3Dimpact%26utm_medium%3Daffiliate%26utm_campaign%3Dpoke%2Bcottage","Pokégear 3.0")</f>
        <v>Pokégear 3.0</v>
      </c>
      <c r="D312" s="5" t="s">
        <v>20</v>
      </c>
      <c r="E312" s="5" t="s">
        <v>11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100</v>
      </c>
      <c r="C313" s="6" t="str">
        <f aca="false">HYPERLINK("https://partner.tcgplayer.com/c/6278691/1780961/21018?u=https%3A%2F%2Fwww.tcgplayer.com%2Fproduct%2F644830%3Futm_source%3Dimpact%26utm_medium%3Daffiliate%26utm_campaign%3Dpoke%2Bcottage","Pokégear 3.0")</f>
        <v>Pokégear 3.0</v>
      </c>
      <c r="D313" s="5" t="s">
        <v>20</v>
      </c>
      <c r="E313" s="5" t="s">
        <v>12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101</v>
      </c>
      <c r="C314" s="6" t="str">
        <f aca="false">HYPERLINK("https://partner.tcgplayer.com/c/6278691/1780961/21018?u=https%3A%2F%2Fwww.tcgplayer.com%2Fproduct%2F642533%3Futm_source%3Dimpact%26utm_medium%3Daffiliate%26utm_campaign%3Dpoke%2Bcottage","Professor's Research (Professor Juniper)")</f>
        <v>Professor's Research (Professor Juniper)</v>
      </c>
      <c r="D314" s="5" t="s">
        <v>20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101</v>
      </c>
      <c r="C315" s="6" t="str">
        <f aca="false">HYPERLINK("https://partner.tcgplayer.com/c/6278691/1780961/21018?u=https%3A%2F%2Fwww.tcgplayer.com%2Fproduct%2F642533%3Futm_source%3Dimpact%26utm_medium%3Daffiliate%26utm_campaign%3Dpoke%2Bcottage","Professor's Research (Professor Juniper)")</f>
        <v>Professor's Research (Professor Juniper)</v>
      </c>
      <c r="D315" s="5" t="s">
        <v>20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101</v>
      </c>
      <c r="C316" s="6" t="str">
        <f aca="false">HYPERLINK("https://partner.tcgplayer.com/c/6278691/1780961/21018?u=https%3A%2F%2Fwww.tcgplayer.com%2Fproduct%2F642772%3Futm_source%3Dimpact%26utm_medium%3Daffiliate%26utm_campaign%3Dpoke%2Bcottage","Professor's Research (Professor Juniper)")</f>
        <v>Professor's Research (Professor Juniper)</v>
      </c>
      <c r="D316" s="5" t="s">
        <v>20</v>
      </c>
      <c r="E316" s="5" t="s">
        <v>12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102</v>
      </c>
      <c r="C317" s="6" t="str">
        <f aca="false">HYPERLINK("https://partner.tcgplayer.com/c/6278691/1780961/21018?u=https%3A%2F%2Fwww.tcgplayer.com%2Fproduct%2F642535%3Futm_source%3Dimpact%26utm_medium%3Daffiliate%26utm_campaign%3Dpoke%2Bcottage","Prism Energy")</f>
        <v>Prism Energy</v>
      </c>
      <c r="D317" s="5" t="s">
        <v>20</v>
      </c>
      <c r="E317" s="5" t="s">
        <v>9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102</v>
      </c>
      <c r="C318" s="6" t="str">
        <f aca="false">HYPERLINK("https://partner.tcgplayer.com/c/6278691/1780961/21018?u=https%3A%2F%2Fwww.tcgplayer.com%2Fproduct%2F642535%3Futm_source%3Dimpact%26utm_medium%3Daffiliate%26utm_campaign%3Dpoke%2Bcottage","Prism Energy")</f>
        <v>Prism Energy</v>
      </c>
      <c r="D318" s="5" t="s">
        <v>20</v>
      </c>
      <c r="E318" s="5" t="s">
        <v>11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102</v>
      </c>
      <c r="C319" s="6" t="str">
        <f aca="false">HYPERLINK("https://partner.tcgplayer.com/c/6278691/1780961/21018?u=https%3A%2F%2Fwww.tcgplayer.com%2Fproduct%2F642769%3Futm_source%3Dimpact%26utm_medium%3Daffiliate%26utm_campaign%3Dpoke%2Bcottage","Prism Energy")</f>
        <v>Prism Energy</v>
      </c>
      <c r="D319" s="5" t="s">
        <v>20</v>
      </c>
      <c r="E319" s="5" t="s">
        <v>12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103</v>
      </c>
      <c r="C320" s="6" t="str">
        <f aca="false">HYPERLINK("https://partner.tcgplayer.com/c/6278691/1780961/21018?u=https%3A%2F%2Fwww.tcgplayer.com%2Fproduct%2F642536%3Futm_source%3Dimpact%26utm_medium%3Daffiliate%26utm_campaign%3Dpoke%2Bcottage","Snivy")</f>
        <v>Snivy</v>
      </c>
      <c r="D320" s="5" t="s">
        <v>104</v>
      </c>
      <c r="E320" s="5" t="s">
        <v>17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105</v>
      </c>
      <c r="C321" s="6" t="str">
        <f aca="false">HYPERLINK("https://partner.tcgplayer.com/c/6278691/1780961/21018?u=https%3A%2F%2Fwww.tcgplayer.com%2Fproduct%2F642537%3Futm_source%3Dimpact%26utm_medium%3Daffiliate%26utm_campaign%3Dpoke%2Bcottage","Servine")</f>
        <v>Servine</v>
      </c>
      <c r="D321" s="5" t="s">
        <v>104</v>
      </c>
      <c r="E321" s="5" t="s">
        <v>17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106</v>
      </c>
      <c r="C322" s="6" t="str">
        <f aca="false">HYPERLINK("https://partner.tcgplayer.com/c/6278691/1780961/21018?u=https%3A%2F%2Fwww.tcgplayer.com%2Fproduct%2F642538%3Futm_source%3Dimpact%26utm_medium%3Daffiliate%26utm_campaign%3Dpoke%2Bcottage","Pansage")</f>
        <v>Pansage</v>
      </c>
      <c r="D322" s="5" t="s">
        <v>104</v>
      </c>
      <c r="E322" s="5" t="s">
        <v>17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107</v>
      </c>
      <c r="C323" s="6" t="str">
        <f aca="false">HYPERLINK("https://partner.tcgplayer.com/c/6278691/1780961/21018?u=https%3A%2F%2Fwww.tcgplayer.com%2Fproduct%2F642539%3Futm_source%3Dimpact%26utm_medium%3Daffiliate%26utm_campaign%3Dpoke%2Bcottage","Simisage")</f>
        <v>Simisage</v>
      </c>
      <c r="D323" s="5" t="s">
        <v>104</v>
      </c>
      <c r="E323" s="5" t="s">
        <v>17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108</v>
      </c>
      <c r="C324" s="6" t="str">
        <f aca="false">HYPERLINK("https://partner.tcgplayer.com/c/6278691/1780961/21018?u=https%3A%2F%2Fwww.tcgplayer.com%2Fproduct%2F642540%3Futm_source%3Dimpact%26utm_medium%3Daffiliate%26utm_campaign%3Dpoke%2Bcottage","Petilil")</f>
        <v>Petilil</v>
      </c>
      <c r="D324" s="5" t="s">
        <v>104</v>
      </c>
      <c r="E324" s="5" t="s">
        <v>17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109</v>
      </c>
      <c r="C325" s="6" t="str">
        <f aca="false">HYPERLINK("https://partner.tcgplayer.com/c/6278691/1780961/21018?u=https%3A%2F%2Fwww.tcgplayer.com%2Fproduct%2F642541%3Futm_source%3Dimpact%26utm_medium%3Daffiliate%26utm_campaign%3Dpoke%2Bcottage","Lilligant")</f>
        <v>Lilligant</v>
      </c>
      <c r="D325" s="5" t="s">
        <v>104</v>
      </c>
      <c r="E325" s="5" t="s">
        <v>17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110</v>
      </c>
      <c r="C326" s="6" t="str">
        <f aca="false">HYPERLINK("https://partner.tcgplayer.com/c/6278691/1780961/21018?u=https%3A%2F%2Fwww.tcgplayer.com%2Fproduct%2F642542%3Futm_source%3Dimpact%26utm_medium%3Daffiliate%26utm_campaign%3Dpoke%2Bcottage","Maractus")</f>
        <v>Maractus</v>
      </c>
      <c r="D326" s="5" t="s">
        <v>104</v>
      </c>
      <c r="E326" s="5" t="s">
        <v>17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111</v>
      </c>
      <c r="C327" s="6" t="str">
        <f aca="false">HYPERLINK("https://partner.tcgplayer.com/c/6278691/1780961/21018?u=https%3A%2F%2Fwww.tcgplayer.com%2Fproduct%2F642543%3Futm_source%3Dimpact%26utm_medium%3Daffiliate%26utm_campaign%3Dpoke%2Bcottage","Karrablast")</f>
        <v>Karrablast</v>
      </c>
      <c r="D327" s="5" t="s">
        <v>104</v>
      </c>
      <c r="E327" s="5" t="s">
        <v>17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112</v>
      </c>
      <c r="C328" s="6" t="str">
        <f aca="false">HYPERLINK("https://partner.tcgplayer.com/c/6278691/1780961/21018?u=https%3A%2F%2Fwww.tcgplayer.com%2Fproduct%2F642544%3Futm_source%3Dimpact%26utm_medium%3Daffiliate%26utm_campaign%3Dpoke%2Bcottage","Foongus")</f>
        <v>Foongus</v>
      </c>
      <c r="D328" s="5" t="s">
        <v>104</v>
      </c>
      <c r="E328" s="5" t="s">
        <v>17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113</v>
      </c>
      <c r="C329" s="6" t="str">
        <f aca="false">HYPERLINK("https://partner.tcgplayer.com/c/6278691/1780961/21018?u=https%3A%2F%2Fwww.tcgplayer.com%2Fproduct%2F642545%3Futm_source%3Dimpact%26utm_medium%3Daffiliate%26utm_campaign%3Dpoke%2Bcottage","Amoonguss")</f>
        <v>Amoonguss</v>
      </c>
      <c r="D329" s="5" t="s">
        <v>104</v>
      </c>
      <c r="E329" s="5" t="s">
        <v>17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114</v>
      </c>
      <c r="C330" s="6" t="str">
        <f aca="false">HYPERLINK("https://partner.tcgplayer.com/c/6278691/1780961/21018?u=https%3A%2F%2Fwww.tcgplayer.com%2Fproduct%2F642547%3Futm_source%3Dimpact%26utm_medium%3Daffiliate%26utm_campaign%3Dpoke%2Bcottage","Darumaka")</f>
        <v>Darumaka</v>
      </c>
      <c r="D330" s="5" t="s">
        <v>104</v>
      </c>
      <c r="E330" s="5" t="s">
        <v>17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115</v>
      </c>
      <c r="C331" s="6" t="str">
        <f aca="false">HYPERLINK("https://partner.tcgplayer.com/c/6278691/1780961/21018?u=https%3A%2F%2Fwww.tcgplayer.com%2Fproduct%2F642548%3Futm_source%3Dimpact%26utm_medium%3Daffiliate%26utm_campaign%3Dpoke%2Bcottage","Darmanitan")</f>
        <v>Darmanitan</v>
      </c>
      <c r="D331" s="5" t="s">
        <v>104</v>
      </c>
      <c r="E331" s="5" t="s">
        <v>17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116</v>
      </c>
      <c r="C332" s="6" t="str">
        <f aca="false">HYPERLINK("https://partner.tcgplayer.com/c/6278691/1780961/21018?u=https%3A%2F%2Fwww.tcgplayer.com%2Fproduct%2F642552%3Futm_source%3Dimpact%26utm_medium%3Daffiliate%26utm_campaign%3Dpoke%2Bcottage","Larvesta")</f>
        <v>Larvesta</v>
      </c>
      <c r="D332" s="5" t="s">
        <v>104</v>
      </c>
      <c r="E332" s="5" t="s">
        <v>17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117</v>
      </c>
      <c r="C333" s="6" t="str">
        <f aca="false">HYPERLINK("https://partner.tcgplayer.com/c/6278691/1780961/21018?u=https%3A%2F%2Fwww.tcgplayer.com%2Fproduct%2F642553%3Futm_source%3Dimpact%26utm_medium%3Daffiliate%26utm_campaign%3Dpoke%2Bcottage","Volcarona")</f>
        <v>Volcarona</v>
      </c>
      <c r="D333" s="5" t="s">
        <v>104</v>
      </c>
      <c r="E333" s="5" t="s">
        <v>17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118</v>
      </c>
      <c r="C334" s="6" t="str">
        <f aca="false">HYPERLINK("https://partner.tcgplayer.com/c/6278691/1780961/21018?u=https%3A%2F%2Fwww.tcgplayer.com%2Fproduct%2F642554%3Futm_source%3Dimpact%26utm_medium%3Daffiliate%26utm_campaign%3Dpoke%2Bcottage","Panpour")</f>
        <v>Panpour</v>
      </c>
      <c r="D334" s="5" t="s">
        <v>104</v>
      </c>
      <c r="E334" s="5" t="s">
        <v>17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119</v>
      </c>
      <c r="C335" s="6" t="str">
        <f aca="false">HYPERLINK("https://partner.tcgplayer.com/c/6278691/1780961/21018?u=https%3A%2F%2Fwww.tcgplayer.com%2Fproduct%2F642555%3Futm_source%3Dimpact%26utm_medium%3Daffiliate%26utm_campaign%3Dpoke%2Bcottage","Simipour")</f>
        <v>Simipour</v>
      </c>
      <c r="D335" s="5" t="s">
        <v>104</v>
      </c>
      <c r="E335" s="5" t="s">
        <v>17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120</v>
      </c>
      <c r="C336" s="6" t="str">
        <f aca="false">HYPERLINK("https://partner.tcgplayer.com/c/6278691/1780961/21018?u=https%3A%2F%2Fwww.tcgplayer.com%2Fproduct%2F642556%3Futm_source%3Dimpact%26utm_medium%3Daffiliate%26utm_campaign%3Dpoke%2Bcottage","Tympole")</f>
        <v>Tympole</v>
      </c>
      <c r="D336" s="5" t="s">
        <v>104</v>
      </c>
      <c r="E336" s="5" t="s">
        <v>17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121</v>
      </c>
      <c r="C337" s="6" t="str">
        <f aca="false">HYPERLINK("https://partner.tcgplayer.com/c/6278691/1780961/21018?u=https%3A%2F%2Fwww.tcgplayer.com%2Fproduct%2F642557%3Futm_source%3Dimpact%26utm_medium%3Daffiliate%26utm_campaign%3Dpoke%2Bcottage","Palpitoad")</f>
        <v>Palpitoad</v>
      </c>
      <c r="D337" s="5" t="s">
        <v>104</v>
      </c>
      <c r="E337" s="5" t="s">
        <v>17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122</v>
      </c>
      <c r="C338" s="6" t="str">
        <f aca="false">HYPERLINK("https://partner.tcgplayer.com/c/6278691/1780961/21018?u=https%3A%2F%2Fwww.tcgplayer.com%2Fproduct%2F642558%3Futm_source%3Dimpact%26utm_medium%3Daffiliate%26utm_campaign%3Dpoke%2Bcottage","Seismitoad")</f>
        <v>Seismitoad</v>
      </c>
      <c r="D338" s="5" t="s">
        <v>104</v>
      </c>
      <c r="E338" s="5" t="s">
        <v>17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123</v>
      </c>
      <c r="C339" s="6" t="str">
        <f aca="false">HYPERLINK("https://partner.tcgplayer.com/c/6278691/1780961/21018?u=https%3A%2F%2Fwww.tcgplayer.com%2Fproduct%2F642559%3Futm_source%3Dimpact%26utm_medium%3Daffiliate%26utm_campaign%3Dpoke%2Bcottage","Tirtouga")</f>
        <v>Tirtouga</v>
      </c>
      <c r="D339" s="5" t="s">
        <v>104</v>
      </c>
      <c r="E339" s="5" t="s">
        <v>17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124</v>
      </c>
      <c r="C340" s="6" t="str">
        <f aca="false">HYPERLINK("https://partner.tcgplayer.com/c/6278691/1780961/21018?u=https%3A%2F%2Fwww.tcgplayer.com%2Fproduct%2F642560%3Futm_source%3Dimpact%26utm_medium%3Daffiliate%26utm_campaign%3Dpoke%2Bcottage","Carracosta")</f>
        <v>Carracosta</v>
      </c>
      <c r="D340" s="5" t="s">
        <v>104</v>
      </c>
      <c r="E340" s="5" t="s">
        <v>17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125</v>
      </c>
      <c r="C341" s="6" t="str">
        <f aca="false">HYPERLINK("https://partner.tcgplayer.com/c/6278691/1780961/21018?u=https%3A%2F%2Fwww.tcgplayer.com%2Fproduct%2F642561%3Futm_source%3Dimpact%26utm_medium%3Daffiliate%26utm_campaign%3Dpoke%2Bcottage","Alomomola")</f>
        <v>Alomomola</v>
      </c>
      <c r="D341" s="5" t="s">
        <v>104</v>
      </c>
      <c r="E341" s="5" t="s">
        <v>17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126</v>
      </c>
      <c r="C342" s="6" t="str">
        <f aca="false">HYPERLINK("https://partner.tcgplayer.com/c/6278691/1780961/21018?u=https%3A%2F%2Fwww.tcgplayer.com%2Fproduct%2F642562%3Futm_source%3Dimpact%26utm_medium%3Daffiliate%26utm_campaign%3Dpoke%2Bcottage","Cubchoo")</f>
        <v>Cubchoo</v>
      </c>
      <c r="D342" s="5" t="s">
        <v>104</v>
      </c>
      <c r="E342" s="5" t="s">
        <v>17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127</v>
      </c>
      <c r="C343" s="6" t="str">
        <f aca="false">HYPERLINK("https://partner.tcgplayer.com/c/6278691/1780961/21018?u=https%3A%2F%2Fwww.tcgplayer.com%2Fproduct%2F642563%3Futm_source%3Dimpact%26utm_medium%3Daffiliate%26utm_campaign%3Dpoke%2Bcottage","Beartic")</f>
        <v>Beartic</v>
      </c>
      <c r="D343" s="5" t="s">
        <v>104</v>
      </c>
      <c r="E343" s="5" t="s">
        <v>17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128</v>
      </c>
      <c r="C344" s="6" t="str">
        <f aca="false">HYPERLINK("https://partner.tcgplayer.com/c/6278691/1780961/21018?u=https%3A%2F%2Fwww.tcgplayer.com%2Fproduct%2F642564%3Futm_source%3Dimpact%26utm_medium%3Daffiliate%26utm_campaign%3Dpoke%2Bcottage","Cryogonal")</f>
        <v>Cryogonal</v>
      </c>
      <c r="D344" s="5" t="s">
        <v>104</v>
      </c>
      <c r="E344" s="5" t="s">
        <v>17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129</v>
      </c>
      <c r="C345" s="6" t="str">
        <f aca="false">HYPERLINK("https://partner.tcgplayer.com/c/6278691/1780961/21018?u=https%3A%2F%2Fwww.tcgplayer.com%2Fproduct%2F642565%3Futm_source%3Dimpact%26utm_medium%3Daffiliate%26utm_campaign%3Dpoke%2Bcottage","Emolga")</f>
        <v>Emolga</v>
      </c>
      <c r="D345" s="5" t="s">
        <v>104</v>
      </c>
      <c r="E345" s="5" t="s">
        <v>17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130</v>
      </c>
      <c r="C346" s="6" t="str">
        <f aca="false">HYPERLINK("https://partner.tcgplayer.com/c/6278691/1780961/21018?u=https%3A%2F%2Fwww.tcgplayer.com%2Fproduct%2F642566%3Futm_source%3Dimpact%26utm_medium%3Daffiliate%26utm_campaign%3Dpoke%2Bcottage","Tynamo")</f>
        <v>Tynamo</v>
      </c>
      <c r="D346" s="5" t="s">
        <v>104</v>
      </c>
      <c r="E346" s="5" t="s">
        <v>17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131</v>
      </c>
      <c r="C347" s="6" t="str">
        <f aca="false">HYPERLINK("https://partner.tcgplayer.com/c/6278691/1780961/21018?u=https%3A%2F%2Fwww.tcgplayer.com%2Fproduct%2F642567%3Futm_source%3Dimpact%26utm_medium%3Daffiliate%26utm_campaign%3Dpoke%2Bcottage","Eelektrik")</f>
        <v>Eelektrik</v>
      </c>
      <c r="D347" s="5" t="s">
        <v>104</v>
      </c>
      <c r="E347" s="5" t="s">
        <v>17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132</v>
      </c>
      <c r="C348" s="6" t="str">
        <f aca="false">HYPERLINK("https://partner.tcgplayer.com/c/6278691/1780961/21018?u=https%3A%2F%2Fwww.tcgplayer.com%2Fproduct%2F642568%3Futm_source%3Dimpact%26utm_medium%3Daffiliate%26utm_campaign%3Dpoke%2Bcottage","Eelektross")</f>
        <v>Eelektross</v>
      </c>
      <c r="D348" s="5" t="s">
        <v>104</v>
      </c>
      <c r="E348" s="5" t="s">
        <v>17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133</v>
      </c>
      <c r="C349" s="6" t="str">
        <f aca="false">HYPERLINK("https://partner.tcgplayer.com/c/6278691/1780961/21018?u=https%3A%2F%2Fwww.tcgplayer.com%2Fproduct%2F642570%3Futm_source%3Dimpact%26utm_medium%3Daffiliate%26utm_campaign%3Dpoke%2Bcottage","Munna")</f>
        <v>Munna</v>
      </c>
      <c r="D349" s="5" t="s">
        <v>104</v>
      </c>
      <c r="E349" s="5" t="s">
        <v>17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134</v>
      </c>
      <c r="C350" s="6" t="str">
        <f aca="false">HYPERLINK("https://partner.tcgplayer.com/c/6278691/1780961/21018?u=https%3A%2F%2Fwww.tcgplayer.com%2Fproduct%2F642571%3Futm_source%3Dimpact%26utm_medium%3Daffiliate%26utm_campaign%3Dpoke%2Bcottage","Musharna")</f>
        <v>Musharna</v>
      </c>
      <c r="D350" s="5" t="s">
        <v>104</v>
      </c>
      <c r="E350" s="5" t="s">
        <v>17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135</v>
      </c>
      <c r="C351" s="6" t="str">
        <f aca="false">HYPERLINK("https://partner.tcgplayer.com/c/6278691/1780961/21018?u=https%3A%2F%2Fwww.tcgplayer.com%2Fproduct%2F642572%3Futm_source%3Dimpact%26utm_medium%3Daffiliate%26utm_campaign%3Dpoke%2Bcottage","Solosis")</f>
        <v>Solosis</v>
      </c>
      <c r="D351" s="5" t="s">
        <v>104</v>
      </c>
      <c r="E351" s="5" t="s">
        <v>17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136</v>
      </c>
      <c r="C352" s="6" t="str">
        <f aca="false">HYPERLINK("https://partner.tcgplayer.com/c/6278691/1780961/21018?u=https%3A%2F%2Fwww.tcgplayer.com%2Fproduct%2F642573%3Futm_source%3Dimpact%26utm_medium%3Daffiliate%26utm_campaign%3Dpoke%2Bcottage","Duosion")</f>
        <v>Duosion</v>
      </c>
      <c r="D352" s="5" t="s">
        <v>104</v>
      </c>
      <c r="E352" s="5" t="s">
        <v>17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137</v>
      </c>
      <c r="C353" s="6" t="str">
        <f aca="false">HYPERLINK("https://partner.tcgplayer.com/c/6278691/1780961/21018?u=https%3A%2F%2Fwww.tcgplayer.com%2Fproduct%2F642575%3Futm_source%3Dimpact%26utm_medium%3Daffiliate%26utm_campaign%3Dpoke%2Bcottage","Elgyem")</f>
        <v>Elgyem</v>
      </c>
      <c r="D353" s="5" t="s">
        <v>104</v>
      </c>
      <c r="E353" s="5" t="s">
        <v>17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138</v>
      </c>
      <c r="C354" s="6" t="str">
        <f aca="false">HYPERLINK("https://partner.tcgplayer.com/c/6278691/1780961/21018?u=https%3A%2F%2Fwww.tcgplayer.com%2Fproduct%2F642576%3Futm_source%3Dimpact%26utm_medium%3Daffiliate%26utm_campaign%3Dpoke%2Bcottage","Beheeyem")</f>
        <v>Beheeyem</v>
      </c>
      <c r="D354" s="5" t="s">
        <v>104</v>
      </c>
      <c r="E354" s="5" t="s">
        <v>17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139</v>
      </c>
      <c r="C355" s="6" t="str">
        <f aca="false">HYPERLINK("https://partner.tcgplayer.com/c/6278691/1780961/21018?u=https%3A%2F%2Fwww.tcgplayer.com%2Fproduct%2F642577%3Futm_source%3Dimpact%26utm_medium%3Daffiliate%26utm_campaign%3Dpoke%2Bcottage","Golett")</f>
        <v>Golett</v>
      </c>
      <c r="D355" s="5" t="s">
        <v>104</v>
      </c>
      <c r="E355" s="5" t="s">
        <v>17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140</v>
      </c>
      <c r="C356" s="6" t="str">
        <f aca="false">HYPERLINK("https://partner.tcgplayer.com/c/6278691/1780961/21018?u=https%3A%2F%2Fwww.tcgplayer.com%2Fproduct%2F642578%3Futm_source%3Dimpact%26utm_medium%3Daffiliate%26utm_campaign%3Dpoke%2Bcottage","Golurk")</f>
        <v>Golurk</v>
      </c>
      <c r="D356" s="5" t="s">
        <v>104</v>
      </c>
      <c r="E356" s="5" t="s">
        <v>17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141</v>
      </c>
      <c r="C357" s="6" t="str">
        <f aca="false">HYPERLINK("https://partner.tcgplayer.com/c/6278691/1780961/21018?u=https%3A%2F%2Fwww.tcgplayer.com%2Fproduct%2F642579%3Futm_source%3Dimpact%26utm_medium%3Daffiliate%26utm_campaign%3Dpoke%2Bcottage","Drilbur")</f>
        <v>Drilbur</v>
      </c>
      <c r="D357" s="5" t="s">
        <v>104</v>
      </c>
      <c r="E357" s="5" t="s">
        <v>17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142</v>
      </c>
      <c r="C358" s="6" t="str">
        <f aca="false">HYPERLINK("https://partner.tcgplayer.com/c/6278691/1780961/21018?u=https%3A%2F%2Fwww.tcgplayer.com%2Fproduct%2F642580%3Futm_source%3Dimpact%26utm_medium%3Daffiliate%26utm_campaign%3Dpoke%2Bcottage","Timburr")</f>
        <v>Timburr</v>
      </c>
      <c r="D358" s="5" t="s">
        <v>104</v>
      </c>
      <c r="E358" s="5" t="s">
        <v>17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143</v>
      </c>
      <c r="C359" s="6" t="str">
        <f aca="false">HYPERLINK("https://partner.tcgplayer.com/c/6278691/1780961/21018?u=https%3A%2F%2Fwww.tcgplayer.com%2Fproduct%2F642581%3Futm_source%3Dimpact%26utm_medium%3Daffiliate%26utm_campaign%3Dpoke%2Bcottage","Gurdurr")</f>
        <v>Gurdurr</v>
      </c>
      <c r="D359" s="5" t="s">
        <v>104</v>
      </c>
      <c r="E359" s="5" t="s">
        <v>17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144</v>
      </c>
      <c r="C360" s="6" t="str">
        <f aca="false">HYPERLINK("https://partner.tcgplayer.com/c/6278691/1780961/21018?u=https%3A%2F%2Fwww.tcgplayer.com%2Fproduct%2F642582%3Futm_source%3Dimpact%26utm_medium%3Daffiliate%26utm_campaign%3Dpoke%2Bcottage","Conkeldurr")</f>
        <v>Conkeldurr</v>
      </c>
      <c r="D360" s="5" t="s">
        <v>104</v>
      </c>
      <c r="E360" s="5" t="s">
        <v>17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145</v>
      </c>
      <c r="C361" s="6" t="str">
        <f aca="false">HYPERLINK("https://partner.tcgplayer.com/c/6278691/1780961/21018?u=https%3A%2F%2Fwww.tcgplayer.com%2Fproduct%2F642583%3Futm_source%3Dimpact%26utm_medium%3Daffiliate%26utm_campaign%3Dpoke%2Bcottage","Throh")</f>
        <v>Throh</v>
      </c>
      <c r="D361" s="5" t="s">
        <v>104</v>
      </c>
      <c r="E361" s="5" t="s">
        <v>17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146</v>
      </c>
      <c r="C362" s="6" t="str">
        <f aca="false">HYPERLINK("https://partner.tcgplayer.com/c/6278691/1780961/21018?u=https%3A%2F%2Fwww.tcgplayer.com%2Fproduct%2F642584%3Futm_source%3Dimpact%26utm_medium%3Daffiliate%26utm_campaign%3Dpoke%2Bcottage","Dwebble")</f>
        <v>Dwebble</v>
      </c>
      <c r="D362" s="5" t="s">
        <v>104</v>
      </c>
      <c r="E362" s="5" t="s">
        <v>17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147</v>
      </c>
      <c r="C363" s="6" t="str">
        <f aca="false">HYPERLINK("https://partner.tcgplayer.com/c/6278691/1780961/21018?u=https%3A%2F%2Fwww.tcgplayer.com%2Fproduct%2F642585%3Futm_source%3Dimpact%26utm_medium%3Daffiliate%26utm_campaign%3Dpoke%2Bcottage","Crustle")</f>
        <v>Crustle</v>
      </c>
      <c r="D363" s="5" t="s">
        <v>104</v>
      </c>
      <c r="E363" s="5" t="s">
        <v>17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148</v>
      </c>
      <c r="C364" s="6" t="str">
        <f aca="false">HYPERLINK("https://partner.tcgplayer.com/c/6278691/1780961/21018?u=https%3A%2F%2Fwww.tcgplayer.com%2Fproduct%2F642586%3Futm_source%3Dimpact%26utm_medium%3Daffiliate%26utm_campaign%3Dpoke%2Bcottage","Landorus")</f>
        <v>Landorus</v>
      </c>
      <c r="D364" s="5" t="s">
        <v>104</v>
      </c>
      <c r="E364" s="5" t="s">
        <v>17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149</v>
      </c>
      <c r="C365" s="6" t="str">
        <f aca="false">HYPERLINK("https://partner.tcgplayer.com/c/6278691/1780961/21018?u=https%3A%2F%2Fwww.tcgplayer.com%2Fproduct%2F642587%3Futm_source%3Dimpact%26utm_medium%3Daffiliate%26utm_campaign%3Dpoke%2Bcottage","Venipede")</f>
        <v>Venipede</v>
      </c>
      <c r="D365" s="5" t="s">
        <v>104</v>
      </c>
      <c r="E365" s="5" t="s">
        <v>17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150</v>
      </c>
      <c r="C366" s="6" t="str">
        <f aca="false">HYPERLINK("https://partner.tcgplayer.com/c/6278691/1780961/21018?u=https%3A%2F%2Fwww.tcgplayer.com%2Fproduct%2F642588%3Futm_source%3Dimpact%26utm_medium%3Daffiliate%26utm_campaign%3Dpoke%2Bcottage","Whirlipede")</f>
        <v>Whirlipede</v>
      </c>
      <c r="D366" s="5" t="s">
        <v>104</v>
      </c>
      <c r="E366" s="5" t="s">
        <v>17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151</v>
      </c>
      <c r="C367" s="6" t="str">
        <f aca="false">HYPERLINK("https://partner.tcgplayer.com/c/6278691/1780961/21018?u=https%3A%2F%2Fwww.tcgplayer.com%2Fproduct%2F642589%3Futm_source%3Dimpact%26utm_medium%3Daffiliate%26utm_campaign%3Dpoke%2Bcottage","Scolipede")</f>
        <v>Scolipede</v>
      </c>
      <c r="D367" s="5" t="s">
        <v>104</v>
      </c>
      <c r="E367" s="5" t="s">
        <v>17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152</v>
      </c>
      <c r="C368" s="6" t="str">
        <f aca="false">HYPERLINK("https://partner.tcgplayer.com/c/6278691/1780961/21018?u=https%3A%2F%2Fwww.tcgplayer.com%2Fproduct%2F642590%3Futm_source%3Dimpact%26utm_medium%3Daffiliate%26utm_campaign%3Dpoke%2Bcottage","Sandile")</f>
        <v>Sandile</v>
      </c>
      <c r="D368" s="5" t="s">
        <v>104</v>
      </c>
      <c r="E368" s="5" t="s">
        <v>17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153</v>
      </c>
      <c r="C369" s="6" t="str">
        <f aca="false">HYPERLINK("https://partner.tcgplayer.com/c/6278691/1780961/21018?u=https%3A%2F%2Fwww.tcgplayer.com%2Fproduct%2F642591%3Futm_source%3Dimpact%26utm_medium%3Daffiliate%26utm_campaign%3Dpoke%2Bcottage","Krokorok")</f>
        <v>Krokorok</v>
      </c>
      <c r="D369" s="5" t="s">
        <v>104</v>
      </c>
      <c r="E369" s="5" t="s">
        <v>17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154</v>
      </c>
      <c r="C370" s="6" t="str">
        <f aca="false">HYPERLINK("https://partner.tcgplayer.com/c/6278691/1780961/21018?u=https%3A%2F%2Fwww.tcgplayer.com%2Fproduct%2F642592%3Futm_source%3Dimpact%26utm_medium%3Daffiliate%26utm_campaign%3Dpoke%2Bcottage","Krookodile")</f>
        <v>Krookodile</v>
      </c>
      <c r="D370" s="5" t="s">
        <v>104</v>
      </c>
      <c r="E370" s="5" t="s">
        <v>17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155</v>
      </c>
      <c r="C371" s="6" t="str">
        <f aca="false">HYPERLINK("https://partner.tcgplayer.com/c/6278691/1780961/21018?u=https%3A%2F%2Fwww.tcgplayer.com%2Fproduct%2F642595%3Futm_source%3Dimpact%26utm_medium%3Daffiliate%26utm_campaign%3Dpoke%2Bcottage","Escavalier")</f>
        <v>Escavalier</v>
      </c>
      <c r="D371" s="5" t="s">
        <v>104</v>
      </c>
      <c r="E371" s="5" t="s">
        <v>17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156</v>
      </c>
      <c r="C372" s="6" t="str">
        <f aca="false">HYPERLINK("https://partner.tcgplayer.com/c/6278691/1780961/21018?u=https%3A%2F%2Fwww.tcgplayer.com%2Fproduct%2F642261%3Futm_source%3Dimpact%26utm_medium%3Daffiliate%26utm_campaign%3Dpoke%2Bcottage","Klink")</f>
        <v>Klink</v>
      </c>
      <c r="D372" s="5" t="s">
        <v>104</v>
      </c>
      <c r="E372" s="5" t="s">
        <v>17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157</v>
      </c>
      <c r="C373" s="6" t="str">
        <f aca="false">HYPERLINK("https://partner.tcgplayer.com/c/6278691/1780961/21018?u=https%3A%2F%2Fwww.tcgplayer.com%2Fproduct%2F642262%3Futm_source%3Dimpact%26utm_medium%3Daffiliate%26utm_campaign%3Dpoke%2Bcottage","Klang")</f>
        <v>Klang</v>
      </c>
      <c r="D373" s="5" t="s">
        <v>104</v>
      </c>
      <c r="E373" s="5" t="s">
        <v>17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158</v>
      </c>
      <c r="C374" s="6" t="str">
        <f aca="false">HYPERLINK("https://partner.tcgplayer.com/c/6278691/1780961/21018?u=https%3A%2F%2Fwww.tcgplayer.com%2Fproduct%2F642263%3Futm_source%3Dimpact%26utm_medium%3Daffiliate%26utm_campaign%3Dpoke%2Bcottage","Klinklang")</f>
        <v>Klinklang</v>
      </c>
      <c r="D374" s="5" t="s">
        <v>104</v>
      </c>
      <c r="E374" s="5" t="s">
        <v>17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159</v>
      </c>
      <c r="C375" s="6" t="str">
        <f aca="false">HYPERLINK("https://partner.tcgplayer.com/c/6278691/1780961/21018?u=https%3A%2F%2Fwww.tcgplayer.com%2Fproduct%2F642596%3Futm_source%3Dimpact%26utm_medium%3Daffiliate%26utm_campaign%3Dpoke%2Bcottage","Pawniard")</f>
        <v>Pawniard</v>
      </c>
      <c r="D375" s="5" t="s">
        <v>104</v>
      </c>
      <c r="E375" s="5" t="s">
        <v>17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160</v>
      </c>
      <c r="C376" s="6" t="str">
        <f aca="false">HYPERLINK("https://partner.tcgplayer.com/c/6278691/1780961/21018?u=https%3A%2F%2Fwww.tcgplayer.com%2Fproduct%2F642597%3Futm_source%3Dimpact%26utm_medium%3Daffiliate%26utm_campaign%3Dpoke%2Bcottage","Bisharp")</f>
        <v>Bisharp</v>
      </c>
      <c r="D376" s="5" t="s">
        <v>104</v>
      </c>
      <c r="E376" s="5" t="s">
        <v>17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161</v>
      </c>
      <c r="C377" s="6" t="str">
        <f aca="false">HYPERLINK("https://partner.tcgplayer.com/c/6278691/1780961/21018?u=https%3A%2F%2Fwww.tcgplayer.com%2Fproduct%2F642598%3Futm_source%3Dimpact%26utm_medium%3Daffiliate%26utm_campaign%3Dpoke%2Bcottage","Cobalion")</f>
        <v>Cobalion</v>
      </c>
      <c r="D377" s="5" t="s">
        <v>104</v>
      </c>
      <c r="E377" s="5" t="s">
        <v>17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162</v>
      </c>
      <c r="C378" s="6" t="str">
        <f aca="false">HYPERLINK("https://partner.tcgplayer.com/c/6278691/1780961/21018?u=https%3A%2F%2Fwww.tcgplayer.com%2Fproduct%2F642599%3Futm_source%3Dimpact%26utm_medium%3Daffiliate%26utm_campaign%3Dpoke%2Bcottage","Axew")</f>
        <v>Axew</v>
      </c>
      <c r="D378" s="5" t="s">
        <v>104</v>
      </c>
      <c r="E378" s="5" t="s">
        <v>17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163</v>
      </c>
      <c r="C379" s="6" t="str">
        <f aca="false">HYPERLINK("https://partner.tcgplayer.com/c/6278691/1780961/21018?u=https%3A%2F%2Fwww.tcgplayer.com%2Fproduct%2F642600%3Futm_source%3Dimpact%26utm_medium%3Daffiliate%26utm_campaign%3Dpoke%2Bcottage","Fraxure")</f>
        <v>Fraxure</v>
      </c>
      <c r="D379" s="5" t="s">
        <v>104</v>
      </c>
      <c r="E379" s="5" t="s">
        <v>17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164</v>
      </c>
      <c r="C380" s="6" t="str">
        <f aca="false">HYPERLINK("https://partner.tcgplayer.com/c/6278691/1780961/21018?u=https%3A%2F%2Fwww.tcgplayer.com%2Fproduct%2F642601%3Futm_source%3Dimpact%26utm_medium%3Daffiliate%26utm_campaign%3Dpoke%2Bcottage","Haxorus")</f>
        <v>Haxorus</v>
      </c>
      <c r="D380" s="5" t="s">
        <v>104</v>
      </c>
      <c r="E380" s="5" t="s">
        <v>17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165</v>
      </c>
      <c r="C381" s="6" t="str">
        <f aca="false">HYPERLINK("https://partner.tcgplayer.com/c/6278691/1780961/21018?u=https%3A%2F%2Fwww.tcgplayer.com%2Fproduct%2F642602%3Futm_source%3Dimpact%26utm_medium%3Daffiliate%26utm_campaign%3Dpoke%2Bcottage","Pidove")</f>
        <v>Pidove</v>
      </c>
      <c r="D381" s="5" t="s">
        <v>104</v>
      </c>
      <c r="E381" s="5" t="s">
        <v>17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166</v>
      </c>
      <c r="C382" s="6" t="str">
        <f aca="false">HYPERLINK("https://partner.tcgplayer.com/c/6278691/1780961/21018?u=https%3A%2F%2Fwww.tcgplayer.com%2Fproduct%2F642603%3Futm_source%3Dimpact%26utm_medium%3Daffiliate%26utm_campaign%3Dpoke%2Bcottage","Tranquill")</f>
        <v>Tranquill</v>
      </c>
      <c r="D382" s="5" t="s">
        <v>104</v>
      </c>
      <c r="E382" s="5" t="s">
        <v>17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167</v>
      </c>
      <c r="C383" s="6" t="str">
        <f aca="false">HYPERLINK("https://partner.tcgplayer.com/c/6278691/1780961/21018?u=https%3A%2F%2Fwww.tcgplayer.com%2Fproduct%2F642604%3Futm_source%3Dimpact%26utm_medium%3Daffiliate%26utm_campaign%3Dpoke%2Bcottage","Unfezant")</f>
        <v>Unfezant</v>
      </c>
      <c r="D383" s="5" t="s">
        <v>104</v>
      </c>
      <c r="E383" s="5" t="s">
        <v>17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168</v>
      </c>
      <c r="C384" s="6" t="str">
        <f aca="false">HYPERLINK("https://partner.tcgplayer.com/c/6278691/1780961/21018?u=https%3A%2F%2Fwww.tcgplayer.com%2Fproduct%2F642605%3Futm_source%3Dimpact%26utm_medium%3Daffiliate%26utm_campaign%3Dpoke%2Bcottage","Audino")</f>
        <v>Audino</v>
      </c>
      <c r="D384" s="5" t="s">
        <v>104</v>
      </c>
      <c r="E384" s="5" t="s">
        <v>17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169</v>
      </c>
      <c r="C385" s="6" t="str">
        <f aca="false">HYPERLINK("https://partner.tcgplayer.com/c/6278691/1780961/21018?u=https%3A%2F%2Fwww.tcgplayer.com%2Fproduct%2F642606%3Futm_source%3Dimpact%26utm_medium%3Daffiliate%26utm_campaign%3Dpoke%2Bcottage","Minccino")</f>
        <v>Minccino</v>
      </c>
      <c r="D385" s="5" t="s">
        <v>104</v>
      </c>
      <c r="E385" s="5" t="s">
        <v>17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170</v>
      </c>
      <c r="C386" s="6" t="str">
        <f aca="false">HYPERLINK("https://partner.tcgplayer.com/c/6278691/1780961/21018?u=https%3A%2F%2Fwww.tcgplayer.com%2Fproduct%2F642607%3Futm_source%3Dimpact%26utm_medium%3Daffiliate%26utm_campaign%3Dpoke%2Bcottage","Cinccino")</f>
        <v>Cinccino</v>
      </c>
      <c r="D386" s="5" t="s">
        <v>104</v>
      </c>
      <c r="E386" s="5" t="s">
        <v>17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171</v>
      </c>
      <c r="C387" s="6" t="str">
        <f aca="false">HYPERLINK("https://partner.tcgplayer.com/c/6278691/1780961/21018?u=https%3A%2F%2Fwww.tcgplayer.com%2Fproduct%2F642271%3Futm_source%3Dimpact%26utm_medium%3Daffiliate%26utm_campaign%3Dpoke%2Bcottage","Rufflet")</f>
        <v>Rufflet</v>
      </c>
      <c r="D387" s="5" t="s">
        <v>104</v>
      </c>
      <c r="E387" s="5" t="s">
        <v>17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172</v>
      </c>
      <c r="C388" s="6" t="str">
        <f aca="false">HYPERLINK("https://partner.tcgplayer.com/c/6278691/1780961/21018?u=https%3A%2F%2Fwww.tcgplayer.com%2Fproduct%2F642272%3Futm_source%3Dimpact%26utm_medium%3Daffiliate%26utm_campaign%3Dpoke%2Bcottage","Braviary")</f>
        <v>Braviary</v>
      </c>
      <c r="D388" s="5" t="s">
        <v>104</v>
      </c>
      <c r="E388" s="5" t="s">
        <v>17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173</v>
      </c>
      <c r="C389" s="6" t="str">
        <f aca="false">HYPERLINK("https://partner.tcgplayer.com/c/6278691/1780961/21018?u=https%3A%2F%2Fwww.tcgplayer.com%2Fproduct%2F642608%3Futm_source%3Dimpact%26utm_medium%3Daffiliate%26utm_campaign%3Dpoke%2Bcottage","Serperior ex")</f>
        <v>Serperior ex</v>
      </c>
      <c r="D389" s="5" t="s">
        <v>174</v>
      </c>
      <c r="E389" s="5" t="s">
        <v>17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175</v>
      </c>
      <c r="C390" s="6" t="str">
        <f aca="false">HYPERLINK("https://partner.tcgplayer.com/c/6278691/1780961/21018?u=https%3A%2F%2Fwww.tcgplayer.com%2Fproduct%2F642609%3Futm_source%3Dimpact%26utm_medium%3Daffiliate%26utm_campaign%3Dpoke%2Bcottage","Kyurem ex")</f>
        <v>Kyurem ex</v>
      </c>
      <c r="D390" s="5" t="s">
        <v>174</v>
      </c>
      <c r="E390" s="5" t="s">
        <v>17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176</v>
      </c>
      <c r="C391" s="6" t="str">
        <f aca="false">HYPERLINK("https://partner.tcgplayer.com/c/6278691/1780961/21018?u=https%3A%2F%2Fwww.tcgplayer.com%2Fproduct%2F642610%3Futm_source%3Dimpact%26utm_medium%3Daffiliate%26utm_campaign%3Dpoke%2Bcottage","Zekrom ex")</f>
        <v>Zekrom ex</v>
      </c>
      <c r="D391" s="5" t="s">
        <v>174</v>
      </c>
      <c r="E391" s="5" t="s">
        <v>17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177</v>
      </c>
      <c r="C392" s="6" t="str">
        <f aca="false">HYPERLINK("https://partner.tcgplayer.com/c/6278691/1780961/21018?u=https%3A%2F%2Fwww.tcgplayer.com%2Fproduct%2F642611%3Futm_source%3Dimpact%26utm_medium%3Daffiliate%26utm_campaign%3Dpoke%2Bcottage","Meloetta ex")</f>
        <v>Meloetta ex</v>
      </c>
      <c r="D392" s="5" t="s">
        <v>174</v>
      </c>
      <c r="E392" s="5" t="s">
        <v>17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178</v>
      </c>
      <c r="C393" s="6" t="str">
        <f aca="false">HYPERLINK("https://partner.tcgplayer.com/c/6278691/1780961/21018?u=https%3A%2F%2Fwww.tcgplayer.com%2Fproduct%2F642612%3Futm_source%3Dimpact%26utm_medium%3Daffiliate%26utm_campaign%3Dpoke%2Bcottage","Excadrill ex")</f>
        <v>Excadrill ex</v>
      </c>
      <c r="D393" s="5" t="s">
        <v>174</v>
      </c>
      <c r="E393" s="5" t="s">
        <v>17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179</v>
      </c>
      <c r="C394" s="6" t="str">
        <f aca="false">HYPERLINK("https://partner.tcgplayer.com/c/6278691/1780961/21018?u=https%3A%2F%2Fwww.tcgplayer.com%2Fproduct%2F642613%3Futm_source%3Dimpact%26utm_medium%3Daffiliate%26utm_campaign%3Dpoke%2Bcottage","Genesect ex")</f>
        <v>Genesect ex</v>
      </c>
      <c r="D394" s="5" t="s">
        <v>174</v>
      </c>
      <c r="E394" s="5" t="s">
        <v>17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180</v>
      </c>
      <c r="C395" s="6" t="str">
        <f aca="false">HYPERLINK("https://partner.tcgplayer.com/c/6278691/1780961/21018?u=https%3A%2F%2Fwww.tcgplayer.com%2Fproduct%2F642615%3Futm_source%3Dimpact%26utm_medium%3Daffiliate%26utm_campaign%3Dpoke%2Bcottage","Fennel")</f>
        <v>Fennel</v>
      </c>
      <c r="D395" s="5" t="s">
        <v>174</v>
      </c>
      <c r="E395" s="5" t="s">
        <v>17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181</v>
      </c>
      <c r="C396" s="6" t="str">
        <f aca="false">HYPERLINK("https://partner.tcgplayer.com/c/6278691/1780961/21018?u=https%3A%2F%2Fwww.tcgplayer.com%2Fproduct%2F642614%3Futm_source%3Dimpact%26utm_medium%3Daffiliate%26utm_campaign%3Dpoke%2Bcottage","N's Plan")</f>
        <v>N's Plan</v>
      </c>
      <c r="D396" s="5" t="s">
        <v>174</v>
      </c>
      <c r="E396" s="5" t="s">
        <v>17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182</v>
      </c>
      <c r="C397" s="6" t="str">
        <f aca="false">HYPERLINK("https://partner.tcgplayer.com/c/6278691/1780961/21018?u=https%3A%2F%2Fwww.tcgplayer.com%2Fproduct%2F642616%3Futm_source%3Dimpact%26utm_medium%3Daffiliate%26utm_campaign%3Dpoke%2Bcottage","Serperior ex")</f>
        <v>Serperior ex</v>
      </c>
      <c r="D397" s="5" t="s">
        <v>183</v>
      </c>
      <c r="E397" s="5" t="s">
        <v>17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184</v>
      </c>
      <c r="C398" s="6" t="str">
        <f aca="false">HYPERLINK("https://partner.tcgplayer.com/c/6278691/1780961/21018?u=https%3A%2F%2Fwww.tcgplayer.com%2Fproduct%2F642617%3Futm_source%3Dimpact%26utm_medium%3Daffiliate%26utm_campaign%3Dpoke%2Bcottage","Kyurem ex")</f>
        <v>Kyurem ex</v>
      </c>
      <c r="D398" s="5" t="s">
        <v>183</v>
      </c>
      <c r="E398" s="5" t="s">
        <v>17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185</v>
      </c>
      <c r="C399" s="6" t="str">
        <f aca="false">HYPERLINK("https://partner.tcgplayer.com/c/6278691/1780961/21018?u=https%3A%2F%2Fwww.tcgplayer.com%2Fproduct%2F642618%3Futm_source%3Dimpact%26utm_medium%3Daffiliate%26utm_campaign%3Dpoke%2Bcottage","Zekrom ex")</f>
        <v>Zekrom ex</v>
      </c>
      <c r="D399" s="5" t="s">
        <v>183</v>
      </c>
      <c r="E399" s="5" t="s">
        <v>17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186</v>
      </c>
      <c r="C400" s="6" t="str">
        <f aca="false">HYPERLINK("https://partner.tcgplayer.com/c/6278691/1780961/21018?u=https%3A%2F%2Fwww.tcgplayer.com%2Fproduct%2F642619%3Futm_source%3Dimpact%26utm_medium%3Daffiliate%26utm_campaign%3Dpoke%2Bcottage","Meloetta ex")</f>
        <v>Meloetta ex</v>
      </c>
      <c r="D400" s="5" t="s">
        <v>183</v>
      </c>
      <c r="E400" s="5" t="s">
        <v>17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187</v>
      </c>
      <c r="C401" s="6" t="str">
        <f aca="false">HYPERLINK("https://partner.tcgplayer.com/c/6278691/1780961/21018?u=https%3A%2F%2Fwww.tcgplayer.com%2Fproduct%2F642620%3Futm_source%3Dimpact%26utm_medium%3Daffiliate%26utm_campaign%3Dpoke%2Bcottage","Excadrill ex")</f>
        <v>Excadrill ex</v>
      </c>
      <c r="D401" s="5" t="s">
        <v>183</v>
      </c>
      <c r="E401" s="5" t="s">
        <v>17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188</v>
      </c>
      <c r="C402" s="6" t="str">
        <f aca="false">HYPERLINK("https://partner.tcgplayer.com/c/6278691/1780961/21018?u=https%3A%2F%2Fwww.tcgplayer.com%2Fproduct%2F642621%3Futm_source%3Dimpact%26utm_medium%3Daffiliate%26utm_campaign%3Dpoke%2Bcottage","Genesect ex")</f>
        <v>Genesect ex</v>
      </c>
      <c r="D402" s="5" t="s">
        <v>183</v>
      </c>
      <c r="E402" s="5" t="s">
        <v>17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189</v>
      </c>
      <c r="C403" s="6" t="str">
        <f aca="false">HYPERLINK("https://partner.tcgplayer.com/c/6278691/1780961/21018?u=https%3A%2F%2Fwww.tcgplayer.com%2Fproduct%2F642622%3Futm_source%3Dimpact%26utm_medium%3Daffiliate%26utm_campaign%3Dpoke%2Bcottage","N's Plan")</f>
        <v>N's Plan</v>
      </c>
      <c r="D403" s="5" t="s">
        <v>183</v>
      </c>
      <c r="E403" s="5" t="s">
        <v>17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190</v>
      </c>
      <c r="C404" s="6" t="str">
        <f aca="false">HYPERLINK("https://partner.tcgplayer.com/c/6278691/1780961/21018?u=https%3A%2F%2Fwww.tcgplayer.com%2Fproduct%2F642546%3Futm_source%3Dimpact%26utm_medium%3Daffiliate%26utm_campaign%3Dpoke%2Bcottage","Victini")</f>
        <v>Victini</v>
      </c>
      <c r="D404" s="5" t="s">
        <v>191</v>
      </c>
      <c r="E404" s="5" t="s">
        <v>17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192</v>
      </c>
      <c r="C405" s="6" t="str">
        <f aca="false">HYPERLINK("https://partner.tcgplayer.com/c/6278691/1780961/21018?u=https%3A%2F%2Fwww.tcgplayer.com%2Fproduct%2F642623%3Futm_source%3Dimpact%26utm_medium%3Daffiliate%26utm_campaign%3Dpoke%2Bcottage","Zekrom ex")</f>
        <v>Zekrom ex</v>
      </c>
      <c r="D405" s="5" t="s">
        <v>191</v>
      </c>
      <c r="E405" s="5" t="s">
        <v>17</v>
      </c>
      <c r="F405" s="5"/>
      <c r="G405" s="5"/>
      <c r="H405" s="7"/>
    </row>
    <row r="406" customFormat="false" ht="32" hidden="false" customHeight="true" outlineLevel="0" collapsed="false">
      <c r="A406" s="1" t="s">
        <v>193</v>
      </c>
      <c r="B406" s="1"/>
      <c r="C406" s="1"/>
      <c r="D406" s="1"/>
      <c r="E406" s="1"/>
      <c r="F406" s="1"/>
      <c r="G406" s="1"/>
      <c r="H406" s="1"/>
    </row>
    <row r="407" customFormat="false" ht="30" hidden="false" customHeight="true" outlineLevel="0" collapsed="false">
      <c r="A407" s="4" t="s">
        <v>6</v>
      </c>
      <c r="B407" s="5" t="s">
        <v>194</v>
      </c>
      <c r="C407" s="6" t="str">
        <f aca="false">HYPERLINK("https://partner.tcgplayer.com/c/6278691/1780961/21018?u=https%3A%2F%2Fwww.tcgplayer.com%2Fproduct%2F646169%3Futm_source%3Dimpact%26utm_medium%3Daffiliate%26utm_campaign%3Dpoke%2Bcottage","Victini")</f>
        <v>Victini</v>
      </c>
      <c r="D407" s="5" t="s">
        <v>195</v>
      </c>
      <c r="E407" s="5"/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196</v>
      </c>
      <c r="C408" s="6" t="str">
        <f aca="false">HYPERLINK("https://partner.tcgplayer.com/c/6278691/1780961/21018?u=https%3A%2F%2Fwww.tcgplayer.com%2Fproduct%2F644833%3Futm_source%3Dimpact%26utm_medium%3Daffiliate%26utm_campaign%3Dpoke%2Bcottage","Thundurus")</f>
        <v>Thundurus</v>
      </c>
      <c r="D408" s="5" t="s">
        <v>197</v>
      </c>
      <c r="E408" s="5"/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196</v>
      </c>
      <c r="C409" s="6" t="str">
        <f aca="false">HYPERLINK("https://partner.tcgplayer.com/c/6278691/1780961/21018?u=https%3A%2F%2Fwww.tcgplayer.com%2Fproduct%2F644834%3Futm_source%3Dimpact%26utm_medium%3Daffiliate%26utm_campaign%3Dpoke%2Bcottage","Thundurus")</f>
        <v>Thundurus</v>
      </c>
      <c r="D409" s="5" t="s">
        <v>198</v>
      </c>
      <c r="E409" s="5"/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199</v>
      </c>
      <c r="C410" s="6" t="str">
        <f aca="false">HYPERLINK("https://partner.tcgplayer.com/c/6278691/1780961/21018?u=https%3A%2F%2Fwww.tcgplayer.com%2Fproduct%2F647309%3Futm_source%3Dimpact%26utm_medium%3Daffiliate%26utm_campaign%3Dpoke%2Bcottage","Reuniclus")</f>
        <v>Reuniclus</v>
      </c>
      <c r="D410" s="5" t="s">
        <v>200</v>
      </c>
      <c r="E410" s="5"/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7</v>
      </c>
      <c r="C411" s="6" t="str">
        <f aca="false">HYPERLINK("https://partner.tcgplayer.com/c/6278691/1780961/21018?u=https%3A%2F%2Fwww.tcgplayer.com%2Fproduct%2F645571%3Futm_source%3Dimpact%26utm_medium%3Daffiliate%26utm_campaign%3Dpoke%2Bcottage","Snivy")</f>
        <v>Snivy</v>
      </c>
      <c r="D411" s="5" t="s">
        <v>201</v>
      </c>
      <c r="E411" s="5"/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27</v>
      </c>
      <c r="C412" s="6" t="str">
        <f aca="false">HYPERLINK("https://partner.tcgplayer.com/c/6278691/1780961/21018?u=https%3A%2F%2Fwww.tcgplayer.com%2Fproduct%2F668956%3Futm_source%3Dimpact%26utm_medium%3Daffiliate%26utm_campaign%3Dpoke%2Bcottage","Victini")</f>
        <v>Victini</v>
      </c>
      <c r="D412" s="5" t="s">
        <v>202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44</v>
      </c>
      <c r="C413" s="6" t="str">
        <f aca="false">HYPERLINK("https://partner.tcgplayer.com/c/6278691/1780961/21018?u=https%3A%2F%2Fwww.tcgplayer.com%2Fproduct%2F671619%3Futm_source%3Dimpact%26utm_medium%3Daffiliate%26utm_campaign%3Dpoke%2Bcottage","Kyurem ex")</f>
        <v>Kyurem ex</v>
      </c>
      <c r="D413" s="5" t="s">
        <v>203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46</v>
      </c>
      <c r="C414" s="6" t="str">
        <f aca="false">HYPERLINK("https://partner.tcgplayer.com/c/6278691/1780961/21018?u=https%3A%2F%2Fwww.tcgplayer.com%2Fproduct%2F704465%3Futm_source%3Dimpact%26utm_medium%3Daffiliate%26utm_campaign%3Dpoke%2Bcottage","Tynamo")</f>
        <v>Tynamo</v>
      </c>
      <c r="D414" s="5" t="s">
        <v>204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47</v>
      </c>
      <c r="C415" s="5" t="s">
        <v>205</v>
      </c>
      <c r="D415" s="5" t="s">
        <v>206</v>
      </c>
      <c r="E415" s="5"/>
      <c r="F415" s="5" t="str">
        <f aca="false">HYPERLINK("https://www.ebay.com/sch/i.html?_nkw=Eelektrik+Pokemon+TCG+Gym+Black+Bolt+31+pokemon+card&amp;_sacat=0&amp;_from=R40&amp;_trksid=p4624852.m570.l1313&amp;mkcid=1&amp;mkrid=711-53200-19255-0&amp;siteid=0&amp;campid=5339158445&amp;customid=pokecottage&amp;toolid=10001&amp;mkevt=1","FIND ON EBAY")</f>
        <v>FIND ON EBAY</v>
      </c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47</v>
      </c>
      <c r="C416" s="6" t="str">
        <f aca="false">HYPERLINK("https://partner.tcgplayer.com/c/6278691/1780961/21018?u=https%3A%2F%2Fwww.tcgplayer.com%2Fproduct%2F671320%3Futm_source%3Dimpact%26utm_medium%3Daffiliate%26utm_campaign%3Dpoke%2Bcottage","Eelektrik")</f>
        <v>Eelektrik</v>
      </c>
      <c r="D416" s="5" t="s">
        <v>203</v>
      </c>
      <c r="E416" s="5"/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50</v>
      </c>
      <c r="C417" s="6" t="str">
        <f aca="false">HYPERLINK("https://partner.tcgplayer.com/c/6278691/1780961/21018?u=https%3A%2F%2Fwww.tcgplayer.com%2Fproduct%2F704471%3Futm_source%3Dimpact%26utm_medium%3Daffiliate%26utm_campaign%3Dpoke%2Bcottage","Zekrom ex")</f>
        <v>Zekrom ex</v>
      </c>
      <c r="D417" s="5" t="s">
        <v>204</v>
      </c>
      <c r="E417" s="5"/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50</v>
      </c>
      <c r="C418" s="6" t="str">
        <f aca="false">HYPERLINK("https://partner.tcgplayer.com/c/6278691/1780961/21018?u=https%3A%2F%2Fwww.tcgplayer.com%2Fproduct%2F671743%3Futm_source%3Dimpact%26utm_medium%3Daffiliate%26utm_campaign%3Dpoke%2Bcottage","Zekrom ex")</f>
        <v>Zekrom ex</v>
      </c>
      <c r="D418" s="5" t="s">
        <v>203</v>
      </c>
      <c r="E418" s="5"/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50</v>
      </c>
      <c r="C419" s="5" t="s">
        <v>207</v>
      </c>
      <c r="D419" s="5" t="s">
        <v>208</v>
      </c>
      <c r="E419" s="5"/>
      <c r="F419" s="5" t="str">
        <f aca="false">HYPERLINK("https://www.ebay.com/sch/i.html?_nkw=Zekrom+ex+Ultra+Ball+League+Black+Bolt+034%2F086+pokemon+card&amp;_sacat=0&amp;_from=R40&amp;_trksid=p4624852.m570.l1313&amp;mkcid=1&amp;mkrid=711-53200-19255-0&amp;siteid=0&amp;campid=5339158445&amp;customid=pokecottage&amp;toolid=10001&amp;mkevt=1","FIND ON EBAY")</f>
        <v>FIND ON EBAY</v>
      </c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50</v>
      </c>
      <c r="C420" s="6" t="str">
        <f aca="false">HYPERLINK("https://partner.tcgplayer.com/c/6278691/1780961/21018?u=https%3A%2F%2Fwww.tcgplayer.com%2Fproduct%2F668957%3Futm_source%3Dimpact%26utm_medium%3Daffiliate%26utm_campaign%3Dpoke%2Bcottage","Zekrom ex")</f>
        <v>Zekrom ex</v>
      </c>
      <c r="D420" s="5" t="s">
        <v>202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65</v>
      </c>
      <c r="C421" s="6" t="str">
        <f aca="false">HYPERLINK("https://partner.tcgplayer.com/c/6278691/1780961/21018?u=https%3A%2F%2Fwww.tcgplayer.com%2Fproduct%2F671308%3Futm_source%3Dimpact%26utm_medium%3Daffiliate%26utm_campaign%3Dpoke%2Bcottage","Conkeldurr")</f>
        <v>Conkeldurr</v>
      </c>
      <c r="D421" s="5" t="s">
        <v>203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83</v>
      </c>
      <c r="C422" s="5" t="s">
        <v>209</v>
      </c>
      <c r="D422" s="5" t="s">
        <v>206</v>
      </c>
      <c r="E422" s="5"/>
      <c r="F422" s="5" t="str">
        <f aca="false">HYPERLINK("https://www.ebay.com/sch/i.html?_nkw=Genesect+ex+Pokemon+TCG+Gym+Black+Bolt+67+pokemon+card&amp;_sacat=0&amp;_from=R40&amp;_trksid=p4624852.m570.l1313&amp;mkcid=1&amp;mkrid=711-53200-19255-0&amp;siteid=0&amp;campid=5339158445&amp;customid=pokecottage&amp;toolid=10001&amp;mkevt=1","FIND ON EBAY")</f>
        <v>FIND ON EBAY</v>
      </c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83</v>
      </c>
      <c r="C423" s="5" t="s">
        <v>209</v>
      </c>
      <c r="D423" s="5" t="s">
        <v>210</v>
      </c>
      <c r="E423" s="5"/>
      <c r="F423" s="5" t="str">
        <f aca="false">HYPERLINK("https://www.ebay.com/sch/i.html?_nkw=Genesect+ex+World+Championships+Deck+2025+Joltdengo+by+Liao+Fu+Guan+Black+Bolt+67+pokemon+card&amp;_sacat=0&amp;_from=R40&amp;_trksid=p4624852.m570.l1313&amp;mkcid=1&amp;mkrid=711-53200-19255-0&amp;siteid=0&amp;campid=5339158445&amp;customid=pokecottage&amp;toolid=10001&amp;mkevt=1","FIND ON EBAY")</f>
        <v>FIND ON EBAY</v>
      </c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83</v>
      </c>
      <c r="C424" s="6" t="str">
        <f aca="false">HYPERLINK("https://partner.tcgplayer.com/c/6278691/1780961/21018?u=https%3A%2F%2Fwww.tcgplayer.com%2Fproduct%2F671556%3Futm_source%3Dimpact%26utm_medium%3Daffiliate%26utm_campaign%3Dpoke%2Bcottage","Genesect ex")</f>
        <v>Genesect ex</v>
      </c>
      <c r="D424" s="5" t="s">
        <v>203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95</v>
      </c>
      <c r="C425" s="5" t="s">
        <v>211</v>
      </c>
      <c r="D425" s="5" t="s">
        <v>206</v>
      </c>
      <c r="E425" s="5"/>
      <c r="F425" s="5" t="str">
        <f aca="false">HYPERLINK("https://www.ebay.com/sch/i.html?_nkw=Air+Balloon+Pokemon+TCG+Gym+Black+Bolt+79+pokemon+card&amp;_sacat=0&amp;_from=R40&amp;_trksid=p4624852.m570.l1313&amp;mkcid=1&amp;mkrid=711-53200-19255-0&amp;siteid=0&amp;campid=5339158445&amp;customid=pokecottage&amp;toolid=10001&amp;mkevt=1","FIND ON EBAY")</f>
        <v>FIND ON EBAY</v>
      </c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95</v>
      </c>
      <c r="C426" s="5" t="s">
        <v>211</v>
      </c>
      <c r="D426" s="5" t="s">
        <v>210</v>
      </c>
      <c r="E426" s="5"/>
      <c r="F426" s="5" t="str">
        <f aca="false">HYPERLINK("https://www.ebay.com/sch/i.html?_nkw=Air+Balloon+World+Championships+Deck+2025+Joltdengo+by+Liao+Fu+Guan+Black+Bolt+79+pokemon+card&amp;_sacat=0&amp;_from=R40&amp;_trksid=p4624852.m570.l1313&amp;mkcid=1&amp;mkrid=711-53200-19255-0&amp;siteid=0&amp;campid=5339158445&amp;customid=pokecottage&amp;toolid=10001&amp;mkevt=1","FIND ON EBAY")</f>
        <v>FIND ON EBAY</v>
      </c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95</v>
      </c>
      <c r="C427" s="5" t="s">
        <v>211</v>
      </c>
      <c r="D427" s="5" t="s">
        <v>212</v>
      </c>
      <c r="E427" s="5"/>
      <c r="F427" s="5" t="str">
        <f aca="false">HYPERLINK("https://www.ebay.com/sch/i.html?_nkw=Air+Balloon+World+Championships+Deck+2025+Pult+Bomb+by+Jose+Cruz+Galindo-Resendiz+Black+Bolt+79+pokemon+card&amp;_sacat=0&amp;_from=R40&amp;_trksid=p4624852.m570.l1313&amp;mkcid=1&amp;mkrid=711-53200-19255-0&amp;siteid=0&amp;campid=5339158445&amp;customid=pokecottage&amp;toolid=10001&amp;mkevt=1","FIND ON EBAY")</f>
        <v>FIND ON EBAY</v>
      </c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95</v>
      </c>
      <c r="C428" s="5" t="s">
        <v>211</v>
      </c>
      <c r="D428" s="5" t="s">
        <v>213</v>
      </c>
      <c r="E428" s="5"/>
      <c r="F428" s="5" t="str">
        <f aca="false">HYPERLINK("https://www.ebay.com/sch/i.html?_nkw=Air+Balloon+Great+Ball+League+Black+Bolt+079%2F086+pokemon+card&amp;_sacat=0&amp;_from=R40&amp;_trksid=p4624852.m570.l1313&amp;mkcid=1&amp;mkrid=711-53200-19255-0&amp;siteid=0&amp;campid=5339158445&amp;customid=pokecottage&amp;toolid=10001&amp;mkevt=1","FIND ON EBAY")</f>
        <v>FIND ON EBAY</v>
      </c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95</v>
      </c>
      <c r="C429" s="6" t="str">
        <f aca="false">HYPERLINK("https://partner.tcgplayer.com/c/6278691/1780961/21018?u=https%3A%2F%2Fwww.tcgplayer.com%2Fproduct%2F675552%3Futm_source%3Dimpact%26utm_medium%3Daffiliate%26utm_campaign%3Dpoke%2Bcottage","Air Balloon")</f>
        <v>Air Balloon</v>
      </c>
      <c r="D429" s="5" t="s">
        <v>203</v>
      </c>
      <c r="E429" s="5"/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101</v>
      </c>
      <c r="C430" s="5" t="s">
        <v>214</v>
      </c>
      <c r="D430" s="5" t="s">
        <v>215</v>
      </c>
      <c r="E430" s="5"/>
      <c r="F430" s="5" t="str">
        <f aca="false">HYPERLINK("https://www.ebay.com/sch/i.html?_nkw=Professor+s+Research+Professor+Juniper+World+Championships+Deck+2025+Flutter+Devo+Gardevoir+by+Riley+McKay+Black+Bolt+85+pokemon+card&amp;_sacat=0&amp;_from=R40&amp;_trksid=p4624852.m570.l1313&amp;mkcid=1&amp;mkrid=711-53200-19255-0&amp;siteid=0&amp;campid=5339158445&amp;customid=pokecottage&amp;toolid=10001&amp;mkevt=1","FIND ON EBAY")</f>
        <v>FIND ON EBAY</v>
      </c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101</v>
      </c>
      <c r="C431" s="5" t="s">
        <v>214</v>
      </c>
      <c r="D431" s="5" t="s">
        <v>212</v>
      </c>
      <c r="E431" s="5"/>
      <c r="F431" s="5" t="str">
        <f aca="false">HYPERLINK("https://www.ebay.com/sch/i.html?_nkw=Professor+s+Research+Professor+Juniper+World+Championships+Deck+2025+Pult+Bomb+by+Jose+Cruz+Galindo-Resendiz+Black+Bolt+85+pokemon+card&amp;_sacat=0&amp;_from=R40&amp;_trksid=p4624852.m570.l1313&amp;mkcid=1&amp;mkrid=711-53200-19255-0&amp;siteid=0&amp;campid=5339158445&amp;customid=pokecottage&amp;toolid=10001&amp;mkevt=1","FIND ON EBAY")</f>
        <v>FIND ON EBAY</v>
      </c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101</v>
      </c>
      <c r="C432" s="5" t="s">
        <v>214</v>
      </c>
      <c r="D432" s="5" t="s">
        <v>216</v>
      </c>
      <c r="E432" s="5"/>
      <c r="F432" s="5" t="str">
        <f aca="false">HYPERLINK("https://www.ebay.com/sch/i.html?_nkw=Professor+s+Research+Professor+Juniper+Professor+Program+Stamp+Black+Bolt+085%2F086+pokemon+card&amp;_sacat=0&amp;_from=R40&amp;_trksid=p4624852.m570.l1313&amp;mkcid=1&amp;mkrid=711-53200-19255-0&amp;siteid=0&amp;campid=5339158445&amp;customid=pokecottage&amp;toolid=10001&amp;mkevt=1","FIND ON EBAY")</f>
        <v>FIND ON EBAY</v>
      </c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217</v>
      </c>
      <c r="C433" s="6" t="str">
        <f aca="false">HYPERLINK("https://partner.tcgplayer.com/c/6278691/1780961/21018?u=https%3A%2F%2Fwww.tcgplayer.com%2Fproduct%2F645286%3Futm_source%3Dimpact%26utm_medium%3Daffiliate%26utm_campaign%3Dpoke%2Bcottage","Basic Grass Energy")</f>
        <v>Basic Grass Energy</v>
      </c>
      <c r="D433" s="5" t="s">
        <v>218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219</v>
      </c>
      <c r="C434" s="6" t="str">
        <f aca="false">HYPERLINK("https://partner.tcgplayer.com/c/6278691/1780961/21018?u=https%3A%2F%2Fwww.tcgplayer.com%2Fproduct%2F645287%3Futm_source%3Dimpact%26utm_medium%3Daffiliate%26utm_campaign%3Dpoke%2Bcottage","Basic Fire Energy")</f>
        <v>Basic Fire Energy</v>
      </c>
      <c r="D434" s="5" t="s">
        <v>218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220</v>
      </c>
      <c r="C435" s="6" t="str">
        <f aca="false">HYPERLINK("https://partner.tcgplayer.com/c/6278691/1780961/21018?u=https%3A%2F%2Fwww.tcgplayer.com%2Fproduct%2F645288%3Futm_source%3Dimpact%26utm_medium%3Daffiliate%26utm_campaign%3Dpoke%2Bcottage","Basic Water Energy")</f>
        <v>Basic Water Energy</v>
      </c>
      <c r="D435" s="5" t="s">
        <v>218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221</v>
      </c>
      <c r="C436" s="6" t="str">
        <f aca="false">HYPERLINK("https://partner.tcgplayer.com/c/6278691/1780961/21018?u=https%3A%2F%2Fwww.tcgplayer.com%2Fproduct%2F645289%3Futm_source%3Dimpact%26utm_medium%3Daffiliate%26utm_campaign%3Dpoke%2Bcottage","Basic Lightning Energy")</f>
        <v>Basic Lightning Energy</v>
      </c>
      <c r="D436" s="5" t="s">
        <v>218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222</v>
      </c>
      <c r="C437" s="6" t="str">
        <f aca="false">HYPERLINK("https://partner.tcgplayer.com/c/6278691/1780961/21018?u=https%3A%2F%2Fwww.tcgplayer.com%2Fproduct%2F645301%3Futm_source%3Dimpact%26utm_medium%3Daffiliate%26utm_campaign%3Dpoke%2Bcottage","Basic Psychic Energy")</f>
        <v>Basic Psychic Energy</v>
      </c>
      <c r="D437" s="5" t="s">
        <v>218</v>
      </c>
      <c r="E437" s="5"/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223</v>
      </c>
      <c r="C438" s="6" t="str">
        <f aca="false">HYPERLINK("https://partner.tcgplayer.com/c/6278691/1780961/21018?u=https%3A%2F%2Fwww.tcgplayer.com%2Fproduct%2F645302%3Futm_source%3Dimpact%26utm_medium%3Daffiliate%26utm_campaign%3Dpoke%2Bcottage","Basic Fighting Energy")</f>
        <v>Basic Fighting Energy</v>
      </c>
      <c r="D438" s="5" t="s">
        <v>218</v>
      </c>
      <c r="E438" s="5"/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224</v>
      </c>
      <c r="C439" s="6" t="str">
        <f aca="false">HYPERLINK("https://partner.tcgplayer.com/c/6278691/1780961/21018?u=https%3A%2F%2Fwww.tcgplayer.com%2Fproduct%2F645303%3Futm_source%3Dimpact%26utm_medium%3Daffiliate%26utm_campaign%3Dpoke%2Bcottage","Basic Darkness Energy")</f>
        <v>Basic Darkness Energy</v>
      </c>
      <c r="D439" s="5" t="s">
        <v>218</v>
      </c>
      <c r="E439" s="5"/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225</v>
      </c>
      <c r="C440" s="6" t="str">
        <f aca="false">HYPERLINK("https://partner.tcgplayer.com/c/6278691/1780961/21018?u=https%3A%2F%2Fwww.tcgplayer.com%2Fproduct%2F645304%3Futm_source%3Dimpact%26utm_medium%3Daffiliate%26utm_campaign%3Dpoke%2Bcottage","Basic Metal Energy")</f>
        <v>Basic Metal Energy</v>
      </c>
      <c r="D440" s="5" t="s">
        <v>218</v>
      </c>
      <c r="E440" s="5"/>
      <c r="F440" s="5"/>
      <c r="G440" s="5"/>
      <c r="H440" s="7"/>
    </row>
    <row r="442" customFormat="false" ht="24" hidden="false" customHeight="true" outlineLevel="0" collapsed="false">
      <c r="A442" s="8" t="s">
        <v>226</v>
      </c>
      <c r="B442" s="8"/>
      <c r="C442" s="8"/>
      <c r="D442" s="8"/>
      <c r="E442" s="8"/>
      <c r="F442" s="8"/>
      <c r="G442" s="8"/>
      <c r="H442" s="8"/>
    </row>
    <row r="443" customFormat="false" ht="24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</row>
  </sheetData>
  <mergeCells count="2">
    <mergeCell ref="A406:H406"/>
    <mergeCell ref="A442:H443"/>
  </mergeCells>
  <dataValidations count="1">
    <dataValidation allowBlank="false" errorStyle="stop" operator="between" showDropDown="false" showErrorMessage="false" showInputMessage="false" sqref="A2:A440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227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HYPERLINK("https://pokecottage.com/black-bolt-master-set-guide","Download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228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229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230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228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229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