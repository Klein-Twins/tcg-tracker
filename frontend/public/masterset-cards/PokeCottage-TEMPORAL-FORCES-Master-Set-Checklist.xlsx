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mporal Forces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<sst xmlns="http://schemas.openxmlformats.org/spreadsheetml/2006/main" count="1829" uniqueCount="303">
  <si>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</si>
  <si>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</si>
  <si>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</si>
  <si>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</si>
  <si>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</si>
  <si>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</si>
  <si>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</si>
  <si>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001/162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</si>
  <si>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</si>
  <si>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</si>
  <si>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</si>
  <si>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</si>
  <si>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002/162</t>
  </si>
  <si>
    <t xml:space="preserve">003/162</t>
  </si>
  <si>
    <t xml:space="preserve">004/162</t>
  </si>
  <si>
    <t xml:space="preserve">005/162</t>
  </si>
  <si>
    <t xml:space="preserve">Uncommon</t>
  </si>
  <si>
    <t xml:space="preserve">006/162</t>
  </si>
  <si>
    <t xml:space="preserve">007/162</t>
  </si>
  <si>
    <t xml:space="preserve">008/162</t>
  </si>
  <si>
    <t xml:space="preserve">009/162</t>
  </si>
  <si>
    <t xml:space="preserve">010/162</t>
  </si>
  <si>
    <t xml:space="preserve">011/162</t>
  </si>
  <si>
    <t xml:space="preserve">012/162</t>
  </si>
  <si>
    <t xml:space="preserve">Double Rare</t>
  </si>
  <si>
    <t xml:space="preserve">Holo</t>
  </si>
  <si>
    <t xml:space="preserve">013/162</t>
  </si>
  <si>
    <t xml:space="preserve">014/162</t>
  </si>
  <si>
    <t xml:space="preserve">015/162</t>
  </si>
  <si>
    <t xml:space="preserve">Rare</t>
  </si>
  <si>
    <t xml:space="preserve">016/162</t>
  </si>
  <si>
    <t xml:space="preserve">017/162</t>
  </si>
  <si>
    <t xml:space="preserve">018/162</t>
  </si>
  <si>
    <t xml:space="preserve">019/162</t>
  </si>
  <si>
    <t xml:space="preserve">020/162</t>
  </si>
  <si>
    <t xml:space="preserve">021/162</t>
  </si>
  <si>
    <t xml:space="preserve">022/162</t>
  </si>
  <si>
    <t xml:space="preserve">023/162</t>
  </si>
  <si>
    <t xml:space="preserve">024/162</t>
  </si>
  <si>
    <t xml:space="preserve">025/162</t>
  </si>
  <si>
    <t xml:space="preserve">026/162</t>
  </si>
  <si>
    <t xml:space="preserve">027/162</t>
  </si>
  <si>
    <t xml:space="preserve">028/162</t>
  </si>
  <si>
    <t xml:space="preserve">029/162</t>
  </si>
  <si>
    <t xml:space="preserve">030/162</t>
  </si>
  <si>
    <t xml:space="preserve">031/162</t>
  </si>
  <si>
    <t xml:space="preserve">032/162</t>
  </si>
  <si>
    <t xml:space="preserve">033/162</t>
  </si>
  <si>
    <t xml:space="preserve">034/162</t>
  </si>
  <si>
    <t xml:space="preserve">035/162</t>
  </si>
  <si>
    <t xml:space="preserve">036/162</t>
  </si>
  <si>
    <t xml:space="preserve">037/162</t>
  </si>
  <si>
    <t xml:space="preserve">038/162</t>
  </si>
  <si>
    <t xml:space="preserve">039/162</t>
  </si>
  <si>
    <t xml:space="preserve">040/162</t>
  </si>
  <si>
    <t xml:space="preserve">041/162</t>
  </si>
  <si>
    <t xml:space="preserve">042/162</t>
  </si>
  <si>
    <t xml:space="preserve">043/162</t>
  </si>
  <si>
    <t xml:space="preserve">044/162</t>
  </si>
  <si>
    <t xml:space="preserve">045/162</t>
  </si>
  <si>
    <t xml:space="preserve">046/162</t>
  </si>
  <si>
    <t xml:space="preserve">047/162</t>
  </si>
  <si>
    <t xml:space="preserve">048/162</t>
  </si>
  <si>
    <t xml:space="preserve">049/162</t>
  </si>
  <si>
    <t xml:space="preserve">050/162</t>
  </si>
  <si>
    <t xml:space="preserve">051/162</t>
  </si>
  <si>
    <t xml:space="preserve">052/162</t>
  </si>
  <si>
    <t xml:space="preserve">053/162</t>
  </si>
  <si>
    <t xml:space="preserve">054/162</t>
  </si>
  <si>
    <t xml:space="preserve">055/162</t>
  </si>
  <si>
    <t xml:space="preserve">056/162</t>
  </si>
  <si>
    <t xml:space="preserve">057/162</t>
  </si>
  <si>
    <t xml:space="preserve">058/162</t>
  </si>
  <si>
    <t xml:space="preserve">059/162</t>
  </si>
  <si>
    <t xml:space="preserve">060/162</t>
  </si>
  <si>
    <t xml:space="preserve">061/162</t>
  </si>
  <si>
    <t xml:space="preserve">062/162</t>
  </si>
  <si>
    <t xml:space="preserve">063/162</t>
  </si>
  <si>
    <t xml:space="preserve">064/162</t>
  </si>
  <si>
    <t xml:space="preserve">065/162</t>
  </si>
  <si>
    <t xml:space="preserve">066/162</t>
  </si>
  <si>
    <t xml:space="preserve">067/162</t>
  </si>
  <si>
    <t xml:space="preserve">068/162</t>
  </si>
  <si>
    <t xml:space="preserve">069/162</t>
  </si>
  <si>
    <t xml:space="preserve">070/162</t>
  </si>
  <si>
    <t xml:space="preserve">071/162</t>
  </si>
  <si>
    <t xml:space="preserve">072/162</t>
  </si>
  <si>
    <t xml:space="preserve">073/162</t>
  </si>
  <si>
    <t xml:space="preserve">074/162</t>
  </si>
  <si>
    <t xml:space="preserve">075/162</t>
  </si>
  <si>
    <t xml:space="preserve">076/162</t>
  </si>
  <si>
    <t xml:space="preserve">077/162</t>
  </si>
  <si>
    <t xml:space="preserve">078/162</t>
  </si>
  <si>
    <t xml:space="preserve">079/162</t>
  </si>
  <si>
    <t xml:space="preserve">080/162</t>
  </si>
  <si>
    <t xml:space="preserve">081/162</t>
  </si>
  <si>
    <t xml:space="preserve">082/162</t>
  </si>
  <si>
    <t xml:space="preserve">083/162</t>
  </si>
  <si>
    <t xml:space="preserve">084/162</t>
  </si>
  <si>
    <t xml:space="preserve">085/162</t>
  </si>
  <si>
    <t xml:space="preserve">086/162</t>
  </si>
  <si>
    <t xml:space="preserve">087/162</t>
  </si>
  <si>
    <t xml:space="preserve">088/162</t>
  </si>
  <si>
    <t xml:space="preserve">089/162</t>
  </si>
  <si>
    <t xml:space="preserve">090/162</t>
  </si>
  <si>
    <t xml:space="preserve">091/162</t>
  </si>
  <si>
    <t xml:space="preserve">092/162</t>
  </si>
  <si>
    <t xml:space="preserve">093/162</t>
  </si>
  <si>
    <t xml:space="preserve">094/162</t>
  </si>
  <si>
    <t xml:space="preserve">095/162</t>
  </si>
  <si>
    <t xml:space="preserve">096/162</t>
  </si>
  <si>
    <t xml:space="preserve">097/162</t>
  </si>
  <si>
    <t xml:space="preserve">098/162</t>
  </si>
  <si>
    <t xml:space="preserve">099/162</t>
  </si>
  <si>
    <t xml:space="preserve">100/162</t>
  </si>
  <si>
    <t xml:space="preserve">101/162</t>
  </si>
  <si>
    <t xml:space="preserve">102/162</t>
  </si>
  <si>
    <t xml:space="preserve">103/162</t>
  </si>
  <si>
    <t xml:space="preserve">104/162</t>
  </si>
  <si>
    <t xml:space="preserve">105/162</t>
  </si>
  <si>
    <t xml:space="preserve">106/162</t>
  </si>
  <si>
    <t xml:space="preserve">107/162</t>
  </si>
  <si>
    <t xml:space="preserve">108/162</t>
  </si>
  <si>
    <t xml:space="preserve">109/162</t>
  </si>
  <si>
    <t xml:space="preserve">110/162</t>
  </si>
  <si>
    <t xml:space="preserve">111/162</t>
  </si>
  <si>
    <t xml:space="preserve">112/162</t>
  </si>
  <si>
    <t xml:space="preserve">113/162</t>
  </si>
  <si>
    <t xml:space="preserve">114/162</t>
  </si>
  <si>
    <t xml:space="preserve">115/162</t>
  </si>
  <si>
    <t xml:space="preserve">116/162</t>
  </si>
  <si>
    <t xml:space="preserve">117/162</t>
  </si>
  <si>
    <t xml:space="preserve">118/162</t>
  </si>
  <si>
    <t xml:space="preserve">119/162</t>
  </si>
  <si>
    <t xml:space="preserve">120/162</t>
  </si>
  <si>
    <t xml:space="preserve">121/162</t>
  </si>
  <si>
    <t xml:space="preserve">122/162</t>
  </si>
  <si>
    <t xml:space="preserve">123/162</t>
  </si>
  <si>
    <t xml:space="preserve">124/162</t>
  </si>
  <si>
    <t xml:space="preserve">125/162</t>
  </si>
  <si>
    <t xml:space="preserve">126/162</t>
  </si>
  <si>
    <t xml:space="preserve">127/162</t>
  </si>
  <si>
    <t xml:space="preserve">128/162</t>
  </si>
  <si>
    <t xml:space="preserve">129/162</t>
  </si>
  <si>
    <t xml:space="preserve">130/162</t>
  </si>
  <si>
    <t xml:space="preserve">131/162</t>
  </si>
  <si>
    <t xml:space="preserve">132/162</t>
  </si>
  <si>
    <t xml:space="preserve">133/162</t>
  </si>
  <si>
    <t xml:space="preserve">134/162</t>
  </si>
  <si>
    <t xml:space="preserve">135/162</t>
  </si>
  <si>
    <t xml:space="preserve">136/162</t>
  </si>
  <si>
    <t xml:space="preserve">137/162</t>
  </si>
  <si>
    <t xml:space="preserve">138/162</t>
  </si>
  <si>
    <t xml:space="preserve">139/162</t>
  </si>
  <si>
    <t xml:space="preserve">140/162</t>
  </si>
  <si>
    <t xml:space="preserve">141/162</t>
  </si>
  <si>
    <t xml:space="preserve">ACE SPEC Rare</t>
  </si>
  <si>
    <t xml:space="preserve">142/162</t>
  </si>
  <si>
    <t xml:space="preserve">143/162</t>
  </si>
  <si>
    <t xml:space="preserve">144/162</t>
  </si>
  <si>
    <t xml:space="preserve">145/162</t>
  </si>
  <si>
    <t xml:space="preserve">146/162</t>
  </si>
  <si>
    <t xml:space="preserve">147/162</t>
  </si>
  <si>
    <t xml:space="preserve">148/162</t>
  </si>
  <si>
    <t xml:space="preserve">149/162</t>
  </si>
  <si>
    <t xml:space="preserve">150/162</t>
  </si>
  <si>
    <t xml:space="preserve">151/162</t>
  </si>
  <si>
    <t xml:space="preserve">152/162</t>
  </si>
  <si>
    <t xml:space="preserve">153/162</t>
  </si>
  <si>
    <t xml:space="preserve">154/162</t>
  </si>
  <si>
    <t xml:space="preserve">155/162</t>
  </si>
  <si>
    <t xml:space="preserve">156/162</t>
  </si>
  <si>
    <t xml:space="preserve">157/162</t>
  </si>
  <si>
    <t xml:space="preserve">158/162</t>
  </si>
  <si>
    <t xml:space="preserve">159/162</t>
  </si>
  <si>
    <t xml:space="preserve">160/162</t>
  </si>
  <si>
    <t xml:space="preserve">161/162</t>
  </si>
  <si>
    <t xml:space="preserve">162/162</t>
  </si>
  <si>
    <t xml:space="preserve">163/162</t>
  </si>
  <si>
    <t xml:space="preserve">Illustration Rare</t>
  </si>
  <si>
    <t xml:space="preserve">164/162</t>
  </si>
  <si>
    <t xml:space="preserve">165/162</t>
  </si>
  <si>
    <t xml:space="preserve">166/162</t>
  </si>
  <si>
    <t xml:space="preserve">167/162</t>
  </si>
  <si>
    <t xml:space="preserve">168/162</t>
  </si>
  <si>
    <t xml:space="preserve">169/162</t>
  </si>
  <si>
    <t xml:space="preserve">170/162</t>
  </si>
  <si>
    <t xml:space="preserve">171/162</t>
  </si>
  <si>
    <t xml:space="preserve">172/162</t>
  </si>
  <si>
    <t xml:space="preserve">173/162</t>
  </si>
  <si>
    <t xml:space="preserve">174/162</t>
  </si>
  <si>
    <t xml:space="preserve">175/162</t>
  </si>
  <si>
    <t xml:space="preserve">176/162</t>
  </si>
  <si>
    <t xml:space="preserve">177/162</t>
  </si>
  <si>
    <t xml:space="preserve">178/162</t>
  </si>
  <si>
    <t xml:space="preserve">179/162</t>
  </si>
  <si>
    <t xml:space="preserve">180/162</t>
  </si>
  <si>
    <t xml:space="preserve">181/162</t>
  </si>
  <si>
    <t xml:space="preserve">182/162</t>
  </si>
  <si>
    <t xml:space="preserve">183/162</t>
  </si>
  <si>
    <t xml:space="preserve">184/162</t>
  </si>
  <si>
    <t xml:space="preserve">185/162</t>
  </si>
  <si>
    <t xml:space="preserve">Ultra Rare</t>
  </si>
  <si>
    <t xml:space="preserve">186/162</t>
  </si>
  <si>
    <t xml:space="preserve">187/162</t>
  </si>
  <si>
    <t xml:space="preserve">188/162</t>
  </si>
  <si>
    <t xml:space="preserve">189/162</t>
  </si>
  <si>
    <t xml:space="preserve">190/162</t>
  </si>
  <si>
    <t xml:space="preserve">191/162</t>
  </si>
  <si>
    <t xml:space="preserve">192/162</t>
  </si>
  <si>
    <t xml:space="preserve">193/162</t>
  </si>
  <si>
    <t xml:space="preserve">194/162</t>
  </si>
  <si>
    <t xml:space="preserve">195/162</t>
  </si>
  <si>
    <t xml:space="preserve">196/162</t>
  </si>
  <si>
    <t xml:space="preserve">197/162</t>
  </si>
  <si>
    <t xml:space="preserve">198/162</t>
  </si>
  <si>
    <t xml:space="preserve">199/162</t>
  </si>
  <si>
    <t xml:space="preserve">200/162</t>
  </si>
  <si>
    <t xml:space="preserve">201/162</t>
  </si>
  <si>
    <t xml:space="preserve">202/162</t>
  </si>
  <si>
    <t xml:space="preserve">203/162</t>
  </si>
  <si>
    <t xml:space="preserve">Special Illustration Rare</t>
  </si>
  <si>
    <t xml:space="preserve">204/162</t>
  </si>
  <si>
    <t xml:space="preserve">205/162</t>
  </si>
  <si>
    <t xml:space="preserve">206/162</t>
  </si>
  <si>
    <t xml:space="preserve">207/162</t>
  </si>
  <si>
    <t xml:space="preserve">208/162</t>
  </si>
  <si>
    <t xml:space="preserve">209/162</t>
  </si>
  <si>
    <t xml:space="preserve">210/162</t>
  </si>
  <si>
    <t xml:space="preserve">211/162</t>
  </si>
  <si>
    <t xml:space="preserve">212/162</t>
  </si>
  <si>
    <t xml:space="preserve">213/162</t>
  </si>
  <si>
    <t xml:space="preserve">Hyper Rare</t>
  </si>
  <si>
    <t xml:space="preserve">214/162</t>
  </si>
  <si>
    <t xml:space="preserve">215/162</t>
  </si>
  <si>
    <t xml:space="preserve">216/162</t>
  </si>
  <si>
    <t xml:space="preserve">217/162</t>
  </si>
  <si>
    <t xml:space="preserve">218/162</t>
  </si>
  <si>
    <t xml:space="preserve">Promos &amp; Variants - Optional</t>
  </si>
  <si>
    <t xml:space="preserve">SVP 89</t>
  </si>
  <si>
    <t xml:space="preserve">Build &amp; Battle Deck Promo</t>
  </si>
  <si>
    <t xml:space="preserve">Staff Stamped</t>
  </si>
  <si>
    <t xml:space="preserve">SVP 90</t>
  </si>
  <si>
    <t xml:space="preserve">SVP 91</t>
  </si>
  <si>
    <t xml:space="preserve">SVP 92</t>
  </si>
  <si>
    <t xml:space="preserve">SVP 93</t>
  </si>
  <si>
    <t xml:space="preserve">Single Pack Blister</t>
  </si>
  <si>
    <t xml:space="preserve">SVP 94</t>
  </si>
  <si>
    <t xml:space="preserve">SVP 95</t>
  </si>
  <si>
    <t xml:space="preserve">3-Pack Blister</t>
  </si>
  <si>
    <t xml:space="preserve">SVP 96</t>
  </si>
  <si>
    <t xml:space="preserve">SVP 97</t>
  </si>
  <si>
    <t xml:space="preserve">Pokemon Center ETB Promo</t>
  </si>
  <si>
    <t xml:space="preserve">Walking Wake ETB Promo</t>
  </si>
  <si>
    <t xml:space="preserve">SVP 98</t>
  </si>
  <si>
    <t xml:space="preserve">Iron Leaves ETB Promo</t>
  </si>
  <si>
    <t xml:space="preserve">Play! Pokémon</t>
  </si>
  <si>
    <t xml:space="preserve">Play! Pokémon (Cosmos Holo)</t>
  </si>
  <si>
    <t xml:space="preserve">Jumbo</t>
  </si>
  <si>
    <t xml:space="preserve">Non-Holo</t>
  </si>
  <si>
    <t xml:space="preserve">Cosmos Holo</t>
  </si>
  <si>
    <t xml:space="preserve">Pokémon Day</t>
  </si>
  <si>
    <t xml:space="preserve">Trick or Trade 2024</t>
  </si>
  <si>
    <t xml:space="preserve">World Championships Deck 2024: Ancient Toolbox by Sakuya Ota</t>
  </si>
  <si>
    <t xml:space="preserve">World Championships Deck 2025: Flutter Devo Gardevoir by Riley McKay</t>
  </si>
  <si>
    <t xml:space="preserve">Iron Crown ex</t>
  </si>
  <si>
    <t xml:space="preserve">Jumbo (Expansion Stamp)</t>
  </si>
  <si>
    <t xml:space="preserve">Expansion Stamp</t>
  </si>
  <si>
    <t xml:space="preserve">World Championships Deck 2024: Ancient Toolbox by Sakuya Ota (Gold Signature)</t>
  </si>
  <si>
    <t xml:space="preserve">EB Games</t>
  </si>
  <si>
    <t xml:space="preserve">GameStop</t>
  </si>
  <si>
    <t xml:space="preserve">Miraidon</t>
  </si>
  <si>
    <t xml:space="preserve">Raging Bolt ex</t>
  </si>
  <si>
    <t xml:space="preserve">World Championships Deck 2025: JP Raging Bolt by Yuya Okita</t>
  </si>
  <si>
    <t xml:space="preserve">World Championships Deck 2025: JP Raging Bolt by Yuya Okita (Gold Signature)</t>
  </si>
  <si>
    <t xml:space="preserve">Build &amp; Battle Exclusive (Non-Holo)</t>
  </si>
  <si>
    <t xml:space="preserve">Professor Program</t>
  </si>
  <si>
    <t xml:space="preserve">Buddy-Buddy Poffin</t>
  </si>
  <si>
    <t xml:space="preserve">Master Ball League</t>
  </si>
  <si>
    <t xml:space="preserve">Master Ball League (Judge)</t>
  </si>
  <si>
    <t xml:space="preserve">Europe Championships</t>
  </si>
  <si>
    <t xml:space="preserve">Europe Championships (Staff)</t>
  </si>
  <si>
    <t xml:space="preserve">Europe Championships (Top 8)</t>
  </si>
  <si>
    <t xml:space="preserve">Europe Championships (Champion)</t>
  </si>
  <si>
    <t xml:space="preserve">North America Championships</t>
  </si>
  <si>
    <t xml:space="preserve">North America Championships (Staff)</t>
  </si>
  <si>
    <t xml:space="preserve">North America Championships (Top 8)</t>
  </si>
  <si>
    <t xml:space="preserve">North America Championships (Champion)</t>
  </si>
  <si>
    <t xml:space="preserve">Play! Pokémon (Mirror Holo)</t>
  </si>
  <si>
    <t xml:space="preserve">Pokémon TCG Gym</t>
  </si>
  <si>
    <t xml:space="preserve">World Championships Deck 2025: Joltdengo by Liao Fu Guan</t>
  </si>
  <si>
    <t xml:space="preserve">World Championships Deck 2025: Pult Bomb by Jose Cruz Galindo-Resendiz</t>
  </si>
  <si>
    <t xml:space="preserve">Regional Championships</t>
  </si>
  <si>
    <t xml:space="preserve">Regional Championships (Staff)</t>
  </si>
  <si>
    <t xml:space="preserve">World Championships Deck 2024: Crushing Thorn by Fernando Cifuentes</t>
  </si>
  <si>
    <t xml:space="preserve">World Championships Deck 2024: Regidrago VSTAR by Evan Pavelski</t>
  </si>
  <si>
    <t xml:space="preserve">World Championships Deck 2024: The 'Don by Jesse Parker</t>
  </si>
  <si>
    <t xml:space="preserve">Neo Upper Energy</t>
  </si>
  <si>
    <t xml:space="preserve">This checklist contains affiliate links for which I may be compensated.</t>
  </si>
  <si>
    <t xml:space="preserve">Want free Temporal Forces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</si>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</sst>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IFERROR((COUNTIF(A2:A359,"☑"))/((COUNTIF(A2:A359,"☑"))+(COUNTIF(A2:A359,"☐"))),0)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HYPERLINK("https://partner.tcgplayer.com/c/6278691/1780961/21018?u=https%3A%2F%2Fwww.tcgplayer.com%2Fproduct%2F542646%3Futm_source%3Dimpact%26utm_medium%3Daffiliate%26utm_campaign%3Dpoke%2Bcottage","Scyther")</f>
        <v>Scyther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IFERROR(COUNTIF(A2:A482,"☑")/(COUNTIF(A2:A482,"☑")+COUNTIF(A2:A482,"☐")),0)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HYPERLINK("https://partner.tcgplayer.com/c/6278691/1780961/21018?u=https%3A%2F%2Fwww.tcgplayer.com%2Fproduct%2F542646%3Futm_source%3Dimpact%26utm_medium%3Daffiliate%26utm_campaign%3Dpoke%2Bcottage","Scyther")</f>
        <v>Scyther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HYPERLINK("https://partner.tcgplayer.com/c/6278691/1780961/21018?u=https%3A%2F%2Fwww.tcgplayer.com%2Fproduct%2F542647%3Futm_source%3Dimpact%26utm_medium%3Daffiliate%26utm_campaign%3Dpoke%2Bcottage","Pineco")</f>
        <v>Pineco</v>
      </c>
      <c r="D4" s="5" t="s">
        <v>8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HYPERLINK("https://partner.tcgplayer.com/c/6278691/1780961/21018?u=https%3A%2F%2Fwww.tcgplayer.com%2Fproduct%2F542647%3Futm_source%3Dimpact%26utm_medium%3Daffiliate%26utm_campaign%3Dpoke%2Bcottage","Pineco")</f>
        <v>Pineco</v>
      </c>
      <c r="D5" s="5" t="s">
        <v>8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13</v>
      </c>
      <c r="C6" s="6" t="str">
        <f aca="false">HYPERLINK("https://partner.tcgplayer.com/c/6278691/1780961/21018?u=https%3A%2F%2Fwww.tcgplayer.com%2Fproduct%2F542648%3Futm_source%3Dimpact%26utm_medium%3Daffiliate%26utm_campaign%3Dpoke%2Bcottage","Seedot")</f>
        <v>Seedot</v>
      </c>
      <c r="D6" s="5" t="s">
        <v>8</v>
      </c>
      <c r="E6" s="5" t="s">
        <v>9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13</v>
      </c>
      <c r="C7" s="6" t="str">
        <f aca="false">HYPERLINK("https://partner.tcgplayer.com/c/6278691/1780961/21018?u=https%3A%2F%2Fwww.tcgplayer.com%2Fproduct%2F542648%3Futm_source%3Dimpact%26utm_medium%3Daffiliate%26utm_campaign%3Dpoke%2Bcottage","Seedot")</f>
        <v>Seedot</v>
      </c>
      <c r="D7" s="5" t="s">
        <v>8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14</v>
      </c>
      <c r="C8" s="6" t="str">
        <f aca="false">HYPERLINK("https://partner.tcgplayer.com/c/6278691/1780961/21018?u=https%3A%2F%2Fwww.tcgplayer.com%2Fproduct%2F542649%3Futm_source%3Dimpact%26utm_medium%3Daffiliate%26utm_campaign%3Dpoke%2Bcottage","Nuzleaf")</f>
        <v>Nuzleaf</v>
      </c>
      <c r="D8" s="5" t="s">
        <v>8</v>
      </c>
      <c r="E8" s="5" t="s">
        <v>9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14</v>
      </c>
      <c r="C9" s="6" t="str">
        <f aca="false">HYPERLINK("https://partner.tcgplayer.com/c/6278691/1780961/21018?u=https%3A%2F%2Fwww.tcgplayer.com%2Fproduct%2F542649%3Futm_source%3Dimpact%26utm_medium%3Daffiliate%26utm_campaign%3Dpoke%2Bcottage","Nuzleaf")</f>
        <v>Nuzleaf</v>
      </c>
      <c r="D9" s="5" t="s">
        <v>8</v>
      </c>
      <c r="E9" s="5" t="s">
        <v>11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15</v>
      </c>
      <c r="C10" s="6" t="str">
        <f aca="false">HYPERLINK("https://partner.tcgplayer.com/c/6278691/1780961/21018?u=https%3A%2F%2Fwww.tcgplayer.com%2Fproduct%2F542650%3Futm_source%3Dimpact%26utm_medium%3Daffiliate%26utm_campaign%3Dpoke%2Bcottage","Shiftry")</f>
        <v>Shiftry</v>
      </c>
      <c r="D10" s="5" t="s">
        <v>16</v>
      </c>
      <c r="E10" s="5" t="s">
        <v>9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15</v>
      </c>
      <c r="C11" s="6" t="str">
        <f aca="false">HYPERLINK("https://partner.tcgplayer.com/c/6278691/1780961/21018?u=https%3A%2F%2Fwww.tcgplayer.com%2Fproduct%2F542650%3Futm_source%3Dimpact%26utm_medium%3Daffiliate%26utm_campaign%3Dpoke%2Bcottage","Shiftry")</f>
        <v>Shiftry</v>
      </c>
      <c r="D11" s="5" t="s">
        <v>16</v>
      </c>
      <c r="E11" s="5" t="s">
        <v>11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17</v>
      </c>
      <c r="C12" s="6" t="str">
        <f aca="false">HYPERLINK("https://partner.tcgplayer.com/c/6278691/1780961/21018?u=https%3A%2F%2Fwww.tcgplayer.com%2Fproduct%2F542652%3Futm_source%3Dimpact%26utm_medium%3Daffiliate%26utm_campaign%3Dpoke%2Bcottage","Shroomish")</f>
        <v>Shroomish</v>
      </c>
      <c r="D12" s="5" t="s">
        <v>8</v>
      </c>
      <c r="E12" s="5" t="s">
        <v>9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17</v>
      </c>
      <c r="C13" s="6" t="str">
        <f aca="false">HYPERLINK("https://partner.tcgplayer.com/c/6278691/1780961/21018?u=https%3A%2F%2Fwww.tcgplayer.com%2Fproduct%2F542652%3Futm_source%3Dimpact%26utm_medium%3Daffiliate%26utm_campaign%3Dpoke%2Bcottage","Shroomish")</f>
        <v>Shroomish</v>
      </c>
      <c r="D13" s="5" t="s">
        <v>8</v>
      </c>
      <c r="E13" s="5" t="s">
        <v>11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18</v>
      </c>
      <c r="C14" s="6" t="str">
        <f aca="false">HYPERLINK("https://partner.tcgplayer.com/c/6278691/1780961/21018?u=https%3A%2F%2Fwww.tcgplayer.com%2Fproduct%2F542653%3Futm_source%3Dimpact%26utm_medium%3Daffiliate%26utm_campaign%3Dpoke%2Bcottage","Breloom")</f>
        <v>Breloom</v>
      </c>
      <c r="D14" s="5" t="s">
        <v>8</v>
      </c>
      <c r="E14" s="5" t="s">
        <v>9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18</v>
      </c>
      <c r="C15" s="6" t="str">
        <f aca="false">HYPERLINK("https://partner.tcgplayer.com/c/6278691/1780961/21018?u=https%3A%2F%2Fwww.tcgplayer.com%2Fproduct%2F542653%3Futm_source%3Dimpact%26utm_medium%3Daffiliate%26utm_campaign%3Dpoke%2Bcottage","Breloom")</f>
        <v>Breloom</v>
      </c>
      <c r="D15" s="5" t="s">
        <v>8</v>
      </c>
      <c r="E15" s="5" t="s">
        <v>11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19</v>
      </c>
      <c r="C16" s="6" t="str">
        <f aca="false">HYPERLINK("https://partner.tcgplayer.com/c/6278691/1780961/21018?u=https%3A%2F%2Fwww.tcgplayer.com%2Fproduct%2F542655%3Futm_source%3Dimpact%26utm_medium%3Daffiliate%26utm_campaign%3Dpoke%2Bcottage","Roselia")</f>
        <v>Roselia</v>
      </c>
      <c r="D16" s="5" t="s">
        <v>8</v>
      </c>
      <c r="E16" s="5" t="s">
        <v>9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19</v>
      </c>
      <c r="C17" s="6" t="str">
        <f aca="false">HYPERLINK("https://partner.tcgplayer.com/c/6278691/1780961/21018?u=https%3A%2F%2Fwww.tcgplayer.com%2Fproduct%2F542655%3Futm_source%3Dimpact%26utm_medium%3Daffiliate%26utm_campaign%3Dpoke%2Bcottage","Roselia")</f>
        <v>Roselia</v>
      </c>
      <c r="D17" s="5" t="s">
        <v>8</v>
      </c>
      <c r="E17" s="5" t="s">
        <v>11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20</v>
      </c>
      <c r="C18" s="6" t="str">
        <f aca="false">HYPERLINK("https://partner.tcgplayer.com/c/6278691/1780961/21018?u=https%3A%2F%2Fwww.tcgplayer.com%2Fproduct%2F542759%3Futm_source%3Dimpact%26utm_medium%3Daffiliate%26utm_campaign%3Dpoke%2Bcottage","Roserade")</f>
        <v>Roserade</v>
      </c>
      <c r="D18" s="5" t="s">
        <v>16</v>
      </c>
      <c r="E18" s="5" t="s">
        <v>9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20</v>
      </c>
      <c r="C19" s="6" t="str">
        <f aca="false">HYPERLINK("https://partner.tcgplayer.com/c/6278691/1780961/21018?u=https%3A%2F%2Fwww.tcgplayer.com%2Fproduct%2F542759%3Futm_source%3Dimpact%26utm_medium%3Daffiliate%26utm_campaign%3Dpoke%2Bcottage","Roserade")</f>
        <v>Roserade</v>
      </c>
      <c r="D19" s="5" t="s">
        <v>16</v>
      </c>
      <c r="E19" s="5" t="s">
        <v>11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21</v>
      </c>
      <c r="C20" s="6" t="str">
        <f aca="false">HYPERLINK("https://partner.tcgplayer.com/c/6278691/1780961/21018?u=https%3A%2F%2Fwww.tcgplayer.com%2Fproduct%2F542760%3Futm_source%3Dimpact%26utm_medium%3Daffiliate%26utm_campaign%3Dpoke%2Bcottage","Turtwig")</f>
        <v>Turtwig</v>
      </c>
      <c r="D20" s="5" t="s">
        <v>8</v>
      </c>
      <c r="E20" s="5" t="s">
        <v>9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21</v>
      </c>
      <c r="C21" s="6" t="str">
        <f aca="false">HYPERLINK("https://partner.tcgplayer.com/c/6278691/1780961/21018?u=https%3A%2F%2Fwww.tcgplayer.com%2Fproduct%2F542760%3Futm_source%3Dimpact%26utm_medium%3Daffiliate%26utm_campaign%3Dpoke%2Bcottage","Turtwig")</f>
        <v>Turtwig</v>
      </c>
      <c r="D21" s="5" t="s">
        <v>8</v>
      </c>
      <c r="E21" s="5" t="s">
        <v>11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22</v>
      </c>
      <c r="C22" s="6" t="str">
        <f aca="false">HYPERLINK("https://partner.tcgplayer.com/c/6278691/1780961/21018?u=https%3A%2F%2Fwww.tcgplayer.com%2Fproduct%2F542669%3Futm_source%3Dimpact%26utm_medium%3Daffiliate%26utm_campaign%3Dpoke%2Bcottage","Grotle")</f>
        <v>Grotle</v>
      </c>
      <c r="D22" s="5" t="s">
        <v>8</v>
      </c>
      <c r="E22" s="5" t="s">
        <v>9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22</v>
      </c>
      <c r="C23" s="6" t="str">
        <f aca="false">HYPERLINK("https://partner.tcgplayer.com/c/6278691/1780961/21018?u=https%3A%2F%2Fwww.tcgplayer.com%2Fproduct%2F542669%3Futm_source%3Dimpact%26utm_medium%3Daffiliate%26utm_campaign%3Dpoke%2Bcottage","Grotle")</f>
        <v>Grotle</v>
      </c>
      <c r="D23" s="5" t="s">
        <v>8</v>
      </c>
      <c r="E23" s="5" t="s">
        <v>11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23</v>
      </c>
      <c r="C24" s="6" t="str">
        <f aca="false">HYPERLINK("https://partner.tcgplayer.com/c/6278691/1780961/21018?u=https%3A%2F%2Fwww.tcgplayer.com%2Fproduct%2F542658%3Futm_source%3Dimpact%26utm_medium%3Daffiliate%26utm_campaign%3Dpoke%2Bcottage","Torterra ex")</f>
        <v>Torterra ex</v>
      </c>
      <c r="D24" s="5" t="s">
        <v>24</v>
      </c>
      <c r="E24" s="5" t="s">
        <v>25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26</v>
      </c>
      <c r="C25" s="6" t="str">
        <f aca="false">HYPERLINK("https://partner.tcgplayer.com/c/6278691/1780961/21018?u=https%3A%2F%2Fwww.tcgplayer.com%2Fproduct%2F542761%3Futm_source%3Dimpact%26utm_medium%3Daffiliate%26utm_campaign%3Dpoke%2Bcottage","Shaymin")</f>
        <v>Shaymin</v>
      </c>
      <c r="D25" s="5" t="s">
        <v>16</v>
      </c>
      <c r="E25" s="5" t="s">
        <v>9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26</v>
      </c>
      <c r="C26" s="6" t="str">
        <f aca="false">HYPERLINK("https://partner.tcgplayer.com/c/6278691/1780961/21018?u=https%3A%2F%2Fwww.tcgplayer.com%2Fproduct%2F542761%3Futm_source%3Dimpact%26utm_medium%3Daffiliate%26utm_campaign%3Dpoke%2Bcottage","Shaymin")</f>
        <v>Shaymin</v>
      </c>
      <c r="D26" s="5" t="s">
        <v>16</v>
      </c>
      <c r="E26" s="5" t="s">
        <v>11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27</v>
      </c>
      <c r="C27" s="6" t="str">
        <f aca="false">HYPERLINK("https://partner.tcgplayer.com/c/6278691/1780961/21018?u=https%3A%2F%2Fwww.tcgplayer.com%2Fproduct%2F542672%3Futm_source%3Dimpact%26utm_medium%3Daffiliate%26utm_campaign%3Dpoke%2Bcottage","Cottonee")</f>
        <v>Cottonee</v>
      </c>
      <c r="D27" s="5" t="s">
        <v>8</v>
      </c>
      <c r="E27" s="5" t="s">
        <v>9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27</v>
      </c>
      <c r="C28" s="6" t="str">
        <f aca="false">HYPERLINK("https://partner.tcgplayer.com/c/6278691/1780961/21018?u=https%3A%2F%2Fwww.tcgplayer.com%2Fproduct%2F542672%3Futm_source%3Dimpact%26utm_medium%3Daffiliate%26utm_campaign%3Dpoke%2Bcottage","Cottonee")</f>
        <v>Cottonee</v>
      </c>
      <c r="D28" s="5" t="s">
        <v>8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28</v>
      </c>
      <c r="C29" s="6" t="str">
        <f aca="false">HYPERLINK("https://partner.tcgplayer.com/c/6278691/1780961/21018?u=https%3A%2F%2Fwww.tcgplayer.com%2Fproduct%2F542676%3Futm_source%3Dimpact%26utm_medium%3Daffiliate%26utm_campaign%3Dpoke%2Bcottage","Whimsicott")</f>
        <v>Whimsicott</v>
      </c>
      <c r="D29" s="5" t="s">
        <v>29</v>
      </c>
      <c r="E29" s="5" t="s">
        <v>25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28</v>
      </c>
      <c r="C30" s="6" t="str">
        <f aca="false">HYPERLINK("https://partner.tcgplayer.com/c/6278691/1780961/21018?u=https%3A%2F%2Fwww.tcgplayer.com%2Fproduct%2F542676%3Futm_source%3Dimpact%26utm_medium%3Daffiliate%26utm_campaign%3Dpoke%2Bcottage","Whimsicott")</f>
        <v>Whimsicott</v>
      </c>
      <c r="D30" s="5" t="s">
        <v>29</v>
      </c>
      <c r="E30" s="5" t="s">
        <v>11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30</v>
      </c>
      <c r="C31" s="6" t="str">
        <f aca="false">HYPERLINK("https://partner.tcgplayer.com/c/6278691/1780961/21018?u=https%3A%2F%2Fwww.tcgplayer.com%2Fproduct%2F542678%3Futm_source%3Dimpact%26utm_medium%3Daffiliate%26utm_campaign%3Dpoke%2Bcottage","Deerling")</f>
        <v>Deerling</v>
      </c>
      <c r="D31" s="5" t="s">
        <v>8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30</v>
      </c>
      <c r="C32" s="6" t="str">
        <f aca="false">HYPERLINK("https://partner.tcgplayer.com/c/6278691/1780961/21018?u=https%3A%2F%2Fwww.tcgplayer.com%2Fproduct%2F542678%3Futm_source%3Dimpact%26utm_medium%3Daffiliate%26utm_campaign%3Dpoke%2Bcottage","Deerling")</f>
        <v>Deerling</v>
      </c>
      <c r="D32" s="5" t="s">
        <v>8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31</v>
      </c>
      <c r="C33" s="6" t="str">
        <f aca="false">HYPERLINK("https://partner.tcgplayer.com/c/6278691/1780961/21018?u=https%3A%2F%2Fwww.tcgplayer.com%2Fproduct%2F542762%3Futm_source%3Dimpact%26utm_medium%3Daffiliate%26utm_campaign%3Dpoke%2Bcottage","Sawsbuck")</f>
        <v>Sawsbuck</v>
      </c>
      <c r="D33" s="5" t="s">
        <v>16</v>
      </c>
      <c r="E33" s="5" t="s">
        <v>9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31</v>
      </c>
      <c r="C34" s="6" t="str">
        <f aca="false">HYPERLINK("https://partner.tcgplayer.com/c/6278691/1780961/21018?u=https%3A%2F%2Fwww.tcgplayer.com%2Fproduct%2F542762%3Futm_source%3Dimpact%26utm_medium%3Daffiliate%26utm_campaign%3Dpoke%2Bcottage","Sawsbuck")</f>
        <v>Sawsbuck</v>
      </c>
      <c r="D34" s="5" t="s">
        <v>16</v>
      </c>
      <c r="E34" s="5" t="s">
        <v>11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32</v>
      </c>
      <c r="C35" s="6" t="str">
        <f aca="false">HYPERLINK("https://partner.tcgplayer.com/c/6278691/1780961/21018?u=https%3A%2F%2Fwww.tcgplayer.com%2Fproduct%2F542763%3Futm_source%3Dimpact%26utm_medium%3Daffiliate%26utm_campaign%3Dpoke%2Bcottage","Grubbin")</f>
        <v>Grubbin</v>
      </c>
      <c r="D35" s="5" t="s">
        <v>8</v>
      </c>
      <c r="E35" s="5" t="s">
        <v>9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32</v>
      </c>
      <c r="C36" s="6" t="str">
        <f aca="false">HYPERLINK("https://partner.tcgplayer.com/c/6278691/1780961/21018?u=https%3A%2F%2Fwww.tcgplayer.com%2Fproduct%2F542763%3Futm_source%3Dimpact%26utm_medium%3Daffiliate%26utm_campaign%3Dpoke%2Bcottage","Grubbin")</f>
        <v>Grubbin</v>
      </c>
      <c r="D36" s="5" t="s">
        <v>8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33</v>
      </c>
      <c r="C37" s="6" t="str">
        <f aca="false">HYPERLINK("https://partner.tcgplayer.com/c/6278691/1780961/21018?u=https%3A%2F%2Fwww.tcgplayer.com%2Fproduct%2F542764%3Futm_source%3Dimpact%26utm_medium%3Daffiliate%26utm_campaign%3Dpoke%2Bcottage","Dhelmise")</f>
        <v>Dhelmise</v>
      </c>
      <c r="D37" s="5" t="s">
        <v>16</v>
      </c>
      <c r="E37" s="5" t="s">
        <v>9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33</v>
      </c>
      <c r="C38" s="6" t="str">
        <f aca="false">HYPERLINK("https://partner.tcgplayer.com/c/6278691/1780961/21018?u=https%3A%2F%2Fwww.tcgplayer.com%2Fproduct%2F542764%3Futm_source%3Dimpact%26utm_medium%3Daffiliate%26utm_campaign%3Dpoke%2Bcottage","Dhelmise")</f>
        <v>Dhelmise</v>
      </c>
      <c r="D38" s="5" t="s">
        <v>16</v>
      </c>
      <c r="E38" s="5" t="s">
        <v>11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34</v>
      </c>
      <c r="C39" s="6" t="str">
        <f aca="false">HYPERLINK("https://partner.tcgplayer.com/c/6278691/1780961/21018?u=https%3A%2F%2Fwww.tcgplayer.com%2Fproduct%2F542680%3Futm_source%3Dimpact%26utm_medium%3Daffiliate%26utm_campaign%3Dpoke%2Bcottage","Bramblin")</f>
        <v>Bramblin</v>
      </c>
      <c r="D39" s="5" t="s">
        <v>8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34</v>
      </c>
      <c r="C40" s="6" t="str">
        <f aca="false">HYPERLINK("https://partner.tcgplayer.com/c/6278691/1780961/21018?u=https%3A%2F%2Fwww.tcgplayer.com%2Fproduct%2F542680%3Futm_source%3Dimpact%26utm_medium%3Daffiliate%26utm_campaign%3Dpoke%2Bcottage","Bramblin")</f>
        <v>Bramblin</v>
      </c>
      <c r="D40" s="5" t="s">
        <v>8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35</v>
      </c>
      <c r="C41" s="6" t="str">
        <f aca="false">HYPERLINK("https://partner.tcgplayer.com/c/6278691/1780961/21018?u=https%3A%2F%2Fwww.tcgplayer.com%2Fproduct%2F542765%3Futm_source%3Dimpact%26utm_medium%3Daffiliate%26utm_campaign%3Dpoke%2Bcottage","Brambleghast")</f>
        <v>Brambleghast</v>
      </c>
      <c r="D41" s="5" t="s">
        <v>29</v>
      </c>
      <c r="E41" s="5" t="s">
        <v>25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35</v>
      </c>
      <c r="C42" s="6" t="str">
        <f aca="false">HYPERLINK("https://partner.tcgplayer.com/c/6278691/1780961/21018?u=https%3A%2F%2Fwww.tcgplayer.com%2Fproduct%2F542765%3Futm_source%3Dimpact%26utm_medium%3Daffiliate%26utm_campaign%3Dpoke%2Bcottage","Brambleghast")</f>
        <v>Brambleghast</v>
      </c>
      <c r="D42" s="5" t="s">
        <v>29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36</v>
      </c>
      <c r="C43" s="6" t="str">
        <f aca="false">HYPERLINK("https://partner.tcgplayer.com/c/6278691/1780961/21018?u=https%3A%2F%2Fwww.tcgplayer.com%2Fproduct%2F542766%3Futm_source%3Dimpact%26utm_medium%3Daffiliate%26utm_campaign%3Dpoke%2Bcottage","Scovillain ex")</f>
        <v>Scovillain ex</v>
      </c>
      <c r="D43" s="5" t="s">
        <v>24</v>
      </c>
      <c r="E43" s="5" t="s">
        <v>25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37</v>
      </c>
      <c r="C44" s="6" t="str">
        <f aca="false">HYPERLINK("https://partner.tcgplayer.com/c/6278691/1780961/21018?u=https%3A%2F%2Fwww.tcgplayer.com%2Fproduct%2F542767%3Futm_source%3Dimpact%26utm_medium%3Daffiliate%26utm_campaign%3Dpoke%2Bcottage","Rellor")</f>
        <v>Rellor</v>
      </c>
      <c r="D44" s="5" t="s">
        <v>8</v>
      </c>
      <c r="E44" s="5" t="s">
        <v>9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37</v>
      </c>
      <c r="C45" s="6" t="str">
        <f aca="false">HYPERLINK("https://partner.tcgplayer.com/c/6278691/1780961/21018?u=https%3A%2F%2Fwww.tcgplayer.com%2Fproduct%2F542767%3Futm_source%3Dimpact%26utm_medium%3Daffiliate%26utm_campaign%3Dpoke%2Bcottage","Rellor")</f>
        <v>Rellor</v>
      </c>
      <c r="D45" s="5" t="s">
        <v>8</v>
      </c>
      <c r="E45" s="5" t="s">
        <v>11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38</v>
      </c>
      <c r="C46" s="6" t="str">
        <f aca="false">HYPERLINK("https://partner.tcgplayer.com/c/6278691/1780961/21018?u=https%3A%2F%2Fwww.tcgplayer.com%2Fproduct%2F542768%3Futm_source%3Dimpact%26utm_medium%3Daffiliate%26utm_campaign%3Dpoke%2Bcottage","Rabsca")</f>
        <v>Rabsca</v>
      </c>
      <c r="D46" s="5" t="s">
        <v>16</v>
      </c>
      <c r="E46" s="5" t="s">
        <v>9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38</v>
      </c>
      <c r="C47" s="6" t="str">
        <f aca="false">HYPERLINK("https://partner.tcgplayer.com/c/6278691/1780961/21018?u=https%3A%2F%2Fwww.tcgplayer.com%2Fproduct%2F542768%3Futm_source%3Dimpact%26utm_medium%3Daffiliate%26utm_campaign%3Dpoke%2Bcottage","Rabsca")</f>
        <v>Rabsca</v>
      </c>
      <c r="D47" s="5" t="s">
        <v>16</v>
      </c>
      <c r="E47" s="5" t="s">
        <v>11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39</v>
      </c>
      <c r="C48" s="6" t="str">
        <f aca="false">HYPERLINK("https://partner.tcgplayer.com/c/6278691/1780961/21018?u=https%3A%2F%2Fwww.tcgplayer.com%2Fproduct%2F542769%3Futm_source%3Dimpact%26utm_medium%3Daffiliate%26utm_campaign%3Dpoke%2Bcottage","Iron Leaves ex")</f>
        <v>Iron Leaves ex</v>
      </c>
      <c r="D48" s="5" t="s">
        <v>24</v>
      </c>
      <c r="E48" s="5" t="s">
        <v>25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40</v>
      </c>
      <c r="C49" s="6" t="str">
        <f aca="false">HYPERLINK("https://partner.tcgplayer.com/c/6278691/1780961/21018?u=https%3A%2F%2Fwww.tcgplayer.com%2Fproduct%2F542770%3Futm_source%3Dimpact%26utm_medium%3Daffiliate%26utm_campaign%3Dpoke%2Bcottage","Ponyta")</f>
        <v>Ponyta</v>
      </c>
      <c r="D49" s="5" t="s">
        <v>8</v>
      </c>
      <c r="E49" s="5" t="s">
        <v>9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40</v>
      </c>
      <c r="C50" s="6" t="str">
        <f aca="false">HYPERLINK("https://partner.tcgplayer.com/c/6278691/1780961/21018?u=https%3A%2F%2Fwww.tcgplayer.com%2Fproduct%2F542770%3Futm_source%3Dimpact%26utm_medium%3Daffiliate%26utm_campaign%3Dpoke%2Bcottage","Ponyta")</f>
        <v>Ponyta</v>
      </c>
      <c r="D50" s="5" t="s">
        <v>8</v>
      </c>
      <c r="E50" s="5" t="s">
        <v>11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41</v>
      </c>
      <c r="C51" s="6" t="str">
        <f aca="false">HYPERLINK("https://partner.tcgplayer.com/c/6278691/1780961/21018?u=https%3A%2F%2Fwww.tcgplayer.com%2Fproduct%2F542771%3Futm_source%3Dimpact%26utm_medium%3Daffiliate%26utm_campaign%3Dpoke%2Bcottage","Rapidash")</f>
        <v>Rapidash</v>
      </c>
      <c r="D51" s="5" t="s">
        <v>16</v>
      </c>
      <c r="E51" s="5" t="s">
        <v>9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41</v>
      </c>
      <c r="C52" s="6" t="str">
        <f aca="false">HYPERLINK("https://partner.tcgplayer.com/c/6278691/1780961/21018?u=https%3A%2F%2Fwww.tcgplayer.com%2Fproduct%2F542771%3Futm_source%3Dimpact%26utm_medium%3Daffiliate%26utm_campaign%3Dpoke%2Bcottage","Rapidash")</f>
        <v>Rapidash</v>
      </c>
      <c r="D52" s="5" t="s">
        <v>16</v>
      </c>
      <c r="E52" s="5" t="s">
        <v>11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42</v>
      </c>
      <c r="C53" s="6" t="str">
        <f aca="false">HYPERLINK("https://partner.tcgplayer.com/c/6278691/1780961/21018?u=https%3A%2F%2Fwww.tcgplayer.com%2Fproduct%2F542772%3Futm_source%3Dimpact%26utm_medium%3Daffiliate%26utm_campaign%3Dpoke%2Bcottage","Slugma")</f>
        <v>Slugma</v>
      </c>
      <c r="D53" s="5" t="s">
        <v>8</v>
      </c>
      <c r="E53" s="5" t="s">
        <v>9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HYPERLINK("https://partner.tcgplayer.com/c/6278691/1780961/21018?u=https%3A%2F%2Fwww.tcgplayer.com%2Fproduct%2F542772%3Futm_source%3Dimpact%26utm_medium%3Daffiliate%26utm_campaign%3Dpoke%2Bcottage","Slugma")</f>
        <v>Slugma</v>
      </c>
      <c r="D54" s="5" t="s">
        <v>8</v>
      </c>
      <c r="E54" s="5" t="s">
        <v>11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43</v>
      </c>
      <c r="C55" s="6" t="str">
        <f aca="false">HYPERLINK("https://partner.tcgplayer.com/c/6278691/1780961/21018?u=https%3A%2F%2Fwww.tcgplayer.com%2Fproduct%2F542773%3Futm_source%3Dimpact%26utm_medium%3Daffiliate%26utm_campaign%3Dpoke%2Bcottage","Magcargo")</f>
        <v>Magcargo</v>
      </c>
      <c r="D55" s="5" t="s">
        <v>29</v>
      </c>
      <c r="E55" s="5" t="s">
        <v>25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43</v>
      </c>
      <c r="C56" s="6" t="str">
        <f aca="false">HYPERLINK("https://partner.tcgplayer.com/c/6278691/1780961/21018?u=https%3A%2F%2Fwww.tcgplayer.com%2Fproduct%2F542773%3Futm_source%3Dimpact%26utm_medium%3Daffiliate%26utm_campaign%3Dpoke%2Bcottage","Magcargo")</f>
        <v>Magcargo</v>
      </c>
      <c r="D56" s="5" t="s">
        <v>29</v>
      </c>
      <c r="E56" s="5" t="s">
        <v>11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44</v>
      </c>
      <c r="C57" s="6" t="str">
        <f aca="false">HYPERLINK("https://partner.tcgplayer.com/c/6278691/1780961/21018?u=https%3A%2F%2Fwww.tcgplayer.com%2Fproduct%2F542774%3Futm_source%3Dimpact%26utm_medium%3Daffiliate%26utm_campaign%3Dpoke%2Bcottage","Victini")</f>
        <v>Victini</v>
      </c>
      <c r="D57" s="5" t="s">
        <v>8</v>
      </c>
      <c r="E57" s="5" t="s">
        <v>9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44</v>
      </c>
      <c r="C58" s="6" t="str">
        <f aca="false">HYPERLINK("https://partner.tcgplayer.com/c/6278691/1780961/21018?u=https%3A%2F%2Fwww.tcgplayer.com%2Fproduct%2F542774%3Futm_source%3Dimpact%26utm_medium%3Daffiliate%26utm_campaign%3Dpoke%2Bcottage","Victini")</f>
        <v>Victini</v>
      </c>
      <c r="D58" s="5" t="s">
        <v>8</v>
      </c>
      <c r="E58" s="5" t="s">
        <v>11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45</v>
      </c>
      <c r="C59" s="6" t="str">
        <f aca="false">HYPERLINK("https://partner.tcgplayer.com/c/6278691/1780961/21018?u=https%3A%2F%2Fwww.tcgplayer.com%2Fproduct%2F542775%3Futm_source%3Dimpact%26utm_medium%3Daffiliate%26utm_campaign%3Dpoke%2Bcottage","Heatmor")</f>
        <v>Heatmor</v>
      </c>
      <c r="D59" s="5" t="s">
        <v>8</v>
      </c>
      <c r="E59" s="5" t="s">
        <v>9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45</v>
      </c>
      <c r="C60" s="6" t="str">
        <f aca="false">HYPERLINK("https://partner.tcgplayer.com/c/6278691/1780961/21018?u=https%3A%2F%2Fwww.tcgplayer.com%2Fproduct%2F542775%3Futm_source%3Dimpact%26utm_medium%3Daffiliate%26utm_campaign%3Dpoke%2Bcottage","Heatmor")</f>
        <v>Heatmor</v>
      </c>
      <c r="D60" s="5" t="s">
        <v>8</v>
      </c>
      <c r="E60" s="5" t="s">
        <v>11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46</v>
      </c>
      <c r="C61" s="6" t="str">
        <f aca="false">HYPERLINK("https://partner.tcgplayer.com/c/6278691/1780961/21018?u=https%3A%2F%2Fwww.tcgplayer.com%2Fproduct%2F542776%3Futm_source%3Dimpact%26utm_medium%3Daffiliate%26utm_campaign%3Dpoke%2Bcottage","Litten")</f>
        <v>Litten</v>
      </c>
      <c r="D61" s="5" t="s">
        <v>8</v>
      </c>
      <c r="E61" s="5" t="s">
        <v>9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46</v>
      </c>
      <c r="C62" s="6" t="str">
        <f aca="false">HYPERLINK("https://partner.tcgplayer.com/c/6278691/1780961/21018?u=https%3A%2F%2Fwww.tcgplayer.com%2Fproduct%2F542776%3Futm_source%3Dimpact%26utm_medium%3Daffiliate%26utm_campaign%3Dpoke%2Bcottage","Litten")</f>
        <v>Litten</v>
      </c>
      <c r="D62" s="5" t="s">
        <v>8</v>
      </c>
      <c r="E62" s="5" t="s">
        <v>11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47</v>
      </c>
      <c r="C63" s="6" t="str">
        <f aca="false">HYPERLINK("https://partner.tcgplayer.com/c/6278691/1780961/21018?u=https%3A%2F%2Fwww.tcgplayer.com%2Fproduct%2F542777%3Futm_source%3Dimpact%26utm_medium%3Daffiliate%26utm_campaign%3Dpoke%2Bcottage","Torracat")</f>
        <v>Torracat</v>
      </c>
      <c r="D63" s="5" t="s">
        <v>8</v>
      </c>
      <c r="E63" s="5" t="s">
        <v>9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47</v>
      </c>
      <c r="C64" s="6" t="str">
        <f aca="false">HYPERLINK("https://partner.tcgplayer.com/c/6278691/1780961/21018?u=https%3A%2F%2Fwww.tcgplayer.com%2Fproduct%2F542777%3Futm_source%3Dimpact%26utm_medium%3Daffiliate%26utm_campaign%3Dpoke%2Bcottage","Torracat")</f>
        <v>Torracat</v>
      </c>
      <c r="D64" s="5" t="s">
        <v>8</v>
      </c>
      <c r="E64" s="5" t="s">
        <v>11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48</v>
      </c>
      <c r="C65" s="6" t="str">
        <f aca="false">HYPERLINK("https://partner.tcgplayer.com/c/6278691/1780961/21018?u=https%3A%2F%2Fwww.tcgplayer.com%2Fproduct%2F542778%3Futm_source%3Dimpact%26utm_medium%3Daffiliate%26utm_campaign%3Dpoke%2Bcottage","Incineroar ex")</f>
        <v>Incineroar ex</v>
      </c>
      <c r="D65" s="5" t="s">
        <v>24</v>
      </c>
      <c r="E65" s="5" t="s">
        <v>25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49</v>
      </c>
      <c r="C66" s="6" t="str">
        <f aca="false">HYPERLINK("https://partner.tcgplayer.com/c/6278691/1780961/21018?u=https%3A%2F%2Fwww.tcgplayer.com%2Fproduct%2F542779%3Futm_source%3Dimpact%26utm_medium%3Daffiliate%26utm_campaign%3Dpoke%2Bcottage","Turtonator")</f>
        <v>Turtonator</v>
      </c>
      <c r="D66" s="5" t="s">
        <v>8</v>
      </c>
      <c r="E66" s="5" t="s">
        <v>9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49</v>
      </c>
      <c r="C67" s="6" t="str">
        <f aca="false">HYPERLINK("https://partner.tcgplayer.com/c/6278691/1780961/21018?u=https%3A%2F%2Fwww.tcgplayer.com%2Fproduct%2F542779%3Futm_source%3Dimpact%26utm_medium%3Daffiliate%26utm_campaign%3Dpoke%2Bcottage","Turtonator")</f>
        <v>Turtonator</v>
      </c>
      <c r="D67" s="5" t="s">
        <v>8</v>
      </c>
      <c r="E67" s="5" t="s">
        <v>11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50</v>
      </c>
      <c r="C68" s="6" t="str">
        <f aca="false">HYPERLINK("https://partner.tcgplayer.com/c/6278691/1780961/21018?u=https%3A%2F%2Fwww.tcgplayer.com%2Fproduct%2F542780%3Futm_source%3Dimpact%26utm_medium%3Daffiliate%26utm_campaign%3Dpoke%2Bcottage","Sizzlipede")</f>
        <v>Sizzlipede</v>
      </c>
      <c r="D68" s="5" t="s">
        <v>8</v>
      </c>
      <c r="E68" s="5" t="s">
        <v>9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50</v>
      </c>
      <c r="C69" s="6" t="str">
        <f aca="false">HYPERLINK("https://partner.tcgplayer.com/c/6278691/1780961/21018?u=https%3A%2F%2Fwww.tcgplayer.com%2Fproduct%2F542780%3Futm_source%3Dimpact%26utm_medium%3Daffiliate%26utm_campaign%3Dpoke%2Bcottage","Sizzlipede")</f>
        <v>Sizzlipede</v>
      </c>
      <c r="D69" s="5" t="s">
        <v>8</v>
      </c>
      <c r="E69" s="5" t="s">
        <v>11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51</v>
      </c>
      <c r="C70" s="6" t="str">
        <f aca="false">HYPERLINK("https://partner.tcgplayer.com/c/6278691/1780961/21018?u=https%3A%2F%2Fwww.tcgplayer.com%2Fproduct%2F542781%3Futm_source%3Dimpact%26utm_medium%3Daffiliate%26utm_campaign%3Dpoke%2Bcottage","Centiskorch")</f>
        <v>Centiskorch</v>
      </c>
      <c r="D70" s="5" t="s">
        <v>16</v>
      </c>
      <c r="E70" s="5" t="s">
        <v>9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51</v>
      </c>
      <c r="C71" s="6" t="str">
        <f aca="false">HYPERLINK("https://partner.tcgplayer.com/c/6278691/1780961/21018?u=https%3A%2F%2Fwww.tcgplayer.com%2Fproduct%2F542781%3Futm_source%3Dimpact%26utm_medium%3Daffiliate%26utm_campaign%3Dpoke%2Bcottage","Centiskorch")</f>
        <v>Centiskorch</v>
      </c>
      <c r="D71" s="5" t="s">
        <v>16</v>
      </c>
      <c r="E71" s="5" t="s">
        <v>11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52</v>
      </c>
      <c r="C72" s="6" t="str">
        <f aca="false">HYPERLINK("https://partner.tcgplayer.com/c/6278691/1780961/21018?u=https%3A%2F%2Fwww.tcgplayer.com%2Fproduct%2F542782%3Futm_source%3Dimpact%26utm_medium%3Daffiliate%26utm_campaign%3Dpoke%2Bcottage","Gouging Fire ex")</f>
        <v>Gouging Fire ex</v>
      </c>
      <c r="D72" s="5" t="s">
        <v>24</v>
      </c>
      <c r="E72" s="5" t="s">
        <v>25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53</v>
      </c>
      <c r="C73" s="6" t="str">
        <f aca="false">HYPERLINK("https://partner.tcgplayer.com/c/6278691/1780961/21018?u=https%3A%2F%2Fwww.tcgplayer.com%2Fproduct%2F542783%3Futm_source%3Dimpact%26utm_medium%3Daffiliate%26utm_campaign%3Dpoke%2Bcottage","Totodile")</f>
        <v>Totodile</v>
      </c>
      <c r="D73" s="5" t="s">
        <v>8</v>
      </c>
      <c r="E73" s="5" t="s">
        <v>9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53</v>
      </c>
      <c r="C74" s="6" t="str">
        <f aca="false">HYPERLINK("https://partner.tcgplayer.com/c/6278691/1780961/21018?u=https%3A%2F%2Fwww.tcgplayer.com%2Fproduct%2F542783%3Futm_source%3Dimpact%26utm_medium%3Daffiliate%26utm_campaign%3Dpoke%2Bcottage","Totodile")</f>
        <v>Totodile</v>
      </c>
      <c r="D74" s="5" t="s">
        <v>8</v>
      </c>
      <c r="E74" s="5" t="s">
        <v>11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54</v>
      </c>
      <c r="C75" s="6" t="str">
        <f aca="false">HYPERLINK("https://partner.tcgplayer.com/c/6278691/1780961/21018?u=https%3A%2F%2Fwww.tcgplayer.com%2Fproduct%2F542784%3Futm_source%3Dimpact%26utm_medium%3Daffiliate%26utm_campaign%3Dpoke%2Bcottage","Croconaw")</f>
        <v>Croconaw</v>
      </c>
      <c r="D75" s="5" t="s">
        <v>8</v>
      </c>
      <c r="E75" s="5" t="s">
        <v>9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54</v>
      </c>
      <c r="C76" s="6" t="str">
        <f aca="false">HYPERLINK("https://partner.tcgplayer.com/c/6278691/1780961/21018?u=https%3A%2F%2Fwww.tcgplayer.com%2Fproduct%2F542784%3Futm_source%3Dimpact%26utm_medium%3Daffiliate%26utm_campaign%3Dpoke%2Bcottage","Croconaw")</f>
        <v>Croconaw</v>
      </c>
      <c r="D76" s="5" t="s">
        <v>8</v>
      </c>
      <c r="E76" s="5" t="s">
        <v>11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55</v>
      </c>
      <c r="C77" s="6" t="str">
        <f aca="false">HYPERLINK("https://partner.tcgplayer.com/c/6278691/1780961/21018?u=https%3A%2F%2Fwww.tcgplayer.com%2Fproduct%2F542785%3Futm_source%3Dimpact%26utm_medium%3Daffiliate%26utm_campaign%3Dpoke%2Bcottage","Feraligatr")</f>
        <v>Feraligatr</v>
      </c>
      <c r="D77" s="5" t="s">
        <v>29</v>
      </c>
      <c r="E77" s="5" t="s">
        <v>25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55</v>
      </c>
      <c r="C78" s="6" t="str">
        <f aca="false">HYPERLINK("https://partner.tcgplayer.com/c/6278691/1780961/21018?u=https%3A%2F%2Fwww.tcgplayer.com%2Fproduct%2F542785%3Futm_source%3Dimpact%26utm_medium%3Daffiliate%26utm_campaign%3Dpoke%2Bcottage","Feraligatr")</f>
        <v>Feraligatr</v>
      </c>
      <c r="D78" s="5" t="s">
        <v>29</v>
      </c>
      <c r="E78" s="5" t="s">
        <v>11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56</v>
      </c>
      <c r="C79" s="6" t="str">
        <f aca="false">HYPERLINK("https://partner.tcgplayer.com/c/6278691/1780961/21018?u=https%3A%2F%2Fwww.tcgplayer.com%2Fproduct%2F542786%3Futm_source%3Dimpact%26utm_medium%3Daffiliate%26utm_campaign%3Dpoke%2Bcottage","Carvanha")</f>
        <v>Carvanha</v>
      </c>
      <c r="D79" s="5" t="s">
        <v>8</v>
      </c>
      <c r="E79" s="5" t="s">
        <v>9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56</v>
      </c>
      <c r="C80" s="6" t="str">
        <f aca="false">HYPERLINK("https://partner.tcgplayer.com/c/6278691/1780961/21018?u=https%3A%2F%2Fwww.tcgplayer.com%2Fproduct%2F542786%3Futm_source%3Dimpact%26utm_medium%3Daffiliate%26utm_campaign%3Dpoke%2Bcottage","Carvanha")</f>
        <v>Carvanha</v>
      </c>
      <c r="D80" s="5" t="s">
        <v>8</v>
      </c>
      <c r="E80" s="5" t="s">
        <v>11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57</v>
      </c>
      <c r="C81" s="6" t="str">
        <f aca="false">HYPERLINK("https://partner.tcgplayer.com/c/6278691/1780961/21018?u=https%3A%2F%2Fwww.tcgplayer.com%2Fproduct%2F542787%3Futm_source%3Dimpact%26utm_medium%3Daffiliate%26utm_campaign%3Dpoke%2Bcottage","Sharpedo")</f>
        <v>Sharpedo</v>
      </c>
      <c r="D81" s="5" t="s">
        <v>16</v>
      </c>
      <c r="E81" s="5" t="s">
        <v>9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57</v>
      </c>
      <c r="C82" s="6" t="str">
        <f aca="false">HYPERLINK("https://partner.tcgplayer.com/c/6278691/1780961/21018?u=https%3A%2F%2Fwww.tcgplayer.com%2Fproduct%2F542787%3Futm_source%3Dimpact%26utm_medium%3Daffiliate%26utm_campaign%3Dpoke%2Bcottage","Sharpedo")</f>
        <v>Sharpedo</v>
      </c>
      <c r="D82" s="5" t="s">
        <v>16</v>
      </c>
      <c r="E82" s="5" t="s">
        <v>11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58</v>
      </c>
      <c r="C83" s="6" t="str">
        <f aca="false">HYPERLINK("https://partner.tcgplayer.com/c/6278691/1780961/21018?u=https%3A%2F%2Fwww.tcgplayer.com%2Fproduct%2F542788%3Futm_source%3Dimpact%26utm_medium%3Daffiliate%26utm_campaign%3Dpoke%2Bcottage","Keldeo")</f>
        <v>Keldeo</v>
      </c>
      <c r="D83" s="5" t="s">
        <v>16</v>
      </c>
      <c r="E83" s="5" t="s">
        <v>9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58</v>
      </c>
      <c r="C84" s="6" t="str">
        <f aca="false">HYPERLINK("https://partner.tcgplayer.com/c/6278691/1780961/21018?u=https%3A%2F%2Fwww.tcgplayer.com%2Fproduct%2F542788%3Futm_source%3Dimpact%26utm_medium%3Daffiliate%26utm_campaign%3Dpoke%2Bcottage","Keldeo")</f>
        <v>Keldeo</v>
      </c>
      <c r="D84" s="5" t="s">
        <v>16</v>
      </c>
      <c r="E84" s="5" t="s">
        <v>11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59</v>
      </c>
      <c r="C85" s="6" t="str">
        <f aca="false">HYPERLINK("https://partner.tcgplayer.com/c/6278691/1780961/21018?u=https%3A%2F%2Fwww.tcgplayer.com%2Fproduct%2F542789%3Futm_source%3Dimpact%26utm_medium%3Daffiliate%26utm_campaign%3Dpoke%2Bcottage","Snom")</f>
        <v>Snom</v>
      </c>
      <c r="D85" s="5" t="s">
        <v>8</v>
      </c>
      <c r="E85" s="5" t="s">
        <v>9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59</v>
      </c>
      <c r="C86" s="6" t="str">
        <f aca="false">HYPERLINK("https://partner.tcgplayer.com/c/6278691/1780961/21018?u=https%3A%2F%2Fwww.tcgplayer.com%2Fproduct%2F542789%3Futm_source%3Dimpact%26utm_medium%3Daffiliate%26utm_campaign%3Dpoke%2Bcottage","Snom")</f>
        <v>Snom</v>
      </c>
      <c r="D86" s="5" t="s">
        <v>8</v>
      </c>
      <c r="E86" s="5" t="s">
        <v>11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60</v>
      </c>
      <c r="C87" s="6" t="str">
        <f aca="false">HYPERLINK("https://partner.tcgplayer.com/c/6278691/1780961/21018?u=https%3A%2F%2Fwww.tcgplayer.com%2Fproduct%2F542790%3Futm_source%3Dimpact%26utm_medium%3Daffiliate%26utm_campaign%3Dpoke%2Bcottage","Frosmoth")</f>
        <v>Frosmoth</v>
      </c>
      <c r="D87" s="5" t="s">
        <v>8</v>
      </c>
      <c r="E87" s="5" t="s">
        <v>9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60</v>
      </c>
      <c r="C88" s="6" t="str">
        <f aca="false">HYPERLINK("https://partner.tcgplayer.com/c/6278691/1780961/21018?u=https%3A%2F%2Fwww.tcgplayer.com%2Fproduct%2F542790%3Futm_source%3Dimpact%26utm_medium%3Daffiliate%26utm_campaign%3Dpoke%2Bcottage","Frosmoth")</f>
        <v>Frosmoth</v>
      </c>
      <c r="D88" s="5" t="s">
        <v>8</v>
      </c>
      <c r="E88" s="5" t="s">
        <v>11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61</v>
      </c>
      <c r="C89" s="6" t="str">
        <f aca="false">HYPERLINK("https://partner.tcgplayer.com/c/6278691/1780961/21018?u=https%3A%2F%2Fwww.tcgplayer.com%2Fproduct%2F542791%3Futm_source%3Dimpact%26utm_medium%3Daffiliate%26utm_campaign%3Dpoke%2Bcottage","Wiglett")</f>
        <v>Wiglett</v>
      </c>
      <c r="D89" s="5" t="s">
        <v>8</v>
      </c>
      <c r="E89" s="5" t="s">
        <v>9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61</v>
      </c>
      <c r="C90" s="6" t="str">
        <f aca="false">HYPERLINK("https://partner.tcgplayer.com/c/6278691/1780961/21018?u=https%3A%2F%2Fwww.tcgplayer.com%2Fproduct%2F542791%3Futm_source%3Dimpact%26utm_medium%3Daffiliate%26utm_campaign%3Dpoke%2Bcottage","Wiglett")</f>
        <v>Wiglett</v>
      </c>
      <c r="D90" s="5" t="s">
        <v>8</v>
      </c>
      <c r="E90" s="5" t="s">
        <v>11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62</v>
      </c>
      <c r="C91" s="6" t="str">
        <f aca="false">HYPERLINK("https://partner.tcgplayer.com/c/6278691/1780961/21018?u=https%3A%2F%2Fwww.tcgplayer.com%2Fproduct%2F542792%3Futm_source%3Dimpact%26utm_medium%3Daffiliate%26utm_campaign%3Dpoke%2Bcottage","Finizen")</f>
        <v>Finizen</v>
      </c>
      <c r="D91" s="5" t="s">
        <v>8</v>
      </c>
      <c r="E91" s="5" t="s">
        <v>9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62</v>
      </c>
      <c r="C92" s="6" t="str">
        <f aca="false">HYPERLINK("https://partner.tcgplayer.com/c/6278691/1780961/21018?u=https%3A%2F%2Fwww.tcgplayer.com%2Fproduct%2F542792%3Futm_source%3Dimpact%26utm_medium%3Daffiliate%26utm_campaign%3Dpoke%2Bcottage","Finizen")</f>
        <v>Finizen</v>
      </c>
      <c r="D92" s="5" t="s">
        <v>8</v>
      </c>
      <c r="E92" s="5" t="s">
        <v>11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63</v>
      </c>
      <c r="C93" s="6" t="str">
        <f aca="false">HYPERLINK("https://partner.tcgplayer.com/c/6278691/1780961/21018?u=https%3A%2F%2Fwww.tcgplayer.com%2Fproduct%2F542793%3Futm_source%3Dimpact%26utm_medium%3Daffiliate%26utm_campaign%3Dpoke%2Bcottage","Palafin")</f>
        <v>Palafin</v>
      </c>
      <c r="D93" s="5" t="s">
        <v>16</v>
      </c>
      <c r="E93" s="5" t="s">
        <v>9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63</v>
      </c>
      <c r="C94" s="6" t="str">
        <f aca="false">HYPERLINK("https://partner.tcgplayer.com/c/6278691/1780961/21018?u=https%3A%2F%2Fwww.tcgplayer.com%2Fproduct%2F542793%3Futm_source%3Dimpact%26utm_medium%3Daffiliate%26utm_campaign%3Dpoke%2Bcottage","Palafin")</f>
        <v>Palafin</v>
      </c>
      <c r="D94" s="5" t="s">
        <v>16</v>
      </c>
      <c r="E94" s="5" t="s">
        <v>11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64</v>
      </c>
      <c r="C95" s="6" t="str">
        <f aca="false">HYPERLINK("https://partner.tcgplayer.com/c/6278691/1780961/21018?u=https%3A%2F%2Fwww.tcgplayer.com%2Fproduct%2F542794%3Futm_source%3Dimpact%26utm_medium%3Daffiliate%26utm_campaign%3Dpoke%2Bcottage","Walking Wake ex")</f>
        <v>Walking Wake ex</v>
      </c>
      <c r="D95" s="5" t="s">
        <v>24</v>
      </c>
      <c r="E95" s="5" t="s">
        <v>25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65</v>
      </c>
      <c r="C96" s="6" t="str">
        <f aca="false">HYPERLINK("https://partner.tcgplayer.com/c/6278691/1780961/21018?u=https%3A%2F%2Fwww.tcgplayer.com%2Fproduct%2F542795%3Futm_source%3Dimpact%26utm_medium%3Daffiliate%26utm_campaign%3Dpoke%2Bcottage","Pikachu")</f>
        <v>Pikachu</v>
      </c>
      <c r="D96" s="5" t="s">
        <v>8</v>
      </c>
      <c r="E96" s="5" t="s">
        <v>9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65</v>
      </c>
      <c r="C97" s="6" t="str">
        <f aca="false">HYPERLINK("https://partner.tcgplayer.com/c/6278691/1780961/21018?u=https%3A%2F%2Fwww.tcgplayer.com%2Fproduct%2F542795%3Futm_source%3Dimpact%26utm_medium%3Daffiliate%26utm_campaign%3Dpoke%2Bcottage","Pikachu")</f>
        <v>Pikachu</v>
      </c>
      <c r="D97" s="5" t="s">
        <v>8</v>
      </c>
      <c r="E97" s="5" t="s">
        <v>11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66</v>
      </c>
      <c r="C98" s="6" t="str">
        <f aca="false">HYPERLINK("https://partner.tcgplayer.com/c/6278691/1780961/21018?u=https%3A%2F%2Fwww.tcgplayer.com%2Fproduct%2F542796%3Futm_source%3Dimpact%26utm_medium%3Daffiliate%26utm_campaign%3Dpoke%2Bcottage","Raichu")</f>
        <v>Raichu</v>
      </c>
      <c r="D98" s="5" t="s">
        <v>8</v>
      </c>
      <c r="E98" s="5" t="s">
        <v>9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66</v>
      </c>
      <c r="C99" s="6" t="str">
        <f aca="false">HYPERLINK("https://partner.tcgplayer.com/c/6278691/1780961/21018?u=https%3A%2F%2Fwww.tcgplayer.com%2Fproduct%2F542796%3Futm_source%3Dimpact%26utm_medium%3Daffiliate%26utm_campaign%3Dpoke%2Bcottage","Raichu")</f>
        <v>Raichu</v>
      </c>
      <c r="D99" s="5" t="s">
        <v>8</v>
      </c>
      <c r="E99" s="5" t="s">
        <v>11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67</v>
      </c>
      <c r="C100" s="6" t="str">
        <f aca="false">HYPERLINK("https://partner.tcgplayer.com/c/6278691/1780961/21018?u=https%3A%2F%2Fwww.tcgplayer.com%2Fproduct%2F542797%3Futm_source%3Dimpact%26utm_medium%3Daffiliate%26utm_campaign%3Dpoke%2Bcottage","Electabuzz")</f>
        <v>Electabuzz</v>
      </c>
      <c r="D100" s="5" t="s">
        <v>8</v>
      </c>
      <c r="E100" s="5" t="s">
        <v>9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67</v>
      </c>
      <c r="C101" s="6" t="str">
        <f aca="false">HYPERLINK("https://partner.tcgplayer.com/c/6278691/1780961/21018?u=https%3A%2F%2Fwww.tcgplayer.com%2Fproduct%2F542797%3Futm_source%3Dimpact%26utm_medium%3Daffiliate%26utm_campaign%3Dpoke%2Bcottage","Electabuzz")</f>
        <v>Electabuzz</v>
      </c>
      <c r="D101" s="5" t="s">
        <v>8</v>
      </c>
      <c r="E101" s="5" t="s">
        <v>11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68</v>
      </c>
      <c r="C102" s="6" t="str">
        <f aca="false">HYPERLINK("https://partner.tcgplayer.com/c/6278691/1780961/21018?u=https%3A%2F%2Fwww.tcgplayer.com%2Fproduct%2F542798%3Futm_source%3Dimpact%26utm_medium%3Daffiliate%26utm_campaign%3Dpoke%2Bcottage","Electivire")</f>
        <v>Electivire</v>
      </c>
      <c r="D102" s="5" t="s">
        <v>16</v>
      </c>
      <c r="E102" s="5" t="s">
        <v>9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68</v>
      </c>
      <c r="C103" s="6" t="str">
        <f aca="false">HYPERLINK("https://partner.tcgplayer.com/c/6278691/1780961/21018?u=https%3A%2F%2Fwww.tcgplayer.com%2Fproduct%2F542798%3Futm_source%3Dimpact%26utm_medium%3Daffiliate%26utm_campaign%3Dpoke%2Bcottage","Electivire")</f>
        <v>Electivire</v>
      </c>
      <c r="D103" s="5" t="s">
        <v>16</v>
      </c>
      <c r="E103" s="5" t="s">
        <v>11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69</v>
      </c>
      <c r="C104" s="6" t="str">
        <f aca="false">HYPERLINK("https://partner.tcgplayer.com/c/6278691/1780961/21018?u=https%3A%2F%2Fwww.tcgplayer.com%2Fproduct%2F542799%3Futm_source%3Dimpact%26utm_medium%3Daffiliate%26utm_campaign%3Dpoke%2Bcottage","Charjabug")</f>
        <v>Charjabug</v>
      </c>
      <c r="D104" s="5" t="s">
        <v>8</v>
      </c>
      <c r="E104" s="5" t="s">
        <v>9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69</v>
      </c>
      <c r="C105" s="6" t="str">
        <f aca="false">HYPERLINK("https://partner.tcgplayer.com/c/6278691/1780961/21018?u=https%3A%2F%2Fwww.tcgplayer.com%2Fproduct%2F542799%3Futm_source%3Dimpact%26utm_medium%3Daffiliate%26utm_campaign%3Dpoke%2Bcottage","Charjabug")</f>
        <v>Charjabug</v>
      </c>
      <c r="D105" s="5" t="s">
        <v>8</v>
      </c>
      <c r="E105" s="5" t="s">
        <v>11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70</v>
      </c>
      <c r="C106" s="6" t="str">
        <f aca="false">HYPERLINK("https://partner.tcgplayer.com/c/6278691/1780961/21018?u=https%3A%2F%2Fwww.tcgplayer.com%2Fproduct%2F542800%3Futm_source%3Dimpact%26utm_medium%3Daffiliate%26utm_campaign%3Dpoke%2Bcottage","Vikavolt")</f>
        <v>Vikavolt</v>
      </c>
      <c r="D106" s="5" t="s">
        <v>16</v>
      </c>
      <c r="E106" s="5" t="s">
        <v>9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70</v>
      </c>
      <c r="C107" s="6" t="str">
        <f aca="false">HYPERLINK("https://partner.tcgplayer.com/c/6278691/1780961/21018?u=https%3A%2F%2Fwww.tcgplayer.com%2Fproduct%2F542800%3Futm_source%3Dimpact%26utm_medium%3Daffiliate%26utm_campaign%3Dpoke%2Bcottage","Vikavolt")</f>
        <v>Vikavolt</v>
      </c>
      <c r="D107" s="5" t="s">
        <v>16</v>
      </c>
      <c r="E107" s="5" t="s">
        <v>11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71</v>
      </c>
      <c r="C108" s="6" t="str">
        <f aca="false">HYPERLINK("https://partner.tcgplayer.com/c/6278691/1780961/21018?u=https%3A%2F%2Fwww.tcgplayer.com%2Fproduct%2F542801%3Futm_source%3Dimpact%26utm_medium%3Daffiliate%26utm_campaign%3Dpoke%2Bcottage","Zeraora")</f>
        <v>Zeraora</v>
      </c>
      <c r="D108" s="5" t="s">
        <v>16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71</v>
      </c>
      <c r="C109" s="6" t="str">
        <f aca="false">HYPERLINK("https://partner.tcgplayer.com/c/6278691/1780961/21018?u=https%3A%2F%2Fwww.tcgplayer.com%2Fproduct%2F542801%3Futm_source%3Dimpact%26utm_medium%3Daffiliate%26utm_campaign%3Dpoke%2Bcottage","Zeraora")</f>
        <v>Zeraora</v>
      </c>
      <c r="D109" s="5" t="s">
        <v>16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72</v>
      </c>
      <c r="C110" s="6" t="str">
        <f aca="false">HYPERLINK("https://partner.tcgplayer.com/c/6278691/1780961/21018?u=https%3A%2F%2Fwww.tcgplayer.com%2Fproduct%2F542802%3Futm_source%3Dimpact%26utm_medium%3Daffiliate%26utm_campaign%3Dpoke%2Bcottage","Yamper")</f>
        <v>Yamper</v>
      </c>
      <c r="D110" s="5" t="s">
        <v>8</v>
      </c>
      <c r="E110" s="5" t="s">
        <v>9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72</v>
      </c>
      <c r="C111" s="6" t="str">
        <f aca="false">HYPERLINK("https://partner.tcgplayer.com/c/6278691/1780961/21018?u=https%3A%2F%2Fwww.tcgplayer.com%2Fproduct%2F542802%3Futm_source%3Dimpact%26utm_medium%3Daffiliate%26utm_campaign%3Dpoke%2Bcottage","Yamper")</f>
        <v>Yamper</v>
      </c>
      <c r="D111" s="5" t="s">
        <v>8</v>
      </c>
      <c r="E111" s="5" t="s">
        <v>11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73</v>
      </c>
      <c r="C112" s="6" t="str">
        <f aca="false">HYPERLINK("https://partner.tcgplayer.com/c/6278691/1780961/21018?u=https%3A%2F%2Fwww.tcgplayer.com%2Fproduct%2F542803%3Futm_source%3Dimpact%26utm_medium%3Daffiliate%26utm_campaign%3Dpoke%2Bcottage","Boltund")</f>
        <v>Boltund</v>
      </c>
      <c r="D112" s="5" t="s">
        <v>16</v>
      </c>
      <c r="E112" s="5" t="s">
        <v>9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73</v>
      </c>
      <c r="C113" s="6" t="str">
        <f aca="false">HYPERLINK("https://partner.tcgplayer.com/c/6278691/1780961/21018?u=https%3A%2F%2Fwww.tcgplayer.com%2Fproduct%2F542803%3Futm_source%3Dimpact%26utm_medium%3Daffiliate%26utm_campaign%3Dpoke%2Bcottage","Boltund")</f>
        <v>Boltund</v>
      </c>
      <c r="D113" s="5" t="s">
        <v>16</v>
      </c>
      <c r="E113" s="5" t="s">
        <v>11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74</v>
      </c>
      <c r="C114" s="6" t="str">
        <f aca="false">HYPERLINK("https://partner.tcgplayer.com/c/6278691/1780961/21018?u=https%3A%2F%2Fwww.tcgplayer.com%2Fproduct%2F542804%3Futm_source%3Dimpact%26utm_medium%3Daffiliate%26utm_campaign%3Dpoke%2Bcottage","Wugtrio ex")</f>
        <v>Wugtrio ex</v>
      </c>
      <c r="D114" s="5" t="s">
        <v>24</v>
      </c>
      <c r="E114" s="5" t="s">
        <v>25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75</v>
      </c>
      <c r="C115" s="6" t="str">
        <f aca="false">HYPERLINK("https://partner.tcgplayer.com/c/6278691/1780961/21018?u=https%3A%2F%2Fwww.tcgplayer.com%2Fproduct%2F542805%3Futm_source%3Dimpact%26utm_medium%3Daffiliate%26utm_campaign%3Dpoke%2Bcottage","Iron Hands")</f>
        <v>Iron Hands</v>
      </c>
      <c r="D115" s="5" t="s">
        <v>16</v>
      </c>
      <c r="E115" s="5" t="s">
        <v>9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75</v>
      </c>
      <c r="C116" s="6" t="str">
        <f aca="false">HYPERLINK("https://partner.tcgplayer.com/c/6278691/1780961/21018?u=https%3A%2F%2Fwww.tcgplayer.com%2Fproduct%2F542805%3Futm_source%3Dimpact%26utm_medium%3Daffiliate%26utm_campaign%3Dpoke%2Bcottage","Iron Hands")</f>
        <v>Iron Hands</v>
      </c>
      <c r="D116" s="5" t="s">
        <v>16</v>
      </c>
      <c r="E116" s="5" t="s">
        <v>11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76</v>
      </c>
      <c r="C117" s="6" t="str">
        <f aca="false">HYPERLINK("https://partner.tcgplayer.com/c/6278691/1780961/21018?u=https%3A%2F%2Fwww.tcgplayer.com%2Fproduct%2F542806%3Futm_source%3Dimpact%26utm_medium%3Daffiliate%26utm_campaign%3Dpoke%2Bcottage","Iron Thorns")</f>
        <v>Iron Thorns</v>
      </c>
      <c r="D117" s="5" t="s">
        <v>29</v>
      </c>
      <c r="E117" s="5" t="s">
        <v>25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76</v>
      </c>
      <c r="C118" s="6" t="str">
        <f aca="false">HYPERLINK("https://partner.tcgplayer.com/c/6278691/1780961/21018?u=https%3A%2F%2Fwww.tcgplayer.com%2Fproduct%2F542806%3Futm_source%3Dimpact%26utm_medium%3Daffiliate%26utm_campaign%3Dpoke%2Bcottage","Iron Thorns")</f>
        <v>Iron Thorns</v>
      </c>
      <c r="D118" s="5" t="s">
        <v>29</v>
      </c>
      <c r="E118" s="5" t="s">
        <v>11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77</v>
      </c>
      <c r="C119" s="6" t="str">
        <f aca="false">HYPERLINK("https://partner.tcgplayer.com/c/6278691/1780961/21018?u=https%3A%2F%2Fwww.tcgplayer.com%2Fproduct%2F542807%3Futm_source%3Dimpact%26utm_medium%3Daffiliate%26utm_campaign%3Dpoke%2Bcottage","Mr. Mime")</f>
        <v>Mr. Mime</v>
      </c>
      <c r="D119" s="5" t="s">
        <v>8</v>
      </c>
      <c r="E119" s="5" t="s">
        <v>9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77</v>
      </c>
      <c r="C120" s="6" t="str">
        <f aca="false">HYPERLINK("https://partner.tcgplayer.com/c/6278691/1780961/21018?u=https%3A%2F%2Fwww.tcgplayer.com%2Fproduct%2F542807%3Futm_source%3Dimpact%26utm_medium%3Daffiliate%26utm_campaign%3Dpoke%2Bcottage","Mr. Mime")</f>
        <v>Mr. Mime</v>
      </c>
      <c r="D120" s="5" t="s">
        <v>8</v>
      </c>
      <c r="E120" s="5" t="s">
        <v>11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78</v>
      </c>
      <c r="C121" s="6" t="str">
        <f aca="false">HYPERLINK("https://partner.tcgplayer.com/c/6278691/1780961/21018?u=https%3A%2F%2Fwww.tcgplayer.com%2Fproduct%2F542808%3Futm_source%3Dimpact%26utm_medium%3Daffiliate%26utm_campaign%3Dpoke%2Bcottage","Marill")</f>
        <v>Marill</v>
      </c>
      <c r="D121" s="5" t="s">
        <v>8</v>
      </c>
      <c r="E121" s="5" t="s">
        <v>9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78</v>
      </c>
      <c r="C122" s="6" t="str">
        <f aca="false">HYPERLINK("https://partner.tcgplayer.com/c/6278691/1780961/21018?u=https%3A%2F%2Fwww.tcgplayer.com%2Fproduct%2F542808%3Futm_source%3Dimpact%26utm_medium%3Daffiliate%26utm_campaign%3Dpoke%2Bcottage","Marill")</f>
        <v>Marill</v>
      </c>
      <c r="D122" s="5" t="s">
        <v>8</v>
      </c>
      <c r="E122" s="5" t="s">
        <v>11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79</v>
      </c>
      <c r="C123" s="6" t="str">
        <f aca="false">HYPERLINK("https://partner.tcgplayer.com/c/6278691/1780961/21018?u=https%3A%2F%2Fwww.tcgplayer.com%2Fproduct%2F542809%3Futm_source%3Dimpact%26utm_medium%3Daffiliate%26utm_campaign%3Dpoke%2Bcottage","Azumarill")</f>
        <v>Azumarill</v>
      </c>
      <c r="D123" s="5" t="s">
        <v>8</v>
      </c>
      <c r="E123" s="5" t="s">
        <v>9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79</v>
      </c>
      <c r="C124" s="6" t="str">
        <f aca="false">HYPERLINK("https://partner.tcgplayer.com/c/6278691/1780961/21018?u=https%3A%2F%2Fwww.tcgplayer.com%2Fproduct%2F542809%3Futm_source%3Dimpact%26utm_medium%3Daffiliate%26utm_campaign%3Dpoke%2Bcottage","Azumarill")</f>
        <v>Azumarill</v>
      </c>
      <c r="D124" s="5" t="s">
        <v>8</v>
      </c>
      <c r="E124" s="5" t="s">
        <v>11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80</v>
      </c>
      <c r="C125" s="6" t="str">
        <f aca="false">HYPERLINK("https://partner.tcgplayer.com/c/6278691/1780961/21018?u=https%3A%2F%2Fwww.tcgplayer.com%2Fproduct%2F542810%3Futm_source%3Dimpact%26utm_medium%3Daffiliate%26utm_campaign%3Dpoke%2Bcottage","Girafarig")</f>
        <v>Girafarig</v>
      </c>
      <c r="D125" s="5" t="s">
        <v>8</v>
      </c>
      <c r="E125" s="5" t="s">
        <v>9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80</v>
      </c>
      <c r="C126" s="6" t="str">
        <f aca="false">HYPERLINK("https://partner.tcgplayer.com/c/6278691/1780961/21018?u=https%3A%2F%2Fwww.tcgplayer.com%2Fproduct%2F542810%3Futm_source%3Dimpact%26utm_medium%3Daffiliate%26utm_campaign%3Dpoke%2Bcottage","Girafarig")</f>
        <v>Girafarig</v>
      </c>
      <c r="D126" s="5" t="s">
        <v>8</v>
      </c>
      <c r="E126" s="5" t="s">
        <v>11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81</v>
      </c>
      <c r="C127" s="6" t="str">
        <f aca="false">HYPERLINK("https://partner.tcgplayer.com/c/6278691/1780961/21018?u=https%3A%2F%2Fwww.tcgplayer.com%2Fproduct%2F542811%3Futm_source%3Dimpact%26utm_medium%3Daffiliate%26utm_campaign%3Dpoke%2Bcottage","Latias")</f>
        <v>Latias</v>
      </c>
      <c r="D127" s="5" t="s">
        <v>16</v>
      </c>
      <c r="E127" s="5" t="s">
        <v>9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81</v>
      </c>
      <c r="C128" s="6" t="str">
        <f aca="false">HYPERLINK("https://partner.tcgplayer.com/c/6278691/1780961/21018?u=https%3A%2F%2Fwww.tcgplayer.com%2Fproduct%2F542811%3Futm_source%3Dimpact%26utm_medium%3Daffiliate%26utm_campaign%3Dpoke%2Bcottage","Latias")</f>
        <v>Latias</v>
      </c>
      <c r="D128" s="5" t="s">
        <v>16</v>
      </c>
      <c r="E128" s="5" t="s">
        <v>11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82</v>
      </c>
      <c r="C129" s="6" t="str">
        <f aca="false">HYPERLINK("https://partner.tcgplayer.com/c/6278691/1780961/21018?u=https%3A%2F%2Fwww.tcgplayer.com%2Fproduct%2F542812%3Futm_source%3Dimpact%26utm_medium%3Daffiliate%26utm_campaign%3Dpoke%2Bcottage","Bronzor")</f>
        <v>Bronzor</v>
      </c>
      <c r="D129" s="5" t="s">
        <v>8</v>
      </c>
      <c r="E129" s="5" t="s">
        <v>9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82</v>
      </c>
      <c r="C130" s="6" t="str">
        <f aca="false">HYPERLINK("https://partner.tcgplayer.com/c/6278691/1780961/21018?u=https%3A%2F%2Fwww.tcgplayer.com%2Fproduct%2F542812%3Futm_source%3Dimpact%26utm_medium%3Daffiliate%26utm_campaign%3Dpoke%2Bcottage","Bronzor")</f>
        <v>Bronzor</v>
      </c>
      <c r="D130" s="5" t="s">
        <v>8</v>
      </c>
      <c r="E130" s="5" t="s">
        <v>11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83</v>
      </c>
      <c r="C131" s="6" t="str">
        <f aca="false">HYPERLINK("https://partner.tcgplayer.com/c/6278691/1780961/21018?u=https%3A%2F%2Fwww.tcgplayer.com%2Fproduct%2F542813%3Futm_source%3Dimpact%26utm_medium%3Daffiliate%26utm_campaign%3Dpoke%2Bcottage","Bronzong")</f>
        <v>Bronzong</v>
      </c>
      <c r="D131" s="5" t="s">
        <v>16</v>
      </c>
      <c r="E131" s="5" t="s">
        <v>9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83</v>
      </c>
      <c r="C132" s="6" t="str">
        <f aca="false">HYPERLINK("https://partner.tcgplayer.com/c/6278691/1780961/21018?u=https%3A%2F%2Fwww.tcgplayer.com%2Fproduct%2F542813%3Futm_source%3Dimpact%26utm_medium%3Daffiliate%26utm_campaign%3Dpoke%2Bcottage","Bronzong")</f>
        <v>Bronzong</v>
      </c>
      <c r="D132" s="5" t="s">
        <v>16</v>
      </c>
      <c r="E132" s="5" t="s">
        <v>11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84</v>
      </c>
      <c r="C133" s="6" t="str">
        <f aca="false">HYPERLINK("https://partner.tcgplayer.com/c/6278691/1780961/21018?u=https%3A%2F%2Fwww.tcgplayer.com%2Fproduct%2F542814%3Futm_source%3Dimpact%26utm_medium%3Daffiliate%26utm_campaign%3Dpoke%2Bcottage","Solosis")</f>
        <v>Solosis</v>
      </c>
      <c r="D133" s="5" t="s">
        <v>8</v>
      </c>
      <c r="E133" s="5" t="s">
        <v>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84</v>
      </c>
      <c r="C134" s="6" t="str">
        <f aca="false">HYPERLINK("https://partner.tcgplayer.com/c/6278691/1780961/21018?u=https%3A%2F%2Fwww.tcgplayer.com%2Fproduct%2F542814%3Futm_source%3Dimpact%26utm_medium%3Daffiliate%26utm_campaign%3Dpoke%2Bcottage","Solosis")</f>
        <v>Solosis</v>
      </c>
      <c r="D134" s="5" t="s">
        <v>8</v>
      </c>
      <c r="E134" s="5" t="s">
        <v>11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85</v>
      </c>
      <c r="C135" s="6" t="str">
        <f aca="false">HYPERLINK("https://partner.tcgplayer.com/c/6278691/1780961/21018?u=https%3A%2F%2Fwww.tcgplayer.com%2Fproduct%2F542815%3Futm_source%3Dimpact%26utm_medium%3Daffiliate%26utm_campaign%3Dpoke%2Bcottage","Duosion")</f>
        <v>Duosion</v>
      </c>
      <c r="D135" s="5" t="s">
        <v>8</v>
      </c>
      <c r="E135" s="5" t="s">
        <v>9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85</v>
      </c>
      <c r="C136" s="6" t="str">
        <f aca="false">HYPERLINK("https://partner.tcgplayer.com/c/6278691/1780961/21018?u=https%3A%2F%2Fwww.tcgplayer.com%2Fproduct%2F542815%3Futm_source%3Dimpact%26utm_medium%3Daffiliate%26utm_campaign%3Dpoke%2Bcottage","Duosion")</f>
        <v>Duosion</v>
      </c>
      <c r="D136" s="5" t="s">
        <v>8</v>
      </c>
      <c r="E136" s="5" t="s">
        <v>11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86</v>
      </c>
      <c r="C137" s="6" t="str">
        <f aca="false">HYPERLINK("https://partner.tcgplayer.com/c/6278691/1780961/21018?u=https%3A%2F%2Fwww.tcgplayer.com%2Fproduct%2F542816%3Futm_source%3Dimpact%26utm_medium%3Daffiliate%26utm_campaign%3Dpoke%2Bcottage","Reuniclus")</f>
        <v>Reuniclus</v>
      </c>
      <c r="D137" s="5" t="s">
        <v>16</v>
      </c>
      <c r="E137" s="5" t="s">
        <v>9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86</v>
      </c>
      <c r="C138" s="6" t="str">
        <f aca="false">HYPERLINK("https://partner.tcgplayer.com/c/6278691/1780961/21018?u=https%3A%2F%2Fwww.tcgplayer.com%2Fproduct%2F542816%3Futm_source%3Dimpact%26utm_medium%3Daffiliate%26utm_campaign%3Dpoke%2Bcottage","Reuniclus")</f>
        <v>Reuniclus</v>
      </c>
      <c r="D138" s="5" t="s">
        <v>16</v>
      </c>
      <c r="E138" s="5" t="s">
        <v>11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87</v>
      </c>
      <c r="C139" s="6" t="str">
        <f aca="false">HYPERLINK("https://partner.tcgplayer.com/c/6278691/1780961/21018?u=https%3A%2F%2Fwww.tcgplayer.com%2Fproduct%2F542817%3Futm_source%3Dimpact%26utm_medium%3Daffiliate%26utm_campaign%3Dpoke%2Bcottage","Elgyem")</f>
        <v>Elgyem</v>
      </c>
      <c r="D139" s="5" t="s">
        <v>8</v>
      </c>
      <c r="E139" s="5" t="s">
        <v>9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87</v>
      </c>
      <c r="C140" s="6" t="str">
        <f aca="false">HYPERLINK("https://partner.tcgplayer.com/c/6278691/1780961/21018?u=https%3A%2F%2Fwww.tcgplayer.com%2Fproduct%2F542817%3Futm_source%3Dimpact%26utm_medium%3Daffiliate%26utm_campaign%3Dpoke%2Bcottage","Elgyem")</f>
        <v>Elgyem</v>
      </c>
      <c r="D140" s="5" t="s">
        <v>8</v>
      </c>
      <c r="E140" s="5" t="s">
        <v>11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88</v>
      </c>
      <c r="C141" s="6" t="str">
        <f aca="false">HYPERLINK("https://partner.tcgplayer.com/c/6278691/1780961/21018?u=https%3A%2F%2Fwww.tcgplayer.com%2Fproduct%2F542818%3Futm_source%3Dimpact%26utm_medium%3Daffiliate%26utm_campaign%3Dpoke%2Bcottage","Beheeyem")</f>
        <v>Beheeyem</v>
      </c>
      <c r="D141" s="5" t="s">
        <v>16</v>
      </c>
      <c r="E141" s="5" t="s">
        <v>9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88</v>
      </c>
      <c r="C142" s="6" t="str">
        <f aca="false">HYPERLINK("https://partner.tcgplayer.com/c/6278691/1780961/21018?u=https%3A%2F%2Fwww.tcgplayer.com%2Fproduct%2F542818%3Futm_source%3Dimpact%26utm_medium%3Daffiliate%26utm_campaign%3Dpoke%2Bcottage","Beheeyem")</f>
        <v>Beheeyem</v>
      </c>
      <c r="D142" s="5" t="s">
        <v>16</v>
      </c>
      <c r="E142" s="5" t="s">
        <v>11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89</v>
      </c>
      <c r="C143" s="6" t="str">
        <f aca="false">HYPERLINK("https://partner.tcgplayer.com/c/6278691/1780961/21018?u=https%3A%2F%2Fwww.tcgplayer.com%2Fproduct%2F542819%3Futm_source%3Dimpact%26utm_medium%3Daffiliate%26utm_campaign%3Dpoke%2Bcottage","Cutiefly")</f>
        <v>Cutiefly</v>
      </c>
      <c r="D143" s="5" t="s">
        <v>8</v>
      </c>
      <c r="E143" s="5" t="s">
        <v>9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89</v>
      </c>
      <c r="C144" s="6" t="str">
        <f aca="false">HYPERLINK("https://partner.tcgplayer.com/c/6278691/1780961/21018?u=https%3A%2F%2Fwww.tcgplayer.com%2Fproduct%2F542819%3Futm_source%3Dimpact%26utm_medium%3Daffiliate%26utm_campaign%3Dpoke%2Bcottage","Cutiefly")</f>
        <v>Cutiefly</v>
      </c>
      <c r="D144" s="5" t="s">
        <v>8</v>
      </c>
      <c r="E144" s="5" t="s">
        <v>11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90</v>
      </c>
      <c r="C145" s="6" t="str">
        <f aca="false">HYPERLINK("https://partner.tcgplayer.com/c/6278691/1780961/21018?u=https%3A%2F%2Fwww.tcgplayer.com%2Fproduct%2F542820%3Futm_source%3Dimpact%26utm_medium%3Daffiliate%26utm_campaign%3Dpoke%2Bcottage","Ribombee")</f>
        <v>Ribombee</v>
      </c>
      <c r="D145" s="5" t="s">
        <v>16</v>
      </c>
      <c r="E145" s="5" t="s">
        <v>9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90</v>
      </c>
      <c r="C146" s="6" t="str">
        <f aca="false">HYPERLINK("https://partner.tcgplayer.com/c/6278691/1780961/21018?u=https%3A%2F%2Fwww.tcgplayer.com%2Fproduct%2F542820%3Futm_source%3Dimpact%26utm_medium%3Daffiliate%26utm_campaign%3Dpoke%2Bcottage","Ribombee")</f>
        <v>Ribombee</v>
      </c>
      <c r="D146" s="5" t="s">
        <v>16</v>
      </c>
      <c r="E146" s="5" t="s">
        <v>11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91</v>
      </c>
      <c r="C147" s="6" t="str">
        <f aca="false">HYPERLINK("https://partner.tcgplayer.com/c/6278691/1780961/21018?u=https%3A%2F%2Fwww.tcgplayer.com%2Fproduct%2F542821%3Futm_source%3Dimpact%26utm_medium%3Daffiliate%26utm_campaign%3Dpoke%2Bcottage","Scream Tail")</f>
        <v>Scream Tail</v>
      </c>
      <c r="D147" s="5" t="s">
        <v>16</v>
      </c>
      <c r="E147" s="5" t="s">
        <v>9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91</v>
      </c>
      <c r="C148" s="6" t="str">
        <f aca="false">HYPERLINK("https://partner.tcgplayer.com/c/6278691/1780961/21018?u=https%3A%2F%2Fwww.tcgplayer.com%2Fproduct%2F542821%3Futm_source%3Dimpact%26utm_medium%3Daffiliate%26utm_campaign%3Dpoke%2Bcottage","Scream Tail")</f>
        <v>Scream Tail</v>
      </c>
      <c r="D148" s="5" t="s">
        <v>16</v>
      </c>
      <c r="E148" s="5" t="s">
        <v>11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92</v>
      </c>
      <c r="C149" s="6" t="str">
        <f aca="false">HYPERLINK("https://partner.tcgplayer.com/c/6278691/1780961/21018?u=https%3A%2F%2Fwww.tcgplayer.com%2Fproduct%2F542822%3Futm_source%3Dimpact%26utm_medium%3Daffiliate%26utm_campaign%3Dpoke%2Bcottage","Flutter Mane")</f>
        <v>Flutter Mane</v>
      </c>
      <c r="D149" s="5" t="s">
        <v>29</v>
      </c>
      <c r="E149" s="5" t="s">
        <v>25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92</v>
      </c>
      <c r="C150" s="6" t="str">
        <f aca="false">HYPERLINK("https://partner.tcgplayer.com/c/6278691/1780961/21018?u=https%3A%2F%2Fwww.tcgplayer.com%2Fproduct%2F542822%3Futm_source%3Dimpact%26utm_medium%3Daffiliate%26utm_campaign%3Dpoke%2Bcottage","Flutter Mane")</f>
        <v>Flutter Mane</v>
      </c>
      <c r="D150" s="5" t="s">
        <v>29</v>
      </c>
      <c r="E150" s="5" t="s">
        <v>11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93</v>
      </c>
      <c r="C151" s="6" t="str">
        <f aca="false">HYPERLINK("https://partner.tcgplayer.com/c/6278691/1780961/21018?u=https%3A%2F%2Fwww.tcgplayer.com%2Fproduct%2F542823%3Futm_source%3Dimpact%26utm_medium%3Daffiliate%26utm_campaign%3Dpoke%2Bcottage","Iron Valiant")</f>
        <v>Iron Valiant</v>
      </c>
      <c r="D151" s="5" t="s">
        <v>16</v>
      </c>
      <c r="E151" s="5" t="s">
        <v>9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93</v>
      </c>
      <c r="C152" s="6" t="str">
        <f aca="false">HYPERLINK("https://partner.tcgplayer.com/c/6278691/1780961/21018?u=https%3A%2F%2Fwww.tcgplayer.com%2Fproduct%2F542823%3Futm_source%3Dimpact%26utm_medium%3Daffiliate%26utm_campaign%3Dpoke%2Bcottage","Iron Valiant")</f>
        <v>Iron Valiant</v>
      </c>
      <c r="D152" s="5" t="s">
        <v>16</v>
      </c>
      <c r="E152" s="5" t="s">
        <v>11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94</v>
      </c>
      <c r="C153" s="6" t="str">
        <f aca="false">HYPERLINK("https://partner.tcgplayer.com/c/6278691/1780961/21018?u=https%3A%2F%2Fwww.tcgplayer.com%2Fproduct%2F542824%3Futm_source%3Dimpact%26utm_medium%3Daffiliate%26utm_campaign%3Dpoke%2Bcottage","Iron Valiant")</f>
        <v>Iron Valiant</v>
      </c>
      <c r="D153" s="5" t="s">
        <v>29</v>
      </c>
      <c r="E153" s="5" t="s">
        <v>25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94</v>
      </c>
      <c r="C154" s="6" t="str">
        <f aca="false">HYPERLINK("https://partner.tcgplayer.com/c/6278691/1780961/21018?u=https%3A%2F%2Fwww.tcgplayer.com%2Fproduct%2F542824%3Futm_source%3Dimpact%26utm_medium%3Daffiliate%26utm_campaign%3Dpoke%2Bcottage","Iron Valiant")</f>
        <v>Iron Valiant</v>
      </c>
      <c r="D154" s="5" t="s">
        <v>29</v>
      </c>
      <c r="E154" s="5" t="s">
        <v>11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95</v>
      </c>
      <c r="C155" s="6" t="str">
        <f aca="false">HYPERLINK("https://partner.tcgplayer.com/c/6278691/1780961/21018?u=https%3A%2F%2Fwww.tcgplayer.com%2Fproduct%2F542825%3Futm_source%3Dimpact%26utm_medium%3Daffiliate%26utm_campaign%3Dpoke%2Bcottage","Iron Crown ex")</f>
        <v>Iron Crown ex</v>
      </c>
      <c r="D155" s="5" t="s">
        <v>24</v>
      </c>
      <c r="E155" s="5" t="s">
        <v>25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96</v>
      </c>
      <c r="C156" s="6" t="str">
        <f aca="false">HYPERLINK("https://partner.tcgplayer.com/c/6278691/1780961/21018?u=https%3A%2F%2Fwww.tcgplayer.com%2Fproduct%2F542826%3Futm_source%3Dimpact%26utm_medium%3Daffiliate%26utm_campaign%3Dpoke%2Bcottage","Meditite")</f>
        <v>Meditite</v>
      </c>
      <c r="D156" s="5" t="s">
        <v>8</v>
      </c>
      <c r="E156" s="5" t="s">
        <v>9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96</v>
      </c>
      <c r="C157" s="6" t="str">
        <f aca="false">HYPERLINK("https://partner.tcgplayer.com/c/6278691/1780961/21018?u=https%3A%2F%2Fwww.tcgplayer.com%2Fproduct%2F542826%3Futm_source%3Dimpact%26utm_medium%3Daffiliate%26utm_campaign%3Dpoke%2Bcottage","Meditite")</f>
        <v>Meditite</v>
      </c>
      <c r="D157" s="5" t="s">
        <v>8</v>
      </c>
      <c r="E157" s="5" t="s">
        <v>11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97</v>
      </c>
      <c r="C158" s="6" t="str">
        <f aca="false">HYPERLINK("https://partner.tcgplayer.com/c/6278691/1780961/21018?u=https%3A%2F%2Fwww.tcgplayer.com%2Fproduct%2F542827%3Futm_source%3Dimpact%26utm_medium%3Daffiliate%26utm_campaign%3Dpoke%2Bcottage","Medicham")</f>
        <v>Medicham</v>
      </c>
      <c r="D158" s="5" t="s">
        <v>8</v>
      </c>
      <c r="E158" s="5" t="s">
        <v>9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97</v>
      </c>
      <c r="C159" s="6" t="str">
        <f aca="false">HYPERLINK("https://partner.tcgplayer.com/c/6278691/1780961/21018?u=https%3A%2F%2Fwww.tcgplayer.com%2Fproduct%2F542827%3Futm_source%3Dimpact%26utm_medium%3Daffiliate%26utm_campaign%3Dpoke%2Bcottage","Medicham")</f>
        <v>Medicham</v>
      </c>
      <c r="D159" s="5" t="s">
        <v>8</v>
      </c>
      <c r="E159" s="5" t="s">
        <v>11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98</v>
      </c>
      <c r="C160" s="6" t="str">
        <f aca="false">HYPERLINK("https://partner.tcgplayer.com/c/6278691/1780961/21018?u=https%3A%2F%2Fwww.tcgplayer.com%2Fproduct%2F542828%3Futm_source%3Dimpact%26utm_medium%3Daffiliate%26utm_campaign%3Dpoke%2Bcottage","Relicanth")</f>
        <v>Relicanth</v>
      </c>
      <c r="D160" s="5" t="s">
        <v>29</v>
      </c>
      <c r="E160" s="5" t="s">
        <v>25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98</v>
      </c>
      <c r="C161" s="6" t="str">
        <f aca="false">HYPERLINK("https://partner.tcgplayer.com/c/6278691/1780961/21018?u=https%3A%2F%2Fwww.tcgplayer.com%2Fproduct%2F542828%3Futm_source%3Dimpact%26utm_medium%3Daffiliate%26utm_campaign%3Dpoke%2Bcottage","Relicanth")</f>
        <v>Relicanth</v>
      </c>
      <c r="D161" s="5" t="s">
        <v>29</v>
      </c>
      <c r="E161" s="5" t="s">
        <v>11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99</v>
      </c>
      <c r="C162" s="6" t="str">
        <f aca="false">HYPERLINK("https://partner.tcgplayer.com/c/6278691/1780961/21018?u=https%3A%2F%2Fwww.tcgplayer.com%2Fproduct%2F542829%3Futm_source%3Dimpact%26utm_medium%3Daffiliate%26utm_campaign%3Dpoke%2Bcottage","Drilbur")</f>
        <v>Drilbur</v>
      </c>
      <c r="D162" s="5" t="s">
        <v>8</v>
      </c>
      <c r="E162" s="5" t="s">
        <v>9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99</v>
      </c>
      <c r="C163" s="6" t="str">
        <f aca="false">HYPERLINK("https://partner.tcgplayer.com/c/6278691/1780961/21018?u=https%3A%2F%2Fwww.tcgplayer.com%2Fproduct%2F542829%3Futm_source%3Dimpact%26utm_medium%3Daffiliate%26utm_campaign%3Dpoke%2Bcottage","Drilbur")</f>
        <v>Drilbur</v>
      </c>
      <c r="D163" s="5" t="s">
        <v>8</v>
      </c>
      <c r="E163" s="5" t="s">
        <v>11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100</v>
      </c>
      <c r="C164" s="6" t="str">
        <f aca="false">HYPERLINK("https://partner.tcgplayer.com/c/6278691/1780961/21018?u=https%3A%2F%2Fwww.tcgplayer.com%2Fproduct%2F542830%3Futm_source%3Dimpact%26utm_medium%3Daffiliate%26utm_campaign%3Dpoke%2Bcottage","Excadrill")</f>
        <v>Excadrill</v>
      </c>
      <c r="D164" s="5" t="s">
        <v>16</v>
      </c>
      <c r="E164" s="5" t="s">
        <v>9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100</v>
      </c>
      <c r="C165" s="6" t="str">
        <f aca="false">HYPERLINK("https://partner.tcgplayer.com/c/6278691/1780961/21018?u=https%3A%2F%2Fwww.tcgplayer.com%2Fproduct%2F542830%3Futm_source%3Dimpact%26utm_medium%3Daffiliate%26utm_campaign%3Dpoke%2Bcottage","Excadrill")</f>
        <v>Excadrill</v>
      </c>
      <c r="D165" s="5" t="s">
        <v>16</v>
      </c>
      <c r="E165" s="5" t="s">
        <v>11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101</v>
      </c>
      <c r="C166" s="6" t="str">
        <f aca="false">HYPERLINK("https://partner.tcgplayer.com/c/6278691/1780961/21018?u=https%3A%2F%2Fwww.tcgplayer.com%2Fproduct%2F542831%3Futm_source%3Dimpact%26utm_medium%3Daffiliate%26utm_campaign%3Dpoke%2Bcottage","Golett")</f>
        <v>Golett</v>
      </c>
      <c r="D166" s="5" t="s">
        <v>8</v>
      </c>
      <c r="E166" s="5" t="s">
        <v>9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101</v>
      </c>
      <c r="C167" s="6" t="str">
        <f aca="false">HYPERLINK("https://partner.tcgplayer.com/c/6278691/1780961/21018?u=https%3A%2F%2Fwww.tcgplayer.com%2Fproduct%2F542831%3Futm_source%3Dimpact%26utm_medium%3Daffiliate%26utm_campaign%3Dpoke%2Bcottage","Golett")</f>
        <v>Golett</v>
      </c>
      <c r="D167" s="5" t="s">
        <v>8</v>
      </c>
      <c r="E167" s="5" t="s">
        <v>11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102</v>
      </c>
      <c r="C168" s="6" t="str">
        <f aca="false">HYPERLINK("https://partner.tcgplayer.com/c/6278691/1780961/21018?u=https%3A%2F%2Fwww.tcgplayer.com%2Fproduct%2F542832%3Futm_source%3Dimpact%26utm_medium%3Daffiliate%26utm_campaign%3Dpoke%2Bcottage","Golurk")</f>
        <v>Golurk</v>
      </c>
      <c r="D168" s="5" t="s">
        <v>16</v>
      </c>
      <c r="E168" s="5" t="s">
        <v>9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102</v>
      </c>
      <c r="C169" s="6" t="str">
        <f aca="false">HYPERLINK("https://partner.tcgplayer.com/c/6278691/1780961/21018?u=https%3A%2F%2Fwww.tcgplayer.com%2Fproduct%2F542832%3Futm_source%3Dimpact%26utm_medium%3Daffiliate%26utm_campaign%3Dpoke%2Bcottage","Golurk")</f>
        <v>Golurk</v>
      </c>
      <c r="D169" s="5" t="s">
        <v>16</v>
      </c>
      <c r="E169" s="5" t="s">
        <v>11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103</v>
      </c>
      <c r="C170" s="6" t="str">
        <f aca="false">HYPERLINK("https://partner.tcgplayer.com/c/6278691/1780961/21018?u=https%3A%2F%2Fwww.tcgplayer.com%2Fproduct%2F542833%3Futm_source%3Dimpact%26utm_medium%3Daffiliate%26utm_campaign%3Dpoke%2Bcottage","Rockruff")</f>
        <v>Rockruff</v>
      </c>
      <c r="D170" s="5" t="s">
        <v>8</v>
      </c>
      <c r="E170" s="5" t="s">
        <v>9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103</v>
      </c>
      <c r="C171" s="6" t="str">
        <f aca="false">HYPERLINK("https://partner.tcgplayer.com/c/6278691/1780961/21018?u=https%3A%2F%2Fwww.tcgplayer.com%2Fproduct%2F542833%3Futm_source%3Dimpact%26utm_medium%3Daffiliate%26utm_campaign%3Dpoke%2Bcottage","Rockruff")</f>
        <v>Rockruff</v>
      </c>
      <c r="D171" s="5" t="s">
        <v>8</v>
      </c>
      <c r="E171" s="5" t="s">
        <v>11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104</v>
      </c>
      <c r="C172" s="6" t="str">
        <f aca="false">HYPERLINK("https://partner.tcgplayer.com/c/6278691/1780961/21018?u=https%3A%2F%2Fwww.tcgplayer.com%2Fproduct%2F542834%3Futm_source%3Dimpact%26utm_medium%3Daffiliate%26utm_campaign%3Dpoke%2Bcottage","Lycanroc")</f>
        <v>Lycanroc</v>
      </c>
      <c r="D172" s="5" t="s">
        <v>16</v>
      </c>
      <c r="E172" s="5" t="s">
        <v>9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104</v>
      </c>
      <c r="C173" s="6" t="str">
        <f aca="false">HYPERLINK("https://partner.tcgplayer.com/c/6278691/1780961/21018?u=https%3A%2F%2Fwww.tcgplayer.com%2Fproduct%2F542834%3Futm_source%3Dimpact%26utm_medium%3Daffiliate%26utm_campaign%3Dpoke%2Bcottage","Lycanroc")</f>
        <v>Lycanroc</v>
      </c>
      <c r="D173" s="5" t="s">
        <v>16</v>
      </c>
      <c r="E173" s="5" t="s">
        <v>11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105</v>
      </c>
      <c r="C174" s="6" t="str">
        <f aca="false">HYPERLINK("https://partner.tcgplayer.com/c/6278691/1780961/21018?u=https%3A%2F%2Fwww.tcgplayer.com%2Fproduct%2F542835%3Futm_source%3Dimpact%26utm_medium%3Daffiliate%26utm_campaign%3Dpoke%2Bcottage","Mudbray")</f>
        <v>Mudbray</v>
      </c>
      <c r="D174" s="5" t="s">
        <v>8</v>
      </c>
      <c r="E174" s="5" t="s">
        <v>9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105</v>
      </c>
      <c r="C175" s="6" t="str">
        <f aca="false">HYPERLINK("https://partner.tcgplayer.com/c/6278691/1780961/21018?u=https%3A%2F%2Fwww.tcgplayer.com%2Fproduct%2F542835%3Futm_source%3Dimpact%26utm_medium%3Daffiliate%26utm_campaign%3Dpoke%2Bcottage","Mudbray")</f>
        <v>Mudbray</v>
      </c>
      <c r="D175" s="5" t="s">
        <v>8</v>
      </c>
      <c r="E175" s="5" t="s">
        <v>11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106</v>
      </c>
      <c r="C176" s="6" t="str">
        <f aca="false">HYPERLINK("https://partner.tcgplayer.com/c/6278691/1780961/21018?u=https%3A%2F%2Fwww.tcgplayer.com%2Fproduct%2F542836%3Futm_source%3Dimpact%26utm_medium%3Daffiliate%26utm_campaign%3Dpoke%2Bcottage","Mudsdale")</f>
        <v>Mudsdale</v>
      </c>
      <c r="D176" s="5" t="s">
        <v>16</v>
      </c>
      <c r="E176" s="5" t="s">
        <v>9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106</v>
      </c>
      <c r="C177" s="6" t="str">
        <f aca="false">HYPERLINK("https://partner.tcgplayer.com/c/6278691/1780961/21018?u=https%3A%2F%2Fwww.tcgplayer.com%2Fproduct%2F542836%3Futm_source%3Dimpact%26utm_medium%3Daffiliate%26utm_campaign%3Dpoke%2Bcottage","Mudsdale")</f>
        <v>Mudsdale</v>
      </c>
      <c r="D177" s="5" t="s">
        <v>16</v>
      </c>
      <c r="E177" s="5" t="s">
        <v>11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107</v>
      </c>
      <c r="C178" s="6" t="str">
        <f aca="false">HYPERLINK("https://partner.tcgplayer.com/c/6278691/1780961/21018?u=https%3A%2F%2Fwww.tcgplayer.com%2Fproduct%2F542837%3Futm_source%3Dimpact%26utm_medium%3Daffiliate%26utm_campaign%3Dpoke%2Bcottage","Rolycoly")</f>
        <v>Rolycoly</v>
      </c>
      <c r="D178" s="5" t="s">
        <v>8</v>
      </c>
      <c r="E178" s="5" t="s">
        <v>9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107</v>
      </c>
      <c r="C179" s="6" t="str">
        <f aca="false">HYPERLINK("https://partner.tcgplayer.com/c/6278691/1780961/21018?u=https%3A%2F%2Fwww.tcgplayer.com%2Fproduct%2F542837%3Futm_source%3Dimpact%26utm_medium%3Daffiliate%26utm_campaign%3Dpoke%2Bcottage","Rolycoly")</f>
        <v>Rolycoly</v>
      </c>
      <c r="D179" s="5" t="s">
        <v>8</v>
      </c>
      <c r="E179" s="5" t="s">
        <v>11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108</v>
      </c>
      <c r="C180" s="6" t="str">
        <f aca="false">HYPERLINK("https://partner.tcgplayer.com/c/6278691/1780961/21018?u=https%3A%2F%2Fwww.tcgplayer.com%2Fproduct%2F542838%3Futm_source%3Dimpact%26utm_medium%3Daffiliate%26utm_campaign%3Dpoke%2Bcottage","Carkol")</f>
        <v>Carkol</v>
      </c>
      <c r="D180" s="5" t="s">
        <v>8</v>
      </c>
      <c r="E180" s="5" t="s">
        <v>9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108</v>
      </c>
      <c r="C181" s="6" t="str">
        <f aca="false">HYPERLINK("https://partner.tcgplayer.com/c/6278691/1780961/21018?u=https%3A%2F%2Fwww.tcgplayer.com%2Fproduct%2F542838%3Futm_source%3Dimpact%26utm_medium%3Daffiliate%26utm_campaign%3Dpoke%2Bcottage","Carkol")</f>
        <v>Carkol</v>
      </c>
      <c r="D181" s="5" t="s">
        <v>8</v>
      </c>
      <c r="E181" s="5" t="s">
        <v>11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109</v>
      </c>
      <c r="C182" s="6" t="str">
        <f aca="false">HYPERLINK("https://partner.tcgplayer.com/c/6278691/1780961/21018?u=https%3A%2F%2Fwww.tcgplayer.com%2Fproduct%2F542839%3Futm_source%3Dimpact%26utm_medium%3Daffiliate%26utm_campaign%3Dpoke%2Bcottage","Coalossal")</f>
        <v>Coalossal</v>
      </c>
      <c r="D182" s="5" t="s">
        <v>16</v>
      </c>
      <c r="E182" s="5" t="s">
        <v>9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109</v>
      </c>
      <c r="C183" s="6" t="str">
        <f aca="false">HYPERLINK("https://partner.tcgplayer.com/c/6278691/1780961/21018?u=https%3A%2F%2Fwww.tcgplayer.com%2Fproduct%2F542839%3Futm_source%3Dimpact%26utm_medium%3Daffiliate%26utm_campaign%3Dpoke%2Bcottage","Coalossal")</f>
        <v>Coalossal</v>
      </c>
      <c r="D183" s="5" t="s">
        <v>16</v>
      </c>
      <c r="E183" s="5" t="s">
        <v>11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110</v>
      </c>
      <c r="C184" s="6" t="str">
        <f aca="false">HYPERLINK("https://partner.tcgplayer.com/c/6278691/1780961/21018?u=https%3A%2F%2Fwww.tcgplayer.com%2Fproduct%2F542840%3Futm_source%3Dimpact%26utm_medium%3Daffiliate%26utm_campaign%3Dpoke%2Bcottage","Great Tusk")</f>
        <v>Great Tusk</v>
      </c>
      <c r="D184" s="5" t="s">
        <v>16</v>
      </c>
      <c r="E184" s="5" t="s">
        <v>9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110</v>
      </c>
      <c r="C185" s="6" t="str">
        <f aca="false">HYPERLINK("https://partner.tcgplayer.com/c/6278691/1780961/21018?u=https%3A%2F%2Fwww.tcgplayer.com%2Fproduct%2F542840%3Futm_source%3Dimpact%26utm_medium%3Daffiliate%26utm_campaign%3Dpoke%2Bcottage","Great Tusk")</f>
        <v>Great Tusk</v>
      </c>
      <c r="D185" s="5" t="s">
        <v>16</v>
      </c>
      <c r="E185" s="5" t="s">
        <v>11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111</v>
      </c>
      <c r="C186" s="6" t="str">
        <f aca="false">HYPERLINK("https://partner.tcgplayer.com/c/6278691/1780961/21018?u=https%3A%2F%2Fwww.tcgplayer.com%2Fproduct%2F542841%3Futm_source%3Dimpact%26utm_medium%3Daffiliate%26utm_campaign%3Dpoke%2Bcottage","Great Tusk")</f>
        <v>Great Tusk</v>
      </c>
      <c r="D186" s="5" t="s">
        <v>16</v>
      </c>
      <c r="E186" s="5" t="s">
        <v>9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111</v>
      </c>
      <c r="C187" s="6" t="str">
        <f aca="false">HYPERLINK("https://partner.tcgplayer.com/c/6278691/1780961/21018?u=https%3A%2F%2Fwww.tcgplayer.com%2Fproduct%2F542841%3Futm_source%3Dimpact%26utm_medium%3Daffiliate%26utm_campaign%3Dpoke%2Bcottage","Great Tusk")</f>
        <v>Great Tusk</v>
      </c>
      <c r="D187" s="5" t="s">
        <v>16</v>
      </c>
      <c r="E187" s="5" t="s">
        <v>11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112</v>
      </c>
      <c r="C188" s="6" t="str">
        <f aca="false">HYPERLINK("https://partner.tcgplayer.com/c/6278691/1780961/21018?u=https%3A%2F%2Fwww.tcgplayer.com%2Fproduct%2F542842%3Futm_source%3Dimpact%26utm_medium%3Daffiliate%26utm_campaign%3Dpoke%2Bcottage","Sandy Shocks")</f>
        <v>Sandy Shocks</v>
      </c>
      <c r="D188" s="5" t="s">
        <v>16</v>
      </c>
      <c r="E188" s="5" t="s">
        <v>9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112</v>
      </c>
      <c r="C189" s="6" t="str">
        <f aca="false">HYPERLINK("https://partner.tcgplayer.com/c/6278691/1780961/21018?u=https%3A%2F%2Fwww.tcgplayer.com%2Fproduct%2F542842%3Futm_source%3Dimpact%26utm_medium%3Daffiliate%26utm_campaign%3Dpoke%2Bcottage","Sandy Shocks")</f>
        <v>Sandy Shocks</v>
      </c>
      <c r="D189" s="5" t="s">
        <v>16</v>
      </c>
      <c r="E189" s="5" t="s">
        <v>11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113</v>
      </c>
      <c r="C190" s="6" t="str">
        <f aca="false">HYPERLINK("https://partner.tcgplayer.com/c/6278691/1780961/21018?u=https%3A%2F%2Fwww.tcgplayer.com%2Fproduct%2F542843%3Futm_source%3Dimpact%26utm_medium%3Daffiliate%26utm_campaign%3Dpoke%2Bcottage","Iron Boulder ex")</f>
        <v>Iron Boulder ex</v>
      </c>
      <c r="D190" s="5" t="s">
        <v>24</v>
      </c>
      <c r="E190" s="5" t="s">
        <v>25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114</v>
      </c>
      <c r="C191" s="6" t="str">
        <f aca="false">HYPERLINK("https://partner.tcgplayer.com/c/6278691/1780961/21018?u=https%3A%2F%2Fwww.tcgplayer.com%2Fproduct%2F542844%3Futm_source%3Dimpact%26utm_medium%3Daffiliate%26utm_campaign%3Dpoke%2Bcottage","Ekans")</f>
        <v>Ekans</v>
      </c>
      <c r="D191" s="5" t="s">
        <v>8</v>
      </c>
      <c r="E191" s="5" t="s">
        <v>9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114</v>
      </c>
      <c r="C192" s="6" t="str">
        <f aca="false">HYPERLINK("https://partner.tcgplayer.com/c/6278691/1780961/21018?u=https%3A%2F%2Fwww.tcgplayer.com%2Fproduct%2F542844%3Futm_source%3Dimpact%26utm_medium%3Daffiliate%26utm_campaign%3Dpoke%2Bcottage","Ekans")</f>
        <v>Ekans</v>
      </c>
      <c r="D192" s="5" t="s">
        <v>8</v>
      </c>
      <c r="E192" s="5" t="s">
        <v>11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115</v>
      </c>
      <c r="C193" s="6" t="str">
        <f aca="false">HYPERLINK("https://partner.tcgplayer.com/c/6278691/1780961/21018?u=https%3A%2F%2Fwww.tcgplayer.com%2Fproduct%2F542845%3Futm_source%3Dimpact%26utm_medium%3Daffiliate%26utm_campaign%3Dpoke%2Bcottage","Arbok")</f>
        <v>Arbok</v>
      </c>
      <c r="D193" s="5" t="s">
        <v>8</v>
      </c>
      <c r="E193" s="5" t="s">
        <v>9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115</v>
      </c>
      <c r="C194" s="6" t="str">
        <f aca="false">HYPERLINK("https://partner.tcgplayer.com/c/6278691/1780961/21018?u=https%3A%2F%2Fwww.tcgplayer.com%2Fproduct%2F542845%3Futm_source%3Dimpact%26utm_medium%3Daffiliate%26utm_campaign%3Dpoke%2Bcottage","Arbok")</f>
        <v>Arbok</v>
      </c>
      <c r="D194" s="5" t="s">
        <v>8</v>
      </c>
      <c r="E194" s="5" t="s">
        <v>11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116</v>
      </c>
      <c r="C195" s="6" t="str">
        <f aca="false">HYPERLINK("https://partner.tcgplayer.com/c/6278691/1780961/21018?u=https%3A%2F%2Fwww.tcgplayer.com%2Fproduct%2F542846%3Futm_source%3Dimpact%26utm_medium%3Daffiliate%26utm_campaign%3Dpoke%2Bcottage","Gastly")</f>
        <v>Gastly</v>
      </c>
      <c r="D195" s="5" t="s">
        <v>8</v>
      </c>
      <c r="E195" s="5" t="s">
        <v>9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116</v>
      </c>
      <c r="C196" s="6" t="str">
        <f aca="false">HYPERLINK("https://partner.tcgplayer.com/c/6278691/1780961/21018?u=https%3A%2F%2Fwww.tcgplayer.com%2Fproduct%2F542846%3Futm_source%3Dimpact%26utm_medium%3Daffiliate%26utm_campaign%3Dpoke%2Bcottage","Gastly")</f>
        <v>Gastly</v>
      </c>
      <c r="D196" s="5" t="s">
        <v>8</v>
      </c>
      <c r="E196" s="5" t="s">
        <v>11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117</v>
      </c>
      <c r="C197" s="6" t="str">
        <f aca="false">HYPERLINK("https://partner.tcgplayer.com/c/6278691/1780961/21018?u=https%3A%2F%2Fwww.tcgplayer.com%2Fproduct%2F542847%3Futm_source%3Dimpact%26utm_medium%3Daffiliate%26utm_campaign%3Dpoke%2Bcottage","Haunter")</f>
        <v>Haunter</v>
      </c>
      <c r="D197" s="5" t="s">
        <v>8</v>
      </c>
      <c r="E197" s="5" t="s">
        <v>9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117</v>
      </c>
      <c r="C198" s="6" t="str">
        <f aca="false">HYPERLINK("https://partner.tcgplayer.com/c/6278691/1780961/21018?u=https%3A%2F%2Fwww.tcgplayer.com%2Fproduct%2F542847%3Futm_source%3Dimpact%26utm_medium%3Daffiliate%26utm_campaign%3Dpoke%2Bcottage","Haunter")</f>
        <v>Haunter</v>
      </c>
      <c r="D198" s="5" t="s">
        <v>8</v>
      </c>
      <c r="E198" s="5" t="s">
        <v>11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118</v>
      </c>
      <c r="C199" s="6" t="str">
        <f aca="false">HYPERLINK("https://partner.tcgplayer.com/c/6278691/1780961/21018?u=https%3A%2F%2Fwww.tcgplayer.com%2Fproduct%2F542848%3Futm_source%3Dimpact%26utm_medium%3Daffiliate%26utm_campaign%3Dpoke%2Bcottage","Gengar ex")</f>
        <v>Gengar ex</v>
      </c>
      <c r="D199" s="5" t="s">
        <v>24</v>
      </c>
      <c r="E199" s="5" t="s">
        <v>25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119</v>
      </c>
      <c r="C200" s="6" t="str">
        <f aca="false">HYPERLINK("https://partner.tcgplayer.com/c/6278691/1780961/21018?u=https%3A%2F%2Fwww.tcgplayer.com%2Fproduct%2F542849%3Futm_source%3Dimpact%26utm_medium%3Daffiliate%26utm_campaign%3Dpoke%2Bcottage","Poochyena")</f>
        <v>Poochyena</v>
      </c>
      <c r="D200" s="5" t="s">
        <v>8</v>
      </c>
      <c r="E200" s="5" t="s">
        <v>9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119</v>
      </c>
      <c r="C201" s="6" t="str">
        <f aca="false">HYPERLINK("https://partner.tcgplayer.com/c/6278691/1780961/21018?u=https%3A%2F%2Fwww.tcgplayer.com%2Fproduct%2F542849%3Futm_source%3Dimpact%26utm_medium%3Daffiliate%26utm_campaign%3Dpoke%2Bcottage","Poochyena")</f>
        <v>Poochyena</v>
      </c>
      <c r="D201" s="5" t="s">
        <v>8</v>
      </c>
      <c r="E201" s="5" t="s">
        <v>11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120</v>
      </c>
      <c r="C202" s="6" t="str">
        <f aca="false">HYPERLINK("https://partner.tcgplayer.com/c/6278691/1780961/21018?u=https%3A%2F%2Fwww.tcgplayer.com%2Fproduct%2F542850%3Futm_source%3Dimpact%26utm_medium%3Daffiliate%26utm_campaign%3Dpoke%2Bcottage","Mightyena")</f>
        <v>Mightyena</v>
      </c>
      <c r="D202" s="5" t="s">
        <v>8</v>
      </c>
      <c r="E202" s="5" t="s">
        <v>9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120</v>
      </c>
      <c r="C203" s="6" t="str">
        <f aca="false">HYPERLINK("https://partner.tcgplayer.com/c/6278691/1780961/21018?u=https%3A%2F%2Fwww.tcgplayer.com%2Fproduct%2F542850%3Futm_source%3Dimpact%26utm_medium%3Daffiliate%26utm_campaign%3Dpoke%2Bcottage","Mightyena")</f>
        <v>Mightyena</v>
      </c>
      <c r="D203" s="5" t="s">
        <v>8</v>
      </c>
      <c r="E203" s="5" t="s">
        <v>11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121</v>
      </c>
      <c r="C204" s="6" t="str">
        <f aca="false">HYPERLINK("https://partner.tcgplayer.com/c/6278691/1780961/21018?u=https%3A%2F%2Fwww.tcgplayer.com%2Fproduct%2F542851%3Futm_source%3Dimpact%26utm_medium%3Daffiliate%26utm_campaign%3Dpoke%2Bcottage","Sableye")</f>
        <v>Sableye</v>
      </c>
      <c r="D204" s="5" t="s">
        <v>16</v>
      </c>
      <c r="E204" s="5" t="s">
        <v>9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121</v>
      </c>
      <c r="C205" s="6" t="str">
        <f aca="false">HYPERLINK("https://partner.tcgplayer.com/c/6278691/1780961/21018?u=https%3A%2F%2Fwww.tcgplayer.com%2Fproduct%2F542851%3Futm_source%3Dimpact%26utm_medium%3Daffiliate%26utm_campaign%3Dpoke%2Bcottage","Sableye")</f>
        <v>Sableye</v>
      </c>
      <c r="D205" s="5" t="s">
        <v>16</v>
      </c>
      <c r="E205" s="5" t="s">
        <v>11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122</v>
      </c>
      <c r="C206" s="6" t="str">
        <f aca="false">HYPERLINK("https://partner.tcgplayer.com/c/6278691/1780961/21018?u=https%3A%2F%2Fwww.tcgplayer.com%2Fproduct%2F542852%3Futm_source%3Dimpact%26utm_medium%3Daffiliate%26utm_campaign%3Dpoke%2Bcottage","Farigiraf ex")</f>
        <v>Farigiraf ex</v>
      </c>
      <c r="D206" s="5" t="s">
        <v>24</v>
      </c>
      <c r="E206" s="5" t="s">
        <v>25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123</v>
      </c>
      <c r="C207" s="6" t="str">
        <f aca="false">HYPERLINK("https://partner.tcgplayer.com/c/6278691/1780961/21018?u=https%3A%2F%2Fwww.tcgplayer.com%2Fproduct%2F542853%3Futm_source%3Dimpact%26utm_medium%3Daffiliate%26utm_campaign%3Dpoke%2Bcottage","Roaring Moon")</f>
        <v>Roaring Moon</v>
      </c>
      <c r="D207" s="5" t="s">
        <v>29</v>
      </c>
      <c r="E207" s="5" t="s">
        <v>25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123</v>
      </c>
      <c r="C208" s="6" t="str">
        <f aca="false">HYPERLINK("https://partner.tcgplayer.com/c/6278691/1780961/21018?u=https%3A%2F%2Fwww.tcgplayer.com%2Fproduct%2F542853%3Futm_source%3Dimpact%26utm_medium%3Daffiliate%26utm_campaign%3Dpoke%2Bcottage","Roaring Moon")</f>
        <v>Roaring Moon</v>
      </c>
      <c r="D208" s="5" t="s">
        <v>29</v>
      </c>
      <c r="E208" s="5" t="s">
        <v>11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124</v>
      </c>
      <c r="C209" s="6" t="str">
        <f aca="false">HYPERLINK("https://partner.tcgplayer.com/c/6278691/1780961/21018?u=https%3A%2F%2Fwww.tcgplayer.com%2Fproduct%2F542854%3Futm_source%3Dimpact%26utm_medium%3Daffiliate%26utm_campaign%3Dpoke%2Bcottage","Forretress")</f>
        <v>Forretress</v>
      </c>
      <c r="D209" s="5" t="s">
        <v>16</v>
      </c>
      <c r="E209" s="5" t="s">
        <v>9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124</v>
      </c>
      <c r="C210" s="6" t="str">
        <f aca="false">HYPERLINK("https://partner.tcgplayer.com/c/6278691/1780961/21018?u=https%3A%2F%2Fwww.tcgplayer.com%2Fproduct%2F542854%3Futm_source%3Dimpact%26utm_medium%3Daffiliate%26utm_campaign%3Dpoke%2Bcottage","Forretress")</f>
        <v>Forretress</v>
      </c>
      <c r="D210" s="5" t="s">
        <v>16</v>
      </c>
      <c r="E210" s="5" t="s">
        <v>11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125</v>
      </c>
      <c r="C211" s="6" t="str">
        <f aca="false">HYPERLINK("https://partner.tcgplayer.com/c/6278691/1780961/21018?u=https%3A%2F%2Fwww.tcgplayer.com%2Fproduct%2F542855%3Futm_source%3Dimpact%26utm_medium%3Daffiliate%26utm_campaign%3Dpoke%2Bcottage","Scizor ex")</f>
        <v>Scizor ex</v>
      </c>
      <c r="D211" s="5" t="s">
        <v>24</v>
      </c>
      <c r="E211" s="5" t="s">
        <v>25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126</v>
      </c>
      <c r="C212" s="6" t="str">
        <f aca="false">HYPERLINK("https://partner.tcgplayer.com/c/6278691/1780961/21018?u=https%3A%2F%2Fwww.tcgplayer.com%2Fproduct%2F542856%3Futm_source%3Dimpact%26utm_medium%3Daffiliate%26utm_campaign%3Dpoke%2Bcottage","Mawile")</f>
        <v>Mawile</v>
      </c>
      <c r="D212" s="5" t="s">
        <v>8</v>
      </c>
      <c r="E212" s="5" t="s">
        <v>9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126</v>
      </c>
      <c r="C213" s="6" t="str">
        <f aca="false">HYPERLINK("https://partner.tcgplayer.com/c/6278691/1780961/21018?u=https%3A%2F%2Fwww.tcgplayer.com%2Fproduct%2F542856%3Futm_source%3Dimpact%26utm_medium%3Daffiliate%26utm_campaign%3Dpoke%2Bcottage","Mawile")</f>
        <v>Mawile</v>
      </c>
      <c r="D213" s="5" t="s">
        <v>8</v>
      </c>
      <c r="E213" s="5" t="s">
        <v>11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127</v>
      </c>
      <c r="C214" s="6" t="str">
        <f aca="false">HYPERLINK("https://partner.tcgplayer.com/c/6278691/1780961/21018?u=https%3A%2F%2Fwww.tcgplayer.com%2Fproduct%2F542857%3Futm_source%3Dimpact%26utm_medium%3Daffiliate%26utm_campaign%3Dpoke%2Bcottage","Beldum")</f>
        <v>Beldum</v>
      </c>
      <c r="D214" s="5" t="s">
        <v>8</v>
      </c>
      <c r="E214" s="5" t="s">
        <v>9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127</v>
      </c>
      <c r="C215" s="6" t="str">
        <f aca="false">HYPERLINK("https://partner.tcgplayer.com/c/6278691/1780961/21018?u=https%3A%2F%2Fwww.tcgplayer.com%2Fproduct%2F542857%3Futm_source%3Dimpact%26utm_medium%3Daffiliate%26utm_campaign%3Dpoke%2Bcottage","Beldum")</f>
        <v>Beldum</v>
      </c>
      <c r="D215" s="5" t="s">
        <v>8</v>
      </c>
      <c r="E215" s="5" t="s">
        <v>11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128</v>
      </c>
      <c r="C216" s="6" t="str">
        <f aca="false">HYPERLINK("https://partner.tcgplayer.com/c/6278691/1780961/21018?u=https%3A%2F%2Fwww.tcgplayer.com%2Fproduct%2F542858%3Futm_source%3Dimpact%26utm_medium%3Daffiliate%26utm_campaign%3Dpoke%2Bcottage","Metang")</f>
        <v>Metang</v>
      </c>
      <c r="D216" s="5" t="s">
        <v>8</v>
      </c>
      <c r="E216" s="5" t="s">
        <v>9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128</v>
      </c>
      <c r="C217" s="6" t="str">
        <f aca="false">HYPERLINK("https://partner.tcgplayer.com/c/6278691/1780961/21018?u=https%3A%2F%2Fwww.tcgplayer.com%2Fproduct%2F542858%3Futm_source%3Dimpact%26utm_medium%3Daffiliate%26utm_campaign%3Dpoke%2Bcottage","Metang")</f>
        <v>Metang</v>
      </c>
      <c r="D217" s="5" t="s">
        <v>8</v>
      </c>
      <c r="E217" s="5" t="s">
        <v>11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129</v>
      </c>
      <c r="C218" s="6" t="str">
        <f aca="false">HYPERLINK("https://partner.tcgplayer.com/c/6278691/1780961/21018?u=https%3A%2F%2Fwww.tcgplayer.com%2Fproduct%2F542859%3Futm_source%3Dimpact%26utm_medium%3Daffiliate%26utm_campaign%3Dpoke%2Bcottage","Metagross")</f>
        <v>Metagross</v>
      </c>
      <c r="D218" s="5" t="s">
        <v>16</v>
      </c>
      <c r="E218" s="5" t="s">
        <v>9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129</v>
      </c>
      <c r="C219" s="6" t="str">
        <f aca="false">HYPERLINK("https://partner.tcgplayer.com/c/6278691/1780961/21018?u=https%3A%2F%2Fwww.tcgplayer.com%2Fproduct%2F542859%3Futm_source%3Dimpact%26utm_medium%3Daffiliate%26utm_campaign%3Dpoke%2Bcottage","Metagross")</f>
        <v>Metagross</v>
      </c>
      <c r="D219" s="5" t="s">
        <v>16</v>
      </c>
      <c r="E219" s="5" t="s">
        <v>11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130</v>
      </c>
      <c r="C220" s="6" t="str">
        <f aca="false">HYPERLINK("https://partner.tcgplayer.com/c/6278691/1780961/21018?u=https%3A%2F%2Fwww.tcgplayer.com%2Fproduct%2F542860%3Futm_source%3Dimpact%26utm_medium%3Daffiliate%26utm_campaign%3Dpoke%2Bcottage","Meltan")</f>
        <v>Meltan</v>
      </c>
      <c r="D220" s="5" t="s">
        <v>8</v>
      </c>
      <c r="E220" s="5" t="s">
        <v>9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130</v>
      </c>
      <c r="C221" s="6" t="str">
        <f aca="false">HYPERLINK("https://partner.tcgplayer.com/c/6278691/1780961/21018?u=https%3A%2F%2Fwww.tcgplayer.com%2Fproduct%2F542860%3Futm_source%3Dimpact%26utm_medium%3Daffiliate%26utm_campaign%3Dpoke%2Bcottage","Meltan")</f>
        <v>Meltan</v>
      </c>
      <c r="D221" s="5" t="s">
        <v>8</v>
      </c>
      <c r="E221" s="5" t="s">
        <v>11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131</v>
      </c>
      <c r="C222" s="6" t="str">
        <f aca="false">HYPERLINK("https://partner.tcgplayer.com/c/6278691/1780961/21018?u=https%3A%2F%2Fwww.tcgplayer.com%2Fproduct%2F542861%3Futm_source%3Dimpact%26utm_medium%3Daffiliate%26utm_campaign%3Dpoke%2Bcottage","Melmetal")</f>
        <v>Melmetal</v>
      </c>
      <c r="D222" s="5" t="s">
        <v>29</v>
      </c>
      <c r="E222" s="5" t="s">
        <v>25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131</v>
      </c>
      <c r="C223" s="6" t="str">
        <f aca="false">HYPERLINK("https://partner.tcgplayer.com/c/6278691/1780961/21018?u=https%3A%2F%2Fwww.tcgplayer.com%2Fproduct%2F542861%3Futm_source%3Dimpact%26utm_medium%3Daffiliate%26utm_campaign%3Dpoke%2Bcottage","Melmetal")</f>
        <v>Melmetal</v>
      </c>
      <c r="D223" s="5" t="s">
        <v>29</v>
      </c>
      <c r="E223" s="5" t="s">
        <v>11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132</v>
      </c>
      <c r="C224" s="6" t="str">
        <f aca="false">HYPERLINK("https://partner.tcgplayer.com/c/6278691/1780961/21018?u=https%3A%2F%2Fwww.tcgplayer.com%2Fproduct%2F542862%3Futm_source%3Dimpact%26utm_medium%3Daffiliate%26utm_campaign%3Dpoke%2Bcottage","Iron Treads")</f>
        <v>Iron Treads</v>
      </c>
      <c r="D224" s="5" t="s">
        <v>16</v>
      </c>
      <c r="E224" s="5" t="s">
        <v>9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132</v>
      </c>
      <c r="C225" s="6" t="str">
        <f aca="false">HYPERLINK("https://partner.tcgplayer.com/c/6278691/1780961/21018?u=https%3A%2F%2Fwww.tcgplayer.com%2Fproduct%2F542862%3Futm_source%3Dimpact%26utm_medium%3Daffiliate%26utm_campaign%3Dpoke%2Bcottage","Iron Treads")</f>
        <v>Iron Treads</v>
      </c>
      <c r="D225" s="5" t="s">
        <v>16</v>
      </c>
      <c r="E225" s="5" t="s">
        <v>11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133</v>
      </c>
      <c r="C226" s="6" t="str">
        <f aca="false">HYPERLINK("https://partner.tcgplayer.com/c/6278691/1780961/21018?u=https%3A%2F%2Fwww.tcgplayer.com%2Fproduct%2F542863%3Futm_source%3Dimpact%26utm_medium%3Daffiliate%26utm_campaign%3Dpoke%2Bcottage","Koraidon")</f>
        <v>Koraidon</v>
      </c>
      <c r="D226" s="5" t="s">
        <v>29</v>
      </c>
      <c r="E226" s="5" t="s">
        <v>25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133</v>
      </c>
      <c r="C227" s="6" t="str">
        <f aca="false">HYPERLINK("https://partner.tcgplayer.com/c/6278691/1780961/21018?u=https%3A%2F%2Fwww.tcgplayer.com%2Fproduct%2F542863%3Futm_source%3Dimpact%26utm_medium%3Daffiliate%26utm_campaign%3Dpoke%2Bcottage","Koraidon")</f>
        <v>Koraidon</v>
      </c>
      <c r="D227" s="5" t="s">
        <v>29</v>
      </c>
      <c r="E227" s="5" t="s">
        <v>11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134</v>
      </c>
      <c r="C228" s="6" t="str">
        <f aca="false">HYPERLINK("https://partner.tcgplayer.com/c/6278691/1780961/21018?u=https%3A%2F%2Fwww.tcgplayer.com%2Fproduct%2F542864%3Futm_source%3Dimpact%26utm_medium%3Daffiliate%26utm_campaign%3Dpoke%2Bcottage","Koraidon ex")</f>
        <v>Koraidon ex</v>
      </c>
      <c r="D228" s="5" t="s">
        <v>24</v>
      </c>
      <c r="E228" s="5" t="s">
        <v>25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135</v>
      </c>
      <c r="C229" s="6" t="str">
        <f aca="false">HYPERLINK("https://partner.tcgplayer.com/c/6278691/1780961/21018?u=https%3A%2F%2Fwww.tcgplayer.com%2Fproduct%2F542865%3Futm_source%3Dimpact%26utm_medium%3Daffiliate%26utm_campaign%3Dpoke%2Bcottage","Miraidon")</f>
        <v>Miraidon</v>
      </c>
      <c r="D229" s="5" t="s">
        <v>29</v>
      </c>
      <c r="E229" s="5" t="s">
        <v>25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135</v>
      </c>
      <c r="C230" s="6" t="str">
        <f aca="false">HYPERLINK("https://partner.tcgplayer.com/c/6278691/1780961/21018?u=https%3A%2F%2Fwww.tcgplayer.com%2Fproduct%2F542865%3Futm_source%3Dimpact%26utm_medium%3Daffiliate%26utm_campaign%3Dpoke%2Bcottage","Miraidon")</f>
        <v>Miraidon</v>
      </c>
      <c r="D230" s="5" t="s">
        <v>29</v>
      </c>
      <c r="E230" s="5" t="s">
        <v>11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136</v>
      </c>
      <c r="C231" s="6" t="str">
        <f aca="false">HYPERLINK("https://partner.tcgplayer.com/c/6278691/1780961/21018?u=https%3A%2F%2Fwww.tcgplayer.com%2Fproduct%2F542866%3Futm_source%3Dimpact%26utm_medium%3Daffiliate%26utm_campaign%3Dpoke%2Bcottage","Miraidon ex")</f>
        <v>Miraidon ex</v>
      </c>
      <c r="D231" s="5" t="s">
        <v>24</v>
      </c>
      <c r="E231" s="5" t="s">
        <v>25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137</v>
      </c>
      <c r="C232" s="6" t="str">
        <f aca="false">HYPERLINK("https://partner.tcgplayer.com/c/6278691/1780961/21018?u=https%3A%2F%2Fwww.tcgplayer.com%2Fproduct%2F542867%3Futm_source%3Dimpact%26utm_medium%3Daffiliate%26utm_campaign%3Dpoke%2Bcottage","Raging Bolt ex")</f>
        <v>Raging Bolt ex</v>
      </c>
      <c r="D232" s="5" t="s">
        <v>24</v>
      </c>
      <c r="E232" s="5" t="s">
        <v>25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138</v>
      </c>
      <c r="C233" s="6" t="str">
        <f aca="false">HYPERLINK("https://partner.tcgplayer.com/c/6278691/1780961/21018?u=https%3A%2F%2Fwww.tcgplayer.com%2Fproduct%2F542868%3Futm_source%3Dimpact%26utm_medium%3Daffiliate%26utm_campaign%3Dpoke%2Bcottage","Lickitung")</f>
        <v>Lickitung</v>
      </c>
      <c r="D233" s="5" t="s">
        <v>8</v>
      </c>
      <c r="E233" s="5" t="s">
        <v>9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138</v>
      </c>
      <c r="C234" s="6" t="str">
        <f aca="false">HYPERLINK("https://partner.tcgplayer.com/c/6278691/1780961/21018?u=https%3A%2F%2Fwww.tcgplayer.com%2Fproduct%2F542868%3Futm_source%3Dimpact%26utm_medium%3Daffiliate%26utm_campaign%3Dpoke%2Bcottage","Lickitung")</f>
        <v>Lickitung</v>
      </c>
      <c r="D234" s="5" t="s">
        <v>8</v>
      </c>
      <c r="E234" s="5" t="s">
        <v>11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139</v>
      </c>
      <c r="C235" s="6" t="str">
        <f aca="false">HYPERLINK("https://partner.tcgplayer.com/c/6278691/1780961/21018?u=https%3A%2F%2Fwww.tcgplayer.com%2Fproduct%2F542869%3Futm_source%3Dimpact%26utm_medium%3Daffiliate%26utm_campaign%3Dpoke%2Bcottage","Lickilicky")</f>
        <v>Lickilicky</v>
      </c>
      <c r="D235" s="5" t="s">
        <v>8</v>
      </c>
      <c r="E235" s="5" t="s">
        <v>9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139</v>
      </c>
      <c r="C236" s="6" t="str">
        <f aca="false">HYPERLINK("https://partner.tcgplayer.com/c/6278691/1780961/21018?u=https%3A%2F%2Fwww.tcgplayer.com%2Fproduct%2F542869%3Futm_source%3Dimpact%26utm_medium%3Daffiliate%26utm_campaign%3Dpoke%2Bcottage","Lickilicky")</f>
        <v>Lickilicky</v>
      </c>
      <c r="D236" s="5" t="s">
        <v>8</v>
      </c>
      <c r="E236" s="5" t="s">
        <v>11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140</v>
      </c>
      <c r="C237" s="6" t="str">
        <f aca="false">HYPERLINK("https://partner.tcgplayer.com/c/6278691/1780961/21018?u=https%3A%2F%2Fwww.tcgplayer.com%2Fproduct%2F542870%3Futm_source%3Dimpact%26utm_medium%3Daffiliate%26utm_campaign%3Dpoke%2Bcottage","Hoothoot")</f>
        <v>Hoothoot</v>
      </c>
      <c r="D237" s="5" t="s">
        <v>8</v>
      </c>
      <c r="E237" s="5" t="s">
        <v>9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140</v>
      </c>
      <c r="C238" s="6" t="str">
        <f aca="false">HYPERLINK("https://partner.tcgplayer.com/c/6278691/1780961/21018?u=https%3A%2F%2Fwww.tcgplayer.com%2Fproduct%2F542870%3Futm_source%3Dimpact%26utm_medium%3Daffiliate%26utm_campaign%3Dpoke%2Bcottage","Hoothoot")</f>
        <v>Hoothoot</v>
      </c>
      <c r="D238" s="5" t="s">
        <v>8</v>
      </c>
      <c r="E238" s="5" t="s">
        <v>11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141</v>
      </c>
      <c r="C239" s="6" t="str">
        <f aca="false">HYPERLINK("https://partner.tcgplayer.com/c/6278691/1780961/21018?u=https%3A%2F%2Fwww.tcgplayer.com%2Fproduct%2F542871%3Futm_source%3Dimpact%26utm_medium%3Daffiliate%26utm_campaign%3Dpoke%2Bcottage","Noctowl")</f>
        <v>Noctowl</v>
      </c>
      <c r="D239" s="5" t="s">
        <v>8</v>
      </c>
      <c r="E239" s="5" t="s">
        <v>9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141</v>
      </c>
      <c r="C240" s="6" t="str">
        <f aca="false">HYPERLINK("https://partner.tcgplayer.com/c/6278691/1780961/21018?u=https%3A%2F%2Fwww.tcgplayer.com%2Fproduct%2F542871%3Futm_source%3Dimpact%26utm_medium%3Daffiliate%26utm_campaign%3Dpoke%2Bcottage","Noctowl")</f>
        <v>Noctowl</v>
      </c>
      <c r="D240" s="5" t="s">
        <v>8</v>
      </c>
      <c r="E240" s="5" t="s">
        <v>11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142</v>
      </c>
      <c r="C241" s="6" t="str">
        <f aca="false">HYPERLINK("https://partner.tcgplayer.com/c/6278691/1780961/21018?u=https%3A%2F%2Fwww.tcgplayer.com%2Fproduct%2F542872%3Futm_source%3Dimpact%26utm_medium%3Daffiliate%26utm_campaign%3Dpoke%2Bcottage","Dunsparce")</f>
        <v>Dunsparce</v>
      </c>
      <c r="D241" s="5" t="s">
        <v>8</v>
      </c>
      <c r="E241" s="5" t="s">
        <v>9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142</v>
      </c>
      <c r="C242" s="6" t="str">
        <f aca="false">HYPERLINK("https://partner.tcgplayer.com/c/6278691/1780961/21018?u=https%3A%2F%2Fwww.tcgplayer.com%2Fproduct%2F542872%3Futm_source%3Dimpact%26utm_medium%3Daffiliate%26utm_campaign%3Dpoke%2Bcottage","Dunsparce")</f>
        <v>Dunsparce</v>
      </c>
      <c r="D242" s="5" t="s">
        <v>8</v>
      </c>
      <c r="E242" s="5" t="s">
        <v>11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143</v>
      </c>
      <c r="C243" s="6" t="str">
        <f aca="false">HYPERLINK("https://partner.tcgplayer.com/c/6278691/1780961/21018?u=https%3A%2F%2Fwww.tcgplayer.com%2Fproduct%2F542873%3Futm_source%3Dimpact%26utm_medium%3Daffiliate%26utm_campaign%3Dpoke%2Bcottage","Dudunsparce")</f>
        <v>Dudunsparce</v>
      </c>
      <c r="D243" s="5" t="s">
        <v>29</v>
      </c>
      <c r="E243" s="5" t="s">
        <v>25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143</v>
      </c>
      <c r="C244" s="6" t="str">
        <f aca="false">HYPERLINK("https://partner.tcgplayer.com/c/6278691/1780961/21018?u=https%3A%2F%2Fwww.tcgplayer.com%2Fproduct%2F542873%3Futm_source%3Dimpact%26utm_medium%3Daffiliate%26utm_campaign%3Dpoke%2Bcottage","Dudunsparce")</f>
        <v>Dudunsparce</v>
      </c>
      <c r="D244" s="5" t="s">
        <v>29</v>
      </c>
      <c r="E244" s="5" t="s">
        <v>11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144</v>
      </c>
      <c r="C245" s="6" t="str">
        <f aca="false">HYPERLINK("https://partner.tcgplayer.com/c/6278691/1780961/21018?u=https%3A%2F%2Fwww.tcgplayer.com%2Fproduct%2F542874%3Futm_source%3Dimpact%26utm_medium%3Daffiliate%26utm_campaign%3Dpoke%2Bcottage","Skitty")</f>
        <v>Skitty</v>
      </c>
      <c r="D245" s="5" t="s">
        <v>8</v>
      </c>
      <c r="E245" s="5" t="s">
        <v>9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144</v>
      </c>
      <c r="C246" s="6" t="str">
        <f aca="false">HYPERLINK("https://partner.tcgplayer.com/c/6278691/1780961/21018?u=https%3A%2F%2Fwww.tcgplayer.com%2Fproduct%2F542874%3Futm_source%3Dimpact%26utm_medium%3Daffiliate%26utm_campaign%3Dpoke%2Bcottage","Skitty")</f>
        <v>Skitty</v>
      </c>
      <c r="D246" s="5" t="s">
        <v>8</v>
      </c>
      <c r="E246" s="5" t="s">
        <v>11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145</v>
      </c>
      <c r="C247" s="6" t="str">
        <f aca="false">HYPERLINK("https://partner.tcgplayer.com/c/6278691/1780961/21018?u=https%3A%2F%2Fwww.tcgplayer.com%2Fproduct%2F542875%3Futm_source%3Dimpact%26utm_medium%3Daffiliate%26utm_campaign%3Dpoke%2Bcottage","Delcatty")</f>
        <v>Delcatty</v>
      </c>
      <c r="D247" s="5" t="s">
        <v>16</v>
      </c>
      <c r="E247" s="5" t="s">
        <v>9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145</v>
      </c>
      <c r="C248" s="6" t="str">
        <f aca="false">HYPERLINK("https://partner.tcgplayer.com/c/6278691/1780961/21018?u=https%3A%2F%2Fwww.tcgplayer.com%2Fproduct%2F542875%3Futm_source%3Dimpact%26utm_medium%3Daffiliate%26utm_campaign%3Dpoke%2Bcottage","Delcatty")</f>
        <v>Delcatty</v>
      </c>
      <c r="D248" s="5" t="s">
        <v>16</v>
      </c>
      <c r="E248" s="5" t="s">
        <v>11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146</v>
      </c>
      <c r="C249" s="6" t="str">
        <f aca="false">HYPERLINK("https://partner.tcgplayer.com/c/6278691/1780961/21018?u=https%3A%2F%2Fwww.tcgplayer.com%2Fproduct%2F542876%3Futm_source%3Dimpact%26utm_medium%3Daffiliate%26utm_campaign%3Dpoke%2Bcottage","Chatot")</f>
        <v>Chatot</v>
      </c>
      <c r="D249" s="5" t="s">
        <v>8</v>
      </c>
      <c r="E249" s="5" t="s">
        <v>9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146</v>
      </c>
      <c r="C250" s="6" t="str">
        <f aca="false">HYPERLINK("https://partner.tcgplayer.com/c/6278691/1780961/21018?u=https%3A%2F%2Fwww.tcgplayer.com%2Fproduct%2F542876%3Futm_source%3Dimpact%26utm_medium%3Daffiliate%26utm_campaign%3Dpoke%2Bcottage","Chatot")</f>
        <v>Chatot</v>
      </c>
      <c r="D250" s="5" t="s">
        <v>8</v>
      </c>
      <c r="E250" s="5" t="s">
        <v>11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147</v>
      </c>
      <c r="C251" s="6" t="str">
        <f aca="false">HYPERLINK("https://partner.tcgplayer.com/c/6278691/1780961/21018?u=https%3A%2F%2Fwww.tcgplayer.com%2Fproduct%2F542877%3Futm_source%3Dimpact%26utm_medium%3Daffiliate%26utm_campaign%3Dpoke%2Bcottage","Pidove")</f>
        <v>Pidove</v>
      </c>
      <c r="D251" s="5" t="s">
        <v>8</v>
      </c>
      <c r="E251" s="5" t="s">
        <v>9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147</v>
      </c>
      <c r="C252" s="6" t="str">
        <f aca="false">HYPERLINK("https://partner.tcgplayer.com/c/6278691/1780961/21018?u=https%3A%2F%2Fwww.tcgplayer.com%2Fproduct%2F542877%3Futm_source%3Dimpact%26utm_medium%3Daffiliate%26utm_campaign%3Dpoke%2Bcottage","Pidove")</f>
        <v>Pidove</v>
      </c>
      <c r="D252" s="5" t="s">
        <v>8</v>
      </c>
      <c r="E252" s="5" t="s">
        <v>11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148</v>
      </c>
      <c r="C253" s="6" t="str">
        <f aca="false">HYPERLINK("https://partner.tcgplayer.com/c/6278691/1780961/21018?u=https%3A%2F%2Fwww.tcgplayer.com%2Fproduct%2F542878%3Futm_source%3Dimpact%26utm_medium%3Daffiliate%26utm_campaign%3Dpoke%2Bcottage","Tranquill")</f>
        <v>Tranquill</v>
      </c>
      <c r="D253" s="5" t="s">
        <v>8</v>
      </c>
      <c r="E253" s="5" t="s">
        <v>9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148</v>
      </c>
      <c r="C254" s="6" t="str">
        <f aca="false">HYPERLINK("https://partner.tcgplayer.com/c/6278691/1780961/21018?u=https%3A%2F%2Fwww.tcgplayer.com%2Fproduct%2F542878%3Futm_source%3Dimpact%26utm_medium%3Daffiliate%26utm_campaign%3Dpoke%2Bcottage","Tranquill")</f>
        <v>Tranquill</v>
      </c>
      <c r="D254" s="5" t="s">
        <v>8</v>
      </c>
      <c r="E254" s="5" t="s">
        <v>11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149</v>
      </c>
      <c r="C255" s="6" t="str">
        <f aca="false">HYPERLINK("https://partner.tcgplayer.com/c/6278691/1780961/21018?u=https%3A%2F%2Fwww.tcgplayer.com%2Fproduct%2F542879%3Futm_source%3Dimpact%26utm_medium%3Daffiliate%26utm_campaign%3Dpoke%2Bcottage","Unfezant")</f>
        <v>Unfezant</v>
      </c>
      <c r="D255" s="5" t="s">
        <v>16</v>
      </c>
      <c r="E255" s="5" t="s">
        <v>9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149</v>
      </c>
      <c r="C256" s="6" t="str">
        <f aca="false">HYPERLINK("https://partner.tcgplayer.com/c/6278691/1780961/21018?u=https%3A%2F%2Fwww.tcgplayer.com%2Fproduct%2F542879%3Futm_source%3Dimpact%26utm_medium%3Daffiliate%26utm_campaign%3Dpoke%2Bcottage","Unfezant")</f>
        <v>Unfezant</v>
      </c>
      <c r="D256" s="5" t="s">
        <v>16</v>
      </c>
      <c r="E256" s="5" t="s">
        <v>11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150</v>
      </c>
      <c r="C257" s="6" t="str">
        <f aca="false">HYPERLINK("https://partner.tcgplayer.com/c/6278691/1780961/21018?u=https%3A%2F%2Fwww.tcgplayer.com%2Fproduct%2F542880%3Futm_source%3Dimpact%26utm_medium%3Daffiliate%26utm_campaign%3Dpoke%2Bcottage","Minccino")</f>
        <v>Minccino</v>
      </c>
      <c r="D257" s="5" t="s">
        <v>8</v>
      </c>
      <c r="E257" s="5" t="s">
        <v>9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150</v>
      </c>
      <c r="C258" s="6" t="str">
        <f aca="false">HYPERLINK("https://partner.tcgplayer.com/c/6278691/1780961/21018?u=https%3A%2F%2Fwww.tcgplayer.com%2Fproduct%2F542880%3Futm_source%3Dimpact%26utm_medium%3Daffiliate%26utm_campaign%3Dpoke%2Bcottage","Minccino")</f>
        <v>Minccino</v>
      </c>
      <c r="D258" s="5" t="s">
        <v>8</v>
      </c>
      <c r="E258" s="5" t="s">
        <v>11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151</v>
      </c>
      <c r="C259" s="6" t="str">
        <f aca="false">HYPERLINK("https://partner.tcgplayer.com/c/6278691/1780961/21018?u=https%3A%2F%2Fwww.tcgplayer.com%2Fproduct%2F542881%3Futm_source%3Dimpact%26utm_medium%3Daffiliate%26utm_campaign%3Dpoke%2Bcottage","Cinccino")</f>
        <v>Cinccino</v>
      </c>
      <c r="D259" s="5" t="s">
        <v>16</v>
      </c>
      <c r="E259" s="5" t="s">
        <v>9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151</v>
      </c>
      <c r="C260" s="6" t="str">
        <f aca="false">HYPERLINK("https://partner.tcgplayer.com/c/6278691/1780961/21018?u=https%3A%2F%2Fwww.tcgplayer.com%2Fproduct%2F542881%3Futm_source%3Dimpact%26utm_medium%3Daffiliate%26utm_campaign%3Dpoke%2Bcottage","Cinccino")</f>
        <v>Cinccino</v>
      </c>
      <c r="D260" s="5" t="s">
        <v>16</v>
      </c>
      <c r="E260" s="5" t="s">
        <v>11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152</v>
      </c>
      <c r="C261" s="6" t="str">
        <f aca="false">HYPERLINK("https://partner.tcgplayer.com/c/6278691/1780961/21018?u=https%3A%2F%2Fwww.tcgplayer.com%2Fproduct%2F542882%3Futm_source%3Dimpact%26utm_medium%3Daffiliate%26utm_campaign%3Dpoke%2Bcottage","Drampa")</f>
        <v>Drampa</v>
      </c>
      <c r="D261" s="5" t="s">
        <v>29</v>
      </c>
      <c r="E261" s="5" t="s">
        <v>25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152</v>
      </c>
      <c r="C262" s="6" t="str">
        <f aca="false">HYPERLINK("https://partner.tcgplayer.com/c/6278691/1780961/21018?u=https%3A%2F%2Fwww.tcgplayer.com%2Fproduct%2F542882%3Futm_source%3Dimpact%26utm_medium%3Daffiliate%26utm_campaign%3Dpoke%2Bcottage","Drampa")</f>
        <v>Drampa</v>
      </c>
      <c r="D262" s="5" t="s">
        <v>29</v>
      </c>
      <c r="E262" s="5" t="s">
        <v>11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153</v>
      </c>
      <c r="C263" s="6" t="str">
        <f aca="false">HYPERLINK("https://partner.tcgplayer.com/c/6278691/1780961/21018?u=https%3A%2F%2Fwww.tcgplayer.com%2Fproduct%2F542883%3Futm_source%3Dimpact%26utm_medium%3Daffiliate%26utm_campaign%3Dpoke%2Bcottage","Iron Jugulis")</f>
        <v>Iron Jugulis</v>
      </c>
      <c r="D263" s="5" t="s">
        <v>16</v>
      </c>
      <c r="E263" s="5" t="s">
        <v>9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153</v>
      </c>
      <c r="C264" s="6" t="str">
        <f aca="false">HYPERLINK("https://partner.tcgplayer.com/c/6278691/1780961/21018?u=https%3A%2F%2Fwww.tcgplayer.com%2Fproduct%2F542883%3Futm_source%3Dimpact%26utm_medium%3Daffiliate%26utm_campaign%3Dpoke%2Bcottage","Iron Jugulis")</f>
        <v>Iron Jugulis</v>
      </c>
      <c r="D264" s="5" t="s">
        <v>16</v>
      </c>
      <c r="E264" s="5" t="s">
        <v>11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154</v>
      </c>
      <c r="C265" s="6" t="str">
        <f aca="false">HYPERLINK("https://partner.tcgplayer.com/c/6278691/1780961/21018?u=https%3A%2F%2Fwww.tcgplayer.com%2Fproduct%2F542651%3Futm_source%3Dimpact%26utm_medium%3Daffiliate%26utm_campaign%3Dpoke%2Bcottage","Ancient Booster Energy Capsule")</f>
        <v>Ancient Booster Energy Capsule</v>
      </c>
      <c r="D265" s="5" t="s">
        <v>16</v>
      </c>
      <c r="E265" s="5" t="s">
        <v>9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154</v>
      </c>
      <c r="C266" s="6" t="str">
        <f aca="false">HYPERLINK("https://partner.tcgplayer.com/c/6278691/1780961/21018?u=https%3A%2F%2Fwww.tcgplayer.com%2Fproduct%2F542651%3Futm_source%3Dimpact%26utm_medium%3Daffiliate%26utm_campaign%3Dpoke%2Bcottage","Ancient Booster Energy Capsule")</f>
        <v>Ancient Booster Energy Capsule</v>
      </c>
      <c r="D266" s="5" t="s">
        <v>16</v>
      </c>
      <c r="E266" s="5" t="s">
        <v>11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155</v>
      </c>
      <c r="C267" s="6" t="str">
        <f aca="false">HYPERLINK("https://partner.tcgplayer.com/c/6278691/1780961/21018?u=https%3A%2F%2Fwww.tcgplayer.com%2Fproduct%2F542654%3Futm_source%3Dimpact%26utm_medium%3Daffiliate%26utm_campaign%3Dpoke%2Bcottage","Awakening Drum")</f>
        <v>Awakening Drum</v>
      </c>
      <c r="D267" s="5" t="s">
        <v>156</v>
      </c>
      <c r="E267" s="5" t="s">
        <v>25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157</v>
      </c>
      <c r="C268" s="6" t="str">
        <f aca="false">HYPERLINK("https://partner.tcgplayer.com/c/6278691/1780961/21018?u=https%3A%2F%2Fwww.tcgplayer.com%2Fproduct%2F542656%3Futm_source%3Dimpact%26utm_medium%3Daffiliate%26utm_campaign%3Dpoke%2Bcottage","Bianca's Devotion")</f>
        <v>Bianca's Devotion</v>
      </c>
      <c r="D268" s="5" t="s">
        <v>16</v>
      </c>
      <c r="E268" s="5" t="s">
        <v>9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157</v>
      </c>
      <c r="C269" s="6" t="str">
        <f aca="false">HYPERLINK("https://partner.tcgplayer.com/c/6278691/1780961/21018?u=https%3A%2F%2Fwww.tcgplayer.com%2Fproduct%2F542656%3Futm_source%3Dimpact%26utm_medium%3Daffiliate%26utm_campaign%3Dpoke%2Bcottage","Bianca's Devotion")</f>
        <v>Bianca's Devotion</v>
      </c>
      <c r="D269" s="5" t="s">
        <v>16</v>
      </c>
      <c r="E269" s="5" t="s">
        <v>11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158</v>
      </c>
      <c r="C270" s="6" t="str">
        <f aca="false">HYPERLINK("https://partner.tcgplayer.com/c/6278691/1780961/21018?u=https%3A%2F%2Fwww.tcgplayer.com%2Fproduct%2F542657%3Futm_source%3Dimpact%26utm_medium%3Daffiliate%26utm_campaign%3Dpoke%2Bcottage","Boxed Order")</f>
        <v>Boxed Order</v>
      </c>
      <c r="D270" s="5" t="s">
        <v>16</v>
      </c>
      <c r="E270" s="5" t="s">
        <v>9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158</v>
      </c>
      <c r="C271" s="6" t="str">
        <f aca="false">HYPERLINK("https://partner.tcgplayer.com/c/6278691/1780961/21018?u=https%3A%2F%2Fwww.tcgplayer.com%2Fproduct%2F542657%3Futm_source%3Dimpact%26utm_medium%3Daffiliate%26utm_campaign%3Dpoke%2Bcottage","Boxed Order")</f>
        <v>Boxed Order</v>
      </c>
      <c r="D271" s="5" t="s">
        <v>16</v>
      </c>
      <c r="E271" s="5" t="s">
        <v>11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159</v>
      </c>
      <c r="C272" s="6" t="str">
        <f aca="false">HYPERLINK("https://partner.tcgplayer.com/c/6278691/1780961/21018?u=https%3A%2F%2Fwww.tcgplayer.com%2Fproduct%2F542659%3Futm_source%3Dimpact%26utm_medium%3Daffiliate%26utm_campaign%3Dpoke%2Bcottage","Buddy-Buddy Poffin")</f>
        <v>Buddy-Buddy Poffin</v>
      </c>
      <c r="D272" s="5" t="s">
        <v>16</v>
      </c>
      <c r="E272" s="5" t="s">
        <v>9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159</v>
      </c>
      <c r="C273" s="6" t="str">
        <f aca="false">HYPERLINK("https://partner.tcgplayer.com/c/6278691/1780961/21018?u=https%3A%2F%2Fwww.tcgplayer.com%2Fproduct%2F542659%3Futm_source%3Dimpact%26utm_medium%3Daffiliate%26utm_campaign%3Dpoke%2Bcottage","Buddy-Buddy Poffin")</f>
        <v>Buddy-Buddy Poffin</v>
      </c>
      <c r="D273" s="5" t="s">
        <v>16</v>
      </c>
      <c r="E273" s="5" t="s">
        <v>11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160</v>
      </c>
      <c r="C274" s="6" t="str">
        <f aca="false">HYPERLINK("https://partner.tcgplayer.com/c/6278691/1780961/21018?u=https%3A%2F%2Fwww.tcgplayer.com%2Fproduct%2F542660%3Futm_source%3Dimpact%26utm_medium%3Daffiliate%26utm_campaign%3Dpoke%2Bcottage","Ciphermaniac's Codebreaking")</f>
        <v>Ciphermaniac's Codebreaking</v>
      </c>
      <c r="D274" s="5" t="s">
        <v>16</v>
      </c>
      <c r="E274" s="5" t="s">
        <v>9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160</v>
      </c>
      <c r="C275" s="6" t="str">
        <f aca="false">HYPERLINK("https://partner.tcgplayer.com/c/6278691/1780961/21018?u=https%3A%2F%2Fwww.tcgplayer.com%2Fproduct%2F542660%3Futm_source%3Dimpact%26utm_medium%3Daffiliate%26utm_campaign%3Dpoke%2Bcottage","Ciphermaniac's Codebreaking")</f>
        <v>Ciphermaniac's Codebreaking</v>
      </c>
      <c r="D275" s="5" t="s">
        <v>16</v>
      </c>
      <c r="E275" s="5" t="s">
        <v>11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161</v>
      </c>
      <c r="C276" s="6" t="str">
        <f aca="false">HYPERLINK("https://partner.tcgplayer.com/c/6278691/1780961/21018?u=https%3A%2F%2Fwww.tcgplayer.com%2Fproduct%2F542661%3Futm_source%3Dimpact%26utm_medium%3Daffiliate%26utm_campaign%3Dpoke%2Bcottage","Eri")</f>
        <v>Eri</v>
      </c>
      <c r="D276" s="5" t="s">
        <v>16</v>
      </c>
      <c r="E276" s="5" t="s">
        <v>9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161</v>
      </c>
      <c r="C277" s="6" t="str">
        <f aca="false">HYPERLINK("https://partner.tcgplayer.com/c/6278691/1780961/21018?u=https%3A%2F%2Fwww.tcgplayer.com%2Fproduct%2F542661%3Futm_source%3Dimpact%26utm_medium%3Daffiliate%26utm_campaign%3Dpoke%2Bcottage","Eri")</f>
        <v>Eri</v>
      </c>
      <c r="D277" s="5" t="s">
        <v>16</v>
      </c>
      <c r="E277" s="5" t="s">
        <v>11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162</v>
      </c>
      <c r="C278" s="6" t="str">
        <f aca="false">HYPERLINK("https://partner.tcgplayer.com/c/6278691/1780961/21018?u=https%3A%2F%2Fwww.tcgplayer.com%2Fproduct%2F542662%3Futm_source%3Dimpact%26utm_medium%3Daffiliate%26utm_campaign%3Dpoke%2Bcottage","Explorer's Guidance")</f>
        <v>Explorer's Guidance</v>
      </c>
      <c r="D278" s="5" t="s">
        <v>16</v>
      </c>
      <c r="E278" s="5" t="s">
        <v>9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162</v>
      </c>
      <c r="C279" s="6" t="str">
        <f aca="false">HYPERLINK("https://partner.tcgplayer.com/c/6278691/1780961/21018?u=https%3A%2F%2Fwww.tcgplayer.com%2Fproduct%2F542662%3Futm_source%3Dimpact%26utm_medium%3Daffiliate%26utm_campaign%3Dpoke%2Bcottage","Explorer's Guidance")</f>
        <v>Explorer's Guidance</v>
      </c>
      <c r="D279" s="5" t="s">
        <v>16</v>
      </c>
      <c r="E279" s="5" t="s">
        <v>11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163</v>
      </c>
      <c r="C280" s="6" t="str">
        <f aca="false">HYPERLINK("https://partner.tcgplayer.com/c/6278691/1780961/21018?u=https%3A%2F%2Fwww.tcgplayer.com%2Fproduct%2F542663%3Futm_source%3Dimpact%26utm_medium%3Daffiliate%26utm_campaign%3Dpoke%2Bcottage","Full Metal Lab")</f>
        <v>Full Metal Lab</v>
      </c>
      <c r="D280" s="5" t="s">
        <v>16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163</v>
      </c>
      <c r="C281" s="6" t="str">
        <f aca="false">HYPERLINK("https://partner.tcgplayer.com/c/6278691/1780961/21018?u=https%3A%2F%2Fwww.tcgplayer.com%2Fproduct%2F542663%3Futm_source%3Dimpact%26utm_medium%3Daffiliate%26utm_campaign%3Dpoke%2Bcottage","Full Metal Lab")</f>
        <v>Full Metal Lab</v>
      </c>
      <c r="D281" s="5" t="s">
        <v>16</v>
      </c>
      <c r="E281" s="5" t="s">
        <v>11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164</v>
      </c>
      <c r="C282" s="6" t="str">
        <f aca="false">HYPERLINK("https://partner.tcgplayer.com/c/6278691/1780961/21018?u=https%3A%2F%2Fwww.tcgplayer.com%2Fproduct%2F542664%3Futm_source%3Dimpact%26utm_medium%3Daffiliate%26utm_campaign%3Dpoke%2Bcottage","Future Booster Energy Capsule")</f>
        <v>Future Booster Energy Capsule</v>
      </c>
      <c r="D282" s="5" t="s">
        <v>16</v>
      </c>
      <c r="E282" s="5" t="s">
        <v>9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164</v>
      </c>
      <c r="C283" s="6" t="str">
        <f aca="false">HYPERLINK("https://partner.tcgplayer.com/c/6278691/1780961/21018?u=https%3A%2F%2Fwww.tcgplayer.com%2Fproduct%2F542664%3Futm_source%3Dimpact%26utm_medium%3Daffiliate%26utm_campaign%3Dpoke%2Bcottage","Future Booster Energy Capsule")</f>
        <v>Future Booster Energy Capsule</v>
      </c>
      <c r="D283" s="5" t="s">
        <v>16</v>
      </c>
      <c r="E283" s="5" t="s">
        <v>11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165</v>
      </c>
      <c r="C284" s="6" t="str">
        <f aca="false">HYPERLINK("https://partner.tcgplayer.com/c/6278691/1780961/21018?u=https%3A%2F%2Fwww.tcgplayer.com%2Fproduct%2F542665%3Futm_source%3Dimpact%26utm_medium%3Daffiliate%26utm_campaign%3Dpoke%2Bcottage","Hand Trimmer")</f>
        <v>Hand Trimmer</v>
      </c>
      <c r="D284" s="5" t="s">
        <v>16</v>
      </c>
      <c r="E284" s="5" t="s">
        <v>9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165</v>
      </c>
      <c r="C285" s="6" t="str">
        <f aca="false">HYPERLINK("https://partner.tcgplayer.com/c/6278691/1780961/21018?u=https%3A%2F%2Fwww.tcgplayer.com%2Fproduct%2F542665%3Futm_source%3Dimpact%26utm_medium%3Daffiliate%26utm_campaign%3Dpoke%2Bcottage","Hand Trimmer")</f>
        <v>Hand Trimmer</v>
      </c>
      <c r="D285" s="5" t="s">
        <v>16</v>
      </c>
      <c r="E285" s="5" t="s">
        <v>11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166</v>
      </c>
      <c r="C286" s="6" t="str">
        <f aca="false">HYPERLINK("https://partner.tcgplayer.com/c/6278691/1780961/21018?u=https%3A%2F%2Fwww.tcgplayer.com%2Fproduct%2F542666%3Futm_source%3Dimpact%26utm_medium%3Daffiliate%26utm_campaign%3Dpoke%2Bcottage","Heavy Baton")</f>
        <v>Heavy Baton</v>
      </c>
      <c r="D286" s="5" t="s">
        <v>16</v>
      </c>
      <c r="E286" s="5" t="s">
        <v>9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166</v>
      </c>
      <c r="C287" s="6" t="str">
        <f aca="false">HYPERLINK("https://partner.tcgplayer.com/c/6278691/1780961/21018?u=https%3A%2F%2Fwww.tcgplayer.com%2Fproduct%2F542666%3Futm_source%3Dimpact%26utm_medium%3Daffiliate%26utm_campaign%3Dpoke%2Bcottage","Heavy Baton")</f>
        <v>Heavy Baton</v>
      </c>
      <c r="D287" s="5" t="s">
        <v>16</v>
      </c>
      <c r="E287" s="5" t="s">
        <v>11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167</v>
      </c>
      <c r="C288" s="6" t="str">
        <f aca="false">HYPERLINK("https://partner.tcgplayer.com/c/6278691/1780961/21018?u=https%3A%2F%2Fwww.tcgplayer.com%2Fproduct%2F542667%3Futm_source%3Dimpact%26utm_medium%3Daffiliate%26utm_campaign%3Dpoke%2Bcottage","Hero's Cape")</f>
        <v>Hero's Cape</v>
      </c>
      <c r="D288" s="5" t="s">
        <v>156</v>
      </c>
      <c r="E288" s="5" t="s">
        <v>25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168</v>
      </c>
      <c r="C289" s="6" t="str">
        <f aca="false">HYPERLINK("https://partner.tcgplayer.com/c/6278691/1780961/21018?u=https%3A%2F%2Fwww.tcgplayer.com%2Fproduct%2F542668%3Futm_source%3Dimpact%26utm_medium%3Daffiliate%26utm_campaign%3Dpoke%2Bcottage","Master Ball")</f>
        <v>Master Ball</v>
      </c>
      <c r="D289" s="5" t="s">
        <v>156</v>
      </c>
      <c r="E289" s="5" t="s">
        <v>25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169</v>
      </c>
      <c r="C290" s="6" t="str">
        <f aca="false">HYPERLINK("https://partner.tcgplayer.com/c/6278691/1780961/21018?u=https%3A%2F%2Fwww.tcgplayer.com%2Fproduct%2F542670%3Futm_source%3Dimpact%26utm_medium%3Daffiliate%26utm_campaign%3Dpoke%2Bcottage","Maximum Belt")</f>
        <v>Maximum Belt</v>
      </c>
      <c r="D290" s="5" t="s">
        <v>156</v>
      </c>
      <c r="E290" s="5" t="s">
        <v>25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170</v>
      </c>
      <c r="C291" s="6" t="str">
        <f aca="false">HYPERLINK("https://partner.tcgplayer.com/c/6278691/1780961/21018?u=https%3A%2F%2Fwww.tcgplayer.com%2Fproduct%2F542671%3Futm_source%3Dimpact%26utm_medium%3Daffiliate%26utm_campaign%3Dpoke%2Bcottage","Morty's Conviction")</f>
        <v>Morty's Conviction</v>
      </c>
      <c r="D291" s="5" t="s">
        <v>16</v>
      </c>
      <c r="E291" s="5" t="s">
        <v>9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170</v>
      </c>
      <c r="C292" s="6" t="str">
        <f aca="false">HYPERLINK("https://partner.tcgplayer.com/c/6278691/1780961/21018?u=https%3A%2F%2Fwww.tcgplayer.com%2Fproduct%2F542671%3Futm_source%3Dimpact%26utm_medium%3Daffiliate%26utm_campaign%3Dpoke%2Bcottage","Morty's Conviction")</f>
        <v>Morty's Conviction</v>
      </c>
      <c r="D292" s="5" t="s">
        <v>16</v>
      </c>
      <c r="E292" s="5" t="s">
        <v>11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171</v>
      </c>
      <c r="C293" s="6" t="str">
        <f aca="false">HYPERLINK("https://partner.tcgplayer.com/c/6278691/1780961/21018?u=https%3A%2F%2Fwww.tcgplayer.com%2Fproduct%2F542673%3Futm_source%3Dimpact%26utm_medium%3Daffiliate%26utm_campaign%3Dpoke%2Bcottage","Perilous Jungle")</f>
        <v>Perilous Jungle</v>
      </c>
      <c r="D293" s="5" t="s">
        <v>16</v>
      </c>
      <c r="E293" s="5" t="s">
        <v>9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171</v>
      </c>
      <c r="C294" s="6" t="str">
        <f aca="false">HYPERLINK("https://partner.tcgplayer.com/c/6278691/1780961/21018?u=https%3A%2F%2Fwww.tcgplayer.com%2Fproduct%2F542673%3Futm_source%3Dimpact%26utm_medium%3Daffiliate%26utm_campaign%3Dpoke%2Bcottage","Perilous Jungle")</f>
        <v>Perilous Jungle</v>
      </c>
      <c r="D294" s="5" t="s">
        <v>16</v>
      </c>
      <c r="E294" s="5" t="s">
        <v>11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172</v>
      </c>
      <c r="C295" s="6" t="str">
        <f aca="false">HYPERLINK("https://partner.tcgplayer.com/c/6278691/1780961/21018?u=https%3A%2F%2Fwww.tcgplayer.com%2Fproduct%2F542674%3Futm_source%3Dimpact%26utm_medium%3Daffiliate%26utm_campaign%3Dpoke%2Bcottage","Prime Catcher")</f>
        <v>Prime Catcher</v>
      </c>
      <c r="D295" s="5" t="s">
        <v>156</v>
      </c>
      <c r="E295" s="5" t="s">
        <v>25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173</v>
      </c>
      <c r="C296" s="6" t="str">
        <f aca="false">HYPERLINK("https://partner.tcgplayer.com/c/6278691/1780961/21018?u=https%3A%2F%2Fwww.tcgplayer.com%2Fproduct%2F542675%3Futm_source%3Dimpact%26utm_medium%3Daffiliate%26utm_campaign%3Dpoke%2Bcottage","Reboot Pod")</f>
        <v>Reboot Pod</v>
      </c>
      <c r="D296" s="5" t="s">
        <v>156</v>
      </c>
      <c r="E296" s="5" t="s">
        <v>25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174</v>
      </c>
      <c r="C297" s="6" t="str">
        <f aca="false">HYPERLINK("https://partner.tcgplayer.com/c/6278691/1780961/21018?u=https%3A%2F%2Fwww.tcgplayer.com%2Fproduct%2F542677%3Futm_source%3Dimpact%26utm_medium%3Daffiliate%26utm_campaign%3Dpoke%2Bcottage","Rescue Board")</f>
        <v>Rescue Board</v>
      </c>
      <c r="D297" s="5" t="s">
        <v>16</v>
      </c>
      <c r="E297" s="5" t="s">
        <v>9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174</v>
      </c>
      <c r="C298" s="6" t="str">
        <f aca="false">HYPERLINK("https://partner.tcgplayer.com/c/6278691/1780961/21018?u=https%3A%2F%2Fwww.tcgplayer.com%2Fproduct%2F542677%3Futm_source%3Dimpact%26utm_medium%3Daffiliate%26utm_campaign%3Dpoke%2Bcottage","Rescue Board")</f>
        <v>Rescue Board</v>
      </c>
      <c r="D298" s="5" t="s">
        <v>16</v>
      </c>
      <c r="E298" s="5" t="s">
        <v>11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175</v>
      </c>
      <c r="C299" s="6" t="str">
        <f aca="false">HYPERLINK("https://partner.tcgplayer.com/c/6278691/1780961/21018?u=https%3A%2F%2Fwww.tcgplayer.com%2Fproduct%2F542679%3Futm_source%3Dimpact%26utm_medium%3Daffiliate%26utm_campaign%3Dpoke%2Bcottage","Salvatore")</f>
        <v>Salvatore</v>
      </c>
      <c r="D299" s="5" t="s">
        <v>16</v>
      </c>
      <c r="E299" s="5" t="s">
        <v>9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175</v>
      </c>
      <c r="C300" s="6" t="str">
        <f aca="false">HYPERLINK("https://partner.tcgplayer.com/c/6278691/1780961/21018?u=https%3A%2F%2Fwww.tcgplayer.com%2Fproduct%2F542679%3Futm_source%3Dimpact%26utm_medium%3Daffiliate%26utm_campaign%3Dpoke%2Bcottage","Salvatore")</f>
        <v>Salvatore</v>
      </c>
      <c r="D300" s="5" t="s">
        <v>16</v>
      </c>
      <c r="E300" s="5" t="s">
        <v>11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176</v>
      </c>
      <c r="C301" s="6" t="str">
        <f aca="false">HYPERLINK("https://partner.tcgplayer.com/c/6278691/1780961/21018?u=https%3A%2F%2Fwww.tcgplayer.com%2Fproduct%2F542681%3Futm_source%3Dimpact%26utm_medium%3Daffiliate%26utm_campaign%3Dpoke%2Bcottage","Mist Energy")</f>
        <v>Mist Energy</v>
      </c>
      <c r="D301" s="5" t="s">
        <v>16</v>
      </c>
      <c r="E301" s="5" t="s">
        <v>9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176</v>
      </c>
      <c r="C302" s="6" t="str">
        <f aca="false">HYPERLINK("https://partner.tcgplayer.com/c/6278691/1780961/21018?u=https%3A%2F%2Fwww.tcgplayer.com%2Fproduct%2F542681%3Futm_source%3Dimpact%26utm_medium%3Daffiliate%26utm_campaign%3Dpoke%2Bcottage","Mist Energy")</f>
        <v>Mist Energy</v>
      </c>
      <c r="D302" s="5" t="s">
        <v>16</v>
      </c>
      <c r="E302" s="5" t="s">
        <v>11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177</v>
      </c>
      <c r="C303" s="6" t="str">
        <f aca="false">HYPERLINK("https://partner.tcgplayer.com/c/6278691/1780961/21018?u=https%3A%2F%2Fwww.tcgplayer.com%2Fproduct%2F542682%3Futm_source%3Dimpact%26utm_medium%3Daffiliate%26utm_campaign%3Dpoke%2Bcottage","Neo Upper Energy")</f>
        <v>Neo Upper Energy</v>
      </c>
      <c r="D303" s="5" t="s">
        <v>156</v>
      </c>
      <c r="E303" s="5" t="s">
        <v>25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178</v>
      </c>
      <c r="C304" s="6" t="str">
        <f aca="false">HYPERLINK("https://partner.tcgplayer.com/c/6278691/1780961/21018?u=https%3A%2F%2Fwww.tcgplayer.com%2Fproduct%2F542884%3Futm_source%3Dimpact%26utm_medium%3Daffiliate%26utm_campaign%3Dpoke%2Bcottage","Shiftry")</f>
        <v>Shiftry</v>
      </c>
      <c r="D304" s="5" t="s">
        <v>179</v>
      </c>
      <c r="E304" s="5" t="s">
        <v>25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180</v>
      </c>
      <c r="C305" s="6" t="str">
        <f aca="false">HYPERLINK("https://partner.tcgplayer.com/c/6278691/1780961/21018?u=https%3A%2F%2Fwww.tcgplayer.com%2Fproduct%2F542885%3Futm_source%3Dimpact%26utm_medium%3Daffiliate%26utm_campaign%3Dpoke%2Bcottage","Grotle")</f>
        <v>Grotle</v>
      </c>
      <c r="D305" s="5" t="s">
        <v>179</v>
      </c>
      <c r="E305" s="5" t="s">
        <v>25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181</v>
      </c>
      <c r="C306" s="6" t="str">
        <f aca="false">HYPERLINK("https://partner.tcgplayer.com/c/6278691/1780961/21018?u=https%3A%2F%2Fwww.tcgplayer.com%2Fproduct%2F542886%3Futm_source%3Dimpact%26utm_medium%3Daffiliate%26utm_campaign%3Dpoke%2Bcottage","Deerling")</f>
        <v>Deerling</v>
      </c>
      <c r="D306" s="5" t="s">
        <v>179</v>
      </c>
      <c r="E306" s="5" t="s">
        <v>25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182</v>
      </c>
      <c r="C307" s="6" t="str">
        <f aca="false">HYPERLINK("https://partner.tcgplayer.com/c/6278691/1780961/21018?u=https%3A%2F%2Fwww.tcgplayer.com%2Fproduct%2F542887%3Futm_source%3Dimpact%26utm_medium%3Daffiliate%26utm_campaign%3Dpoke%2Bcottage","Sawsbuck")</f>
        <v>Sawsbuck</v>
      </c>
      <c r="D307" s="5" t="s">
        <v>179</v>
      </c>
      <c r="E307" s="5" t="s">
        <v>25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183</v>
      </c>
      <c r="C308" s="6" t="str">
        <f aca="false">HYPERLINK("https://partner.tcgplayer.com/c/6278691/1780961/21018?u=https%3A%2F%2Fwww.tcgplayer.com%2Fproduct%2F542888%3Futm_source%3Dimpact%26utm_medium%3Daffiliate%26utm_campaign%3Dpoke%2Bcottage","Litten")</f>
        <v>Litten</v>
      </c>
      <c r="D308" s="5" t="s">
        <v>179</v>
      </c>
      <c r="E308" s="5" t="s">
        <v>25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184</v>
      </c>
      <c r="C309" s="6" t="str">
        <f aca="false">HYPERLINK("https://partner.tcgplayer.com/c/6278691/1780961/21018?u=https%3A%2F%2Fwww.tcgplayer.com%2Fproduct%2F542889%3Futm_source%3Dimpact%26utm_medium%3Daffiliate%26utm_campaign%3Dpoke%2Bcottage","Snom")</f>
        <v>Snom</v>
      </c>
      <c r="D309" s="5" t="s">
        <v>179</v>
      </c>
      <c r="E309" s="5" t="s">
        <v>25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185</v>
      </c>
      <c r="C310" s="6" t="str">
        <f aca="false">HYPERLINK("https://partner.tcgplayer.com/c/6278691/1780961/21018?u=https%3A%2F%2Fwww.tcgplayer.com%2Fproduct%2F542890%3Futm_source%3Dimpact%26utm_medium%3Daffiliate%26utm_campaign%3Dpoke%2Bcottage","Charjabug")</f>
        <v>Charjabug</v>
      </c>
      <c r="D310" s="5" t="s">
        <v>179</v>
      </c>
      <c r="E310" s="5" t="s">
        <v>25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186</v>
      </c>
      <c r="C311" s="6" t="str">
        <f aca="false">HYPERLINK("https://partner.tcgplayer.com/c/6278691/1780961/21018?u=https%3A%2F%2Fwww.tcgplayer.com%2Fproduct%2F542891%3Futm_source%3Dimpact%26utm_medium%3Daffiliate%26utm_campaign%3Dpoke%2Bcottage","Bronzor")</f>
        <v>Bronzor</v>
      </c>
      <c r="D311" s="5" t="s">
        <v>179</v>
      </c>
      <c r="E311" s="5" t="s">
        <v>25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187</v>
      </c>
      <c r="C312" s="6" t="str">
        <f aca="false">HYPERLINK("https://partner.tcgplayer.com/c/6278691/1780961/21018?u=https%3A%2F%2Fwww.tcgplayer.com%2Fproduct%2F542892%3Futm_source%3Dimpact%26utm_medium%3Daffiliate%26utm_campaign%3Dpoke%2Bcottage","Reuniclus")</f>
        <v>Reuniclus</v>
      </c>
      <c r="D312" s="5" t="s">
        <v>179</v>
      </c>
      <c r="E312" s="5" t="s">
        <v>25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188</v>
      </c>
      <c r="C313" s="6" t="str">
        <f aca="false">HYPERLINK("https://partner.tcgplayer.com/c/6278691/1780961/21018?u=https%3A%2F%2Fwww.tcgplayer.com%2Fproduct%2F542893%3Futm_source%3Dimpact%26utm_medium%3Daffiliate%26utm_campaign%3Dpoke%2Bcottage","Cutiefly")</f>
        <v>Cutiefly</v>
      </c>
      <c r="D313" s="5" t="s">
        <v>179</v>
      </c>
      <c r="E313" s="5" t="s">
        <v>25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189</v>
      </c>
      <c r="C314" s="6" t="str">
        <f aca="false">HYPERLINK("https://partner.tcgplayer.com/c/6278691/1780961/21018?u=https%3A%2F%2Fwww.tcgplayer.com%2Fproduct%2F542894%3Futm_source%3Dimpact%26utm_medium%3Daffiliate%26utm_campaign%3Dpoke%2Bcottage","Relicanth")</f>
        <v>Relicanth</v>
      </c>
      <c r="D314" s="5" t="s">
        <v>179</v>
      </c>
      <c r="E314" s="5" t="s">
        <v>25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190</v>
      </c>
      <c r="C315" s="6" t="str">
        <f aca="false">HYPERLINK("https://partner.tcgplayer.com/c/6278691/1780961/21018?u=https%3A%2F%2Fwww.tcgplayer.com%2Fproduct%2F542895%3Futm_source%3Dimpact%26utm_medium%3Daffiliate%26utm_campaign%3Dpoke%2Bcottage","Excadrill")</f>
        <v>Excadrill</v>
      </c>
      <c r="D315" s="5" t="s">
        <v>179</v>
      </c>
      <c r="E315" s="5" t="s">
        <v>25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191</v>
      </c>
      <c r="C316" s="6" t="str">
        <f aca="false">HYPERLINK("https://partner.tcgplayer.com/c/6278691/1780961/21018?u=https%3A%2F%2Fwww.tcgplayer.com%2Fproduct%2F542896%3Futm_source%3Dimpact%26utm_medium%3Daffiliate%26utm_campaign%3Dpoke%2Bcottage","Mudsdale")</f>
        <v>Mudsdale</v>
      </c>
      <c r="D316" s="5" t="s">
        <v>179</v>
      </c>
      <c r="E316" s="5" t="s">
        <v>25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192</v>
      </c>
      <c r="C317" s="6" t="str">
        <f aca="false">HYPERLINK("https://partner.tcgplayer.com/c/6278691/1780961/21018?u=https%3A%2F%2Fwww.tcgplayer.com%2Fproduct%2F542897%3Futm_source%3Dimpact%26utm_medium%3Daffiliate%26utm_campaign%3Dpoke%2Bcottage","Arbok")</f>
        <v>Arbok</v>
      </c>
      <c r="D317" s="5" t="s">
        <v>179</v>
      </c>
      <c r="E317" s="5" t="s">
        <v>25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193</v>
      </c>
      <c r="C318" s="6" t="str">
        <f aca="false">HYPERLINK("https://partner.tcgplayer.com/c/6278691/1780961/21018?u=https%3A%2F%2Fwww.tcgplayer.com%2Fproduct%2F542898%3Futm_source%3Dimpact%26utm_medium%3Daffiliate%26utm_campaign%3Dpoke%2Bcottage","Gastly")</f>
        <v>Gastly</v>
      </c>
      <c r="D318" s="5" t="s">
        <v>179</v>
      </c>
      <c r="E318" s="5" t="s">
        <v>25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194</v>
      </c>
      <c r="C319" s="6" t="str">
        <f aca="false">HYPERLINK("https://partner.tcgplayer.com/c/6278691/1780961/21018?u=https%3A%2F%2Fwww.tcgplayer.com%2Fproduct%2F542899%3Futm_source%3Dimpact%26utm_medium%3Daffiliate%26utm_campaign%3Dpoke%2Bcottage","Metagross")</f>
        <v>Metagross</v>
      </c>
      <c r="D319" s="5" t="s">
        <v>179</v>
      </c>
      <c r="E319" s="5" t="s">
        <v>25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195</v>
      </c>
      <c r="C320" s="6" t="str">
        <f aca="false">HYPERLINK("https://partner.tcgplayer.com/c/6278691/1780961/21018?u=https%3A%2F%2Fwww.tcgplayer.com%2Fproduct%2F542900%3Futm_source%3Dimpact%26utm_medium%3Daffiliate%26utm_campaign%3Dpoke%2Bcottage","Meltan")</f>
        <v>Meltan</v>
      </c>
      <c r="D320" s="5" t="s">
        <v>179</v>
      </c>
      <c r="E320" s="5" t="s">
        <v>25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196</v>
      </c>
      <c r="C321" s="6" t="str">
        <f aca="false">HYPERLINK("https://partner.tcgplayer.com/c/6278691/1780961/21018?u=https%3A%2F%2Fwww.tcgplayer.com%2Fproduct%2F542901%3Futm_source%3Dimpact%26utm_medium%3Daffiliate%26utm_campaign%3Dpoke%2Bcottage","Lickitung")</f>
        <v>Lickitung</v>
      </c>
      <c r="D321" s="5" t="s">
        <v>179</v>
      </c>
      <c r="E321" s="5" t="s">
        <v>25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197</v>
      </c>
      <c r="C322" s="6" t="str">
        <f aca="false">HYPERLINK("https://partner.tcgplayer.com/c/6278691/1780961/21018?u=https%3A%2F%2Fwww.tcgplayer.com%2Fproduct%2F542902%3Futm_source%3Dimpact%26utm_medium%3Daffiliate%26utm_campaign%3Dpoke%2Bcottage","Chatot")</f>
        <v>Chatot</v>
      </c>
      <c r="D322" s="5" t="s">
        <v>179</v>
      </c>
      <c r="E322" s="5" t="s">
        <v>25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198</v>
      </c>
      <c r="C323" s="6" t="str">
        <f aca="false">HYPERLINK("https://partner.tcgplayer.com/c/6278691/1780961/21018?u=https%3A%2F%2Fwww.tcgplayer.com%2Fproduct%2F542903%3Futm_source%3Dimpact%26utm_medium%3Daffiliate%26utm_campaign%3Dpoke%2Bcottage","Minccino")</f>
        <v>Minccino</v>
      </c>
      <c r="D323" s="5" t="s">
        <v>179</v>
      </c>
      <c r="E323" s="5" t="s">
        <v>25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199</v>
      </c>
      <c r="C324" s="6" t="str">
        <f aca="false">HYPERLINK("https://partner.tcgplayer.com/c/6278691/1780961/21018?u=https%3A%2F%2Fwww.tcgplayer.com%2Fproduct%2F542904%3Futm_source%3Dimpact%26utm_medium%3Daffiliate%26utm_campaign%3Dpoke%2Bcottage","Cinccino")</f>
        <v>Cinccino</v>
      </c>
      <c r="D324" s="5" t="s">
        <v>179</v>
      </c>
      <c r="E324" s="5" t="s">
        <v>25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200</v>
      </c>
      <c r="C325" s="6" t="str">
        <f aca="false">HYPERLINK("https://partner.tcgplayer.com/c/6278691/1780961/21018?u=https%3A%2F%2Fwww.tcgplayer.com%2Fproduct%2F542905%3Futm_source%3Dimpact%26utm_medium%3Daffiliate%26utm_campaign%3Dpoke%2Bcottage","Drampa")</f>
        <v>Drampa</v>
      </c>
      <c r="D325" s="5" t="s">
        <v>179</v>
      </c>
      <c r="E325" s="5" t="s">
        <v>25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201</v>
      </c>
      <c r="C326" s="6" t="str">
        <f aca="false">HYPERLINK("https://partner.tcgplayer.com/c/6278691/1780961/21018?u=https%3A%2F%2Fwww.tcgplayer.com%2Fproduct%2F542906%3Futm_source%3Dimpact%26utm_medium%3Daffiliate%26utm_campaign%3Dpoke%2Bcottage","Torterra ex")</f>
        <v>Torterra ex</v>
      </c>
      <c r="D326" s="5" t="s">
        <v>202</v>
      </c>
      <c r="E326" s="5" t="s">
        <v>25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203</v>
      </c>
      <c r="C327" s="6" t="str">
        <f aca="false">HYPERLINK("https://partner.tcgplayer.com/c/6278691/1780961/21018?u=https%3A%2F%2Fwww.tcgplayer.com%2Fproduct%2F542907%3Futm_source%3Dimpact%26utm_medium%3Daffiliate%26utm_campaign%3Dpoke%2Bcottage","Iron Leaves ex")</f>
        <v>Iron Leaves ex</v>
      </c>
      <c r="D327" s="5" t="s">
        <v>202</v>
      </c>
      <c r="E327" s="5" t="s">
        <v>25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204</v>
      </c>
      <c r="C328" s="6" t="str">
        <f aca="false">HYPERLINK("https://partner.tcgplayer.com/c/6278691/1780961/21018?u=https%3A%2F%2Fwww.tcgplayer.com%2Fproduct%2F542908%3Futm_source%3Dimpact%26utm_medium%3Daffiliate%26utm_campaign%3Dpoke%2Bcottage","Incineroar ex")</f>
        <v>Incineroar ex</v>
      </c>
      <c r="D328" s="5" t="s">
        <v>202</v>
      </c>
      <c r="E328" s="5" t="s">
        <v>25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205</v>
      </c>
      <c r="C329" s="6" t="str">
        <f aca="false">HYPERLINK("https://partner.tcgplayer.com/c/6278691/1780961/21018?u=https%3A%2F%2Fwww.tcgplayer.com%2Fproduct%2F542909%3Futm_source%3Dimpact%26utm_medium%3Daffiliate%26utm_campaign%3Dpoke%2Bcottage","Gouging Fire ex")</f>
        <v>Gouging Fire ex</v>
      </c>
      <c r="D329" s="5" t="s">
        <v>202</v>
      </c>
      <c r="E329" s="5" t="s">
        <v>25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206</v>
      </c>
      <c r="C330" s="6" t="str">
        <f aca="false">HYPERLINK("https://partner.tcgplayer.com/c/6278691/1780961/21018?u=https%3A%2F%2Fwww.tcgplayer.com%2Fproduct%2F542910%3Futm_source%3Dimpact%26utm_medium%3Daffiliate%26utm_campaign%3Dpoke%2Bcottage","Walking Wake ex")</f>
        <v>Walking Wake ex</v>
      </c>
      <c r="D330" s="5" t="s">
        <v>202</v>
      </c>
      <c r="E330" s="5" t="s">
        <v>25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207</v>
      </c>
      <c r="C331" s="6" t="str">
        <f aca="false">HYPERLINK("https://partner.tcgplayer.com/c/6278691/1780961/21018?u=https%3A%2F%2Fwww.tcgplayer.com%2Fproduct%2F542911%3Futm_source%3Dimpact%26utm_medium%3Daffiliate%26utm_campaign%3Dpoke%2Bcottage","Wugtrio ex")</f>
        <v>Wugtrio ex</v>
      </c>
      <c r="D331" s="5" t="s">
        <v>202</v>
      </c>
      <c r="E331" s="5" t="s">
        <v>25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208</v>
      </c>
      <c r="C332" s="6" t="str">
        <f aca="false">HYPERLINK("https://partner.tcgplayer.com/c/6278691/1780961/21018?u=https%3A%2F%2Fwww.tcgplayer.com%2Fproduct%2F542912%3Futm_source%3Dimpact%26utm_medium%3Daffiliate%26utm_campaign%3Dpoke%2Bcottage","Iron Crown ex")</f>
        <v>Iron Crown ex</v>
      </c>
      <c r="D332" s="5" t="s">
        <v>202</v>
      </c>
      <c r="E332" s="5" t="s">
        <v>25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209</v>
      </c>
      <c r="C333" s="6" t="str">
        <f aca="false">HYPERLINK("https://partner.tcgplayer.com/c/6278691/1780961/21018?u=https%3A%2F%2Fwww.tcgplayer.com%2Fproduct%2F542913%3Futm_source%3Dimpact%26utm_medium%3Daffiliate%26utm_campaign%3Dpoke%2Bcottage","Iron Boulder ex")</f>
        <v>Iron Boulder ex</v>
      </c>
      <c r="D333" s="5" t="s">
        <v>202</v>
      </c>
      <c r="E333" s="5" t="s">
        <v>25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210</v>
      </c>
      <c r="C334" s="6" t="str">
        <f aca="false">HYPERLINK("https://partner.tcgplayer.com/c/6278691/1780961/21018?u=https%3A%2F%2Fwww.tcgplayer.com%2Fproduct%2F542914%3Futm_source%3Dimpact%26utm_medium%3Daffiliate%26utm_campaign%3Dpoke%2Bcottage","Gengar ex")</f>
        <v>Gengar ex</v>
      </c>
      <c r="D334" s="5" t="s">
        <v>202</v>
      </c>
      <c r="E334" s="5" t="s">
        <v>25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211</v>
      </c>
      <c r="C335" s="6" t="str">
        <f aca="false">HYPERLINK("https://partner.tcgplayer.com/c/6278691/1780961/21018?u=https%3A%2F%2Fwww.tcgplayer.com%2Fproduct%2F542915%3Futm_source%3Dimpact%26utm_medium%3Daffiliate%26utm_campaign%3Dpoke%2Bcottage","Farigiraf ex")</f>
        <v>Farigiraf ex</v>
      </c>
      <c r="D335" s="5" t="s">
        <v>202</v>
      </c>
      <c r="E335" s="5" t="s">
        <v>25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212</v>
      </c>
      <c r="C336" s="6" t="str">
        <f aca="false">HYPERLINK("https://partner.tcgplayer.com/c/6278691/1780961/21018?u=https%3A%2F%2Fwww.tcgplayer.com%2Fproduct%2F542916%3Futm_source%3Dimpact%26utm_medium%3Daffiliate%26utm_campaign%3Dpoke%2Bcottage","Scizor ex")</f>
        <v>Scizor ex</v>
      </c>
      <c r="D336" s="5" t="s">
        <v>202</v>
      </c>
      <c r="E336" s="5" t="s">
        <v>25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213</v>
      </c>
      <c r="C337" s="6" t="str">
        <f aca="false">HYPERLINK("https://partner.tcgplayer.com/c/6278691/1780961/21018?u=https%3A%2F%2Fwww.tcgplayer.com%2Fproduct%2F542917%3Futm_source%3Dimpact%26utm_medium%3Daffiliate%26utm_campaign%3Dpoke%2Bcottage","Raging Bolt ex")</f>
        <v>Raging Bolt ex</v>
      </c>
      <c r="D337" s="5" t="s">
        <v>202</v>
      </c>
      <c r="E337" s="5" t="s">
        <v>25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214</v>
      </c>
      <c r="C338" s="6" t="str">
        <f aca="false">HYPERLINK("https://partner.tcgplayer.com/c/6278691/1780961/21018?u=https%3A%2F%2Fwww.tcgplayer.com%2Fproduct%2F542918%3Futm_source%3Dimpact%26utm_medium%3Daffiliate%26utm_campaign%3Dpoke%2Bcottage","Bianca's Devotion")</f>
        <v>Bianca's Devotion</v>
      </c>
      <c r="D338" s="5" t="s">
        <v>202</v>
      </c>
      <c r="E338" s="5" t="s">
        <v>25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215</v>
      </c>
      <c r="C339" s="6" t="str">
        <f aca="false">HYPERLINK("https://partner.tcgplayer.com/c/6278691/1780961/21018?u=https%3A%2F%2Fwww.tcgplayer.com%2Fproduct%2F542919%3Futm_source%3Dimpact%26utm_medium%3Daffiliate%26utm_campaign%3Dpoke%2Bcottage","Ciphermaniac's Codebreaking")</f>
        <v>Ciphermaniac's Codebreaking</v>
      </c>
      <c r="D339" s="5" t="s">
        <v>202</v>
      </c>
      <c r="E339" s="5" t="s">
        <v>25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216</v>
      </c>
      <c r="C340" s="6" t="str">
        <f aca="false">HYPERLINK("https://partner.tcgplayer.com/c/6278691/1780961/21018?u=https%3A%2F%2Fwww.tcgplayer.com%2Fproduct%2F542920%3Futm_source%3Dimpact%26utm_medium%3Daffiliate%26utm_campaign%3Dpoke%2Bcottage","Eri")</f>
        <v>Eri</v>
      </c>
      <c r="D340" s="5" t="s">
        <v>202</v>
      </c>
      <c r="E340" s="5" t="s">
        <v>25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217</v>
      </c>
      <c r="C341" s="6" t="str">
        <f aca="false">HYPERLINK("https://partner.tcgplayer.com/c/6278691/1780961/21018?u=https%3A%2F%2Fwww.tcgplayer.com%2Fproduct%2F542921%3Futm_source%3Dimpact%26utm_medium%3Daffiliate%26utm_campaign%3Dpoke%2Bcottage","Explorer's Guidance")</f>
        <v>Explorer's Guidance</v>
      </c>
      <c r="D341" s="5" t="s">
        <v>202</v>
      </c>
      <c r="E341" s="5" t="s">
        <v>25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218</v>
      </c>
      <c r="C342" s="6" t="str">
        <f aca="false">HYPERLINK("https://partner.tcgplayer.com/c/6278691/1780961/21018?u=https%3A%2F%2Fwww.tcgplayer.com%2Fproduct%2F542922%3Futm_source%3Dimpact%26utm_medium%3Daffiliate%26utm_campaign%3Dpoke%2Bcottage","Morty's Conviction")</f>
        <v>Morty's Conviction</v>
      </c>
      <c r="D342" s="5" t="s">
        <v>202</v>
      </c>
      <c r="E342" s="5" t="s">
        <v>25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219</v>
      </c>
      <c r="C343" s="6" t="str">
        <f aca="false">HYPERLINK("https://partner.tcgplayer.com/c/6278691/1780961/21018?u=https%3A%2F%2Fwww.tcgplayer.com%2Fproduct%2F542923%3Futm_source%3Dimpact%26utm_medium%3Daffiliate%26utm_campaign%3Dpoke%2Bcottage","Salvatore")</f>
        <v>Salvatore</v>
      </c>
      <c r="D343" s="5" t="s">
        <v>202</v>
      </c>
      <c r="E343" s="5" t="s">
        <v>25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220</v>
      </c>
      <c r="C344" s="6" t="str">
        <f aca="false">HYPERLINK("https://partner.tcgplayer.com/c/6278691/1780961/21018?u=https%3A%2F%2Fwww.tcgplayer.com%2Fproduct%2F542924%3Futm_source%3Dimpact%26utm_medium%3Daffiliate%26utm_campaign%3Dpoke%2Bcottage","Iron Leaves ex")</f>
        <v>Iron Leaves ex</v>
      </c>
      <c r="D344" s="5" t="s">
        <v>221</v>
      </c>
      <c r="E344" s="5" t="s">
        <v>25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222</v>
      </c>
      <c r="C345" s="6" t="str">
        <f aca="false">HYPERLINK("https://partner.tcgplayer.com/c/6278691/1780961/21018?u=https%3A%2F%2Fwww.tcgplayer.com%2Fproduct%2F542925%3Futm_source%3Dimpact%26utm_medium%3Daffiliate%26utm_campaign%3Dpoke%2Bcottage","Gouging Fire ex")</f>
        <v>Gouging Fire ex</v>
      </c>
      <c r="D345" s="5" t="s">
        <v>221</v>
      </c>
      <c r="E345" s="5" t="s">
        <v>25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223</v>
      </c>
      <c r="C346" s="6" t="str">
        <f aca="false">HYPERLINK("https://partner.tcgplayer.com/c/6278691/1780961/21018?u=https%3A%2F%2Fwww.tcgplayer.com%2Fproduct%2F542926%3Futm_source%3Dimpact%26utm_medium%3Daffiliate%26utm_campaign%3Dpoke%2Bcottage","Walking Wake ex")</f>
        <v>Walking Wake ex</v>
      </c>
      <c r="D346" s="5" t="s">
        <v>221</v>
      </c>
      <c r="E346" s="5" t="s">
        <v>25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224</v>
      </c>
      <c r="C347" s="6" t="str">
        <f aca="false">HYPERLINK("https://partner.tcgplayer.com/c/6278691/1780961/21018?u=https%3A%2F%2Fwww.tcgplayer.com%2Fproduct%2F542927%3Futm_source%3Dimpact%26utm_medium%3Daffiliate%26utm_campaign%3Dpoke%2Bcottage","Iron Crown ex")</f>
        <v>Iron Crown ex</v>
      </c>
      <c r="D347" s="5" t="s">
        <v>221</v>
      </c>
      <c r="E347" s="5" t="s">
        <v>25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225</v>
      </c>
      <c r="C348" s="6" t="str">
        <f aca="false">HYPERLINK("https://partner.tcgplayer.com/c/6278691/1780961/21018?u=https%3A%2F%2Fwww.tcgplayer.com%2Fproduct%2F542928%3Futm_source%3Dimpact%26utm_medium%3Daffiliate%26utm_campaign%3Dpoke%2Bcottage","Iron Boulder ex")</f>
        <v>Iron Boulder ex</v>
      </c>
      <c r="D348" s="5" t="s">
        <v>221</v>
      </c>
      <c r="E348" s="5" t="s">
        <v>25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226</v>
      </c>
      <c r="C349" s="6" t="str">
        <f aca="false">HYPERLINK("https://partner.tcgplayer.com/c/6278691/1780961/21018?u=https%3A%2F%2Fwww.tcgplayer.com%2Fproduct%2F542929%3Futm_source%3Dimpact%26utm_medium%3Daffiliate%26utm_campaign%3Dpoke%2Bcottage","Raging Bolt ex")</f>
        <v>Raging Bolt ex</v>
      </c>
      <c r="D349" s="5" t="s">
        <v>221</v>
      </c>
      <c r="E349" s="5" t="s">
        <v>25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227</v>
      </c>
      <c r="C350" s="6" t="str">
        <f aca="false">HYPERLINK("https://partner.tcgplayer.com/c/6278691/1780961/21018?u=https%3A%2F%2Fwww.tcgplayer.com%2Fproduct%2F542930%3Futm_source%3Dimpact%26utm_medium%3Daffiliate%26utm_campaign%3Dpoke%2Bcottage","Bianca's Devotion")</f>
        <v>Bianca's Devotion</v>
      </c>
      <c r="D350" s="5" t="s">
        <v>221</v>
      </c>
      <c r="E350" s="5" t="s">
        <v>25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228</v>
      </c>
      <c r="C351" s="6" t="str">
        <f aca="false">HYPERLINK("https://partner.tcgplayer.com/c/6278691/1780961/21018?u=https%3A%2F%2Fwww.tcgplayer.com%2Fproduct%2F542931%3Futm_source%3Dimpact%26utm_medium%3Daffiliate%26utm_campaign%3Dpoke%2Bcottage","Eri")</f>
        <v>Eri</v>
      </c>
      <c r="D351" s="5" t="s">
        <v>221</v>
      </c>
      <c r="E351" s="5" t="s">
        <v>25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229</v>
      </c>
      <c r="C352" s="6" t="str">
        <f aca="false">HYPERLINK("https://partner.tcgplayer.com/c/6278691/1780961/21018?u=https%3A%2F%2Fwww.tcgplayer.com%2Fproduct%2F542932%3Futm_source%3Dimpact%26utm_medium%3Daffiliate%26utm_campaign%3Dpoke%2Bcottage","Morty's Conviction")</f>
        <v>Morty's Conviction</v>
      </c>
      <c r="D352" s="5" t="s">
        <v>221</v>
      </c>
      <c r="E352" s="5" t="s">
        <v>25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230</v>
      </c>
      <c r="C353" s="6" t="str">
        <f aca="false">HYPERLINK("https://partner.tcgplayer.com/c/6278691/1780961/21018?u=https%3A%2F%2Fwww.tcgplayer.com%2Fproduct%2F542933%3Futm_source%3Dimpact%26utm_medium%3Daffiliate%26utm_campaign%3Dpoke%2Bcottage","Salvatore")</f>
        <v>Salvatore</v>
      </c>
      <c r="D353" s="5" t="s">
        <v>221</v>
      </c>
      <c r="E353" s="5" t="s">
        <v>25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231</v>
      </c>
      <c r="C354" s="6" t="str">
        <f aca="false">HYPERLINK("https://partner.tcgplayer.com/c/6278691/1780961/21018?u=https%3A%2F%2Fwww.tcgplayer.com%2Fproduct%2F542934%3Futm_source%3Dimpact%26utm_medium%3Daffiliate%26utm_campaign%3Dpoke%2Bcottage","Iron Leaves ex")</f>
        <v>Iron Leaves ex</v>
      </c>
      <c r="D354" s="5" t="s">
        <v>232</v>
      </c>
      <c r="E354" s="5" t="s">
        <v>25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233</v>
      </c>
      <c r="C355" s="6" t="str">
        <f aca="false">HYPERLINK("https://partner.tcgplayer.com/c/6278691/1780961/21018?u=https%3A%2F%2Fwww.tcgplayer.com%2Fproduct%2F542935%3Futm_source%3Dimpact%26utm_medium%3Daffiliate%26utm_campaign%3Dpoke%2Bcottage","Gouging Fire ex")</f>
        <v>Gouging Fire ex</v>
      </c>
      <c r="D355" s="5" t="s">
        <v>232</v>
      </c>
      <c r="E355" s="5" t="s">
        <v>25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234</v>
      </c>
      <c r="C356" s="6" t="str">
        <f aca="false">HYPERLINK("https://partner.tcgplayer.com/c/6278691/1780961/21018?u=https%3A%2F%2Fwww.tcgplayer.com%2Fproduct%2F542936%3Futm_source%3Dimpact%26utm_medium%3Daffiliate%26utm_campaign%3Dpoke%2Bcottage","Walking Wake ex")</f>
        <v>Walking Wake ex</v>
      </c>
      <c r="D356" s="5" t="s">
        <v>232</v>
      </c>
      <c r="E356" s="5" t="s">
        <v>25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235</v>
      </c>
      <c r="C357" s="6" t="str">
        <f aca="false">HYPERLINK("https://partner.tcgplayer.com/c/6278691/1780961/21018?u=https%3A%2F%2Fwww.tcgplayer.com%2Fproduct%2F542937%3Futm_source%3Dimpact%26utm_medium%3Daffiliate%26utm_campaign%3Dpoke%2Bcottage","Iron Crown ex")</f>
        <v>Iron Crown ex</v>
      </c>
      <c r="D357" s="5" t="s">
        <v>232</v>
      </c>
      <c r="E357" s="5" t="s">
        <v>25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236</v>
      </c>
      <c r="C358" s="6" t="str">
        <f aca="false">HYPERLINK("https://partner.tcgplayer.com/c/6278691/1780961/21018?u=https%3A%2F%2Fwww.tcgplayer.com%2Fproduct%2F542938%3Futm_source%3Dimpact%26utm_medium%3Daffiliate%26utm_campaign%3Dpoke%2Bcottage","Iron Boulder ex")</f>
        <v>Iron Boulder ex</v>
      </c>
      <c r="D358" s="5" t="s">
        <v>232</v>
      </c>
      <c r="E358" s="5" t="s">
        <v>25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237</v>
      </c>
      <c r="C359" s="6" t="str">
        <f aca="false">HYPERLINK("https://partner.tcgplayer.com/c/6278691/1780961/21018?u=https%3A%2F%2Fwww.tcgplayer.com%2Fproduct%2F542939%3Futm_source%3Dimpact%26utm_medium%3Daffiliate%26utm_campaign%3Dpoke%2Bcottage","Raging Bolt ex")</f>
        <v>Raging Bolt ex</v>
      </c>
      <c r="D359" s="5" t="s">
        <v>232</v>
      </c>
      <c r="E359" s="5" t="s">
        <v>25</v>
      </c>
      <c r="F359" s="5"/>
      <c r="G359" s="5"/>
      <c r="H359" s="7"/>
    </row>
    <row r="360" customFormat="false" ht="32" hidden="false" customHeight="true" outlineLevel="0" collapsed="false">
      <c r="A360" s="1" t="s">
        <v>238</v>
      </c>
      <c r="B360" s="1"/>
      <c r="C360" s="1"/>
      <c r="D360" s="1"/>
      <c r="E360" s="1"/>
      <c r="F360" s="1"/>
      <c r="G360" s="1"/>
      <c r="H360" s="1"/>
    </row>
    <row r="361" customFormat="false" ht="30" hidden="false" customHeight="true" outlineLevel="0" collapsed="false">
      <c r="A361" s="4" t="s">
        <v>6</v>
      </c>
      <c r="B361" s="5" t="s">
        <v>239</v>
      </c>
      <c r="C361" s="6" t="str">
        <f aca="false">HYPERLINK("https://partner.tcgplayer.com/c/6278691/1780961/21018?u=https%3A%2F%2Fwww.tcgplayer.com%2Fproduct%2F543950%3Futm_source%3Dimpact%26utm_medium%3Daffiliate%26utm_campaign%3Dpoke%2Bcottage","Feraligatr")</f>
        <v>Feraligatr</v>
      </c>
      <c r="D361" s="5" t="s">
        <v>240</v>
      </c>
      <c r="E361" s="5"/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239</v>
      </c>
      <c r="C362" s="6" t="str">
        <f aca="false">HYPERLINK("https://partner.tcgplayer.com/c/6278691/1780961/21018?u=https%3A%2F%2Fwww.tcgplayer.com%2Fproduct%2F548310%3Futm_source%3Dimpact%26utm_medium%3Daffiliate%26utm_campaign%3Dpoke%2Bcottage","Feraligatr - Staff")</f>
        <v>Feraligatr - Staff</v>
      </c>
      <c r="D362" s="5" t="s">
        <v>241</v>
      </c>
      <c r="E362" s="5"/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242</v>
      </c>
      <c r="C363" s="6" t="str">
        <f aca="false">HYPERLINK("https://partner.tcgplayer.com/c/6278691/1780961/21018?u=https%3A%2F%2Fwww.tcgplayer.com%2Fproduct%2F543951%3Futm_source%3Dimpact%26utm_medium%3Daffiliate%26utm_campaign%3Dpoke%2Bcottage","Metang")</f>
        <v>Metang</v>
      </c>
      <c r="D363" s="5" t="s">
        <v>240</v>
      </c>
      <c r="E363" s="5"/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242</v>
      </c>
      <c r="C364" s="6" t="str">
        <f aca="false">HYPERLINK("https://partner.tcgplayer.com/c/6278691/1780961/21018?u=https%3A%2F%2Fwww.tcgplayer.com%2Fproduct%2F548311%3Futm_source%3Dimpact%26utm_medium%3Daffiliate%26utm_campaign%3Dpoke%2Bcottage","Metang - Staff")</f>
        <v>Metang - Staff</v>
      </c>
      <c r="D364" s="5" t="s">
        <v>241</v>
      </c>
      <c r="E364" s="5"/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243</v>
      </c>
      <c r="C365" s="6" t="str">
        <f aca="false">HYPERLINK("https://partner.tcgplayer.com/c/6278691/1780961/21018?u=https%3A%2F%2Fwww.tcgplayer.com%2Fproduct%2F543952%3Futm_source%3Dimpact%26utm_medium%3Daffiliate%26utm_campaign%3Dpoke%2Bcottage","Koraidon")</f>
        <v>Koraidon</v>
      </c>
      <c r="D365" s="5" t="s">
        <v>240</v>
      </c>
      <c r="E365" s="5"/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243</v>
      </c>
      <c r="C366" s="6" t="str">
        <f aca="false">HYPERLINK("https://partner.tcgplayer.com/c/6278691/1780961/21018?u=https%3A%2F%2Fwww.tcgplayer.com%2Fproduct%2F548308%3Futm_source%3Dimpact%26utm_medium%3Daffiliate%26utm_campaign%3Dpoke%2Bcottage","Koraidon - Staff")</f>
        <v>Koraidon - Staff</v>
      </c>
      <c r="D366" s="5" t="s">
        <v>241</v>
      </c>
      <c r="E366" s="5"/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244</v>
      </c>
      <c r="C367" s="6" t="str">
        <f aca="false">HYPERLINK("https://partner.tcgplayer.com/c/6278691/1780961/21018?u=https%3A%2F%2Fwww.tcgplayer.com%2Fproduct%2F543953%3Futm_source%3Dimpact%26utm_medium%3Daffiliate%26utm_campaign%3Dpoke%2Bcottage","Miraidon")</f>
        <v>Miraidon</v>
      </c>
      <c r="D367" s="5" t="s">
        <v>240</v>
      </c>
      <c r="E367" s="5"/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244</v>
      </c>
      <c r="C368" s="6" t="str">
        <f aca="false">HYPERLINK("https://partner.tcgplayer.com/c/6278691/1780961/21018?u=https%3A%2F%2Fwww.tcgplayer.com%2Fproduct%2F548309%3Futm_source%3Dimpact%26utm_medium%3Daffiliate%26utm_campaign%3Dpoke%2Bcottage","Miraidon - Staff")</f>
        <v>Miraidon - Staff</v>
      </c>
      <c r="D368" s="5" t="s">
        <v>241</v>
      </c>
      <c r="E368" s="5"/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245</v>
      </c>
      <c r="C369" s="6" t="str">
        <f aca="false">HYPERLINK("https://partner.tcgplayer.com/c/6278691/1780961/21018?u=https%3A%2F%2Fwww.tcgplayer.com%2Fproduct%2F544183%3Futm_source%3Dimpact%26utm_medium%3Daffiliate%26utm_campaign%3Dpoke%2Bcottage","Carvanha")</f>
        <v>Carvanha</v>
      </c>
      <c r="D369" s="5" t="s">
        <v>246</v>
      </c>
      <c r="E369" s="5"/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247</v>
      </c>
      <c r="C370" s="6" t="str">
        <f aca="false">HYPERLINK("https://partner.tcgplayer.com/c/6278691/1780961/21018?u=https%3A%2F%2Fwww.tcgplayer.com%2Fproduct%2F544194%3Futm_source%3Dimpact%26utm_medium%3Daffiliate%26utm_campaign%3Dpoke%2Bcottage","Bellibolt")</f>
        <v>Bellibolt</v>
      </c>
      <c r="D370" s="5" t="s">
        <v>246</v>
      </c>
      <c r="E370" s="5"/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248</v>
      </c>
      <c r="C371" s="6" t="str">
        <f aca="false">HYPERLINK("https://partner.tcgplayer.com/c/6278691/1780961/21018?u=https%3A%2F%2Fwww.tcgplayer.com%2Fproduct%2F544201%3Futm_source%3Dimpact%26utm_medium%3Daffiliate%26utm_campaign%3Dpoke%2Bcottage","Cleffa")</f>
        <v>Cleffa</v>
      </c>
      <c r="D371" s="5" t="s">
        <v>249</v>
      </c>
      <c r="E371" s="5"/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250</v>
      </c>
      <c r="C372" s="6" t="str">
        <f aca="false">HYPERLINK("https://partner.tcgplayer.com/c/6278691/1780961/21018?u=https%3A%2F%2Fwww.tcgplayer.com%2Fproduct%2F544214%3Futm_source%3Dimpact%26utm_medium%3Daffiliate%26utm_campaign%3Dpoke%2Bcottage","Cyclizard")</f>
        <v>Cyclizard</v>
      </c>
      <c r="D372" s="5" t="s">
        <v>249</v>
      </c>
      <c r="E372" s="5"/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251</v>
      </c>
      <c r="C373" s="6" t="str">
        <f aca="false">HYPERLINK("https://partner.tcgplayer.com/c/6278691/1780961/21018?u=https%3A%2F%2Fwww.tcgplayer.com%2Fproduct%2F543947%3Futm_source%3Dimpact%26utm_medium%3Daffiliate%26utm_campaign%3Dpoke%2Bcottage","Flutter Mane - Pokemon Center Stamp")</f>
        <v>Flutter Mane - Pokemon Center Stamp</v>
      </c>
      <c r="D373" s="5" t="s">
        <v>252</v>
      </c>
      <c r="E373" s="5"/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251</v>
      </c>
      <c r="C374" s="6" t="str">
        <f aca="false">HYPERLINK("https://partner.tcgplayer.com/c/6278691/1780961/21018?u=https%3A%2F%2Fwww.tcgplayer.com%2Fproduct%2F543946%3Futm_source%3Dimpact%26utm_medium%3Daffiliate%26utm_campaign%3Dpoke%2Bcottage","Flutter Mane")</f>
        <v>Flutter Mane</v>
      </c>
      <c r="D374" s="5" t="s">
        <v>253</v>
      </c>
      <c r="E374" s="5"/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254</v>
      </c>
      <c r="C375" s="6" t="str">
        <f aca="false">HYPERLINK("https://partner.tcgplayer.com/c/6278691/1780961/21018?u=https%3A%2F%2Fwww.tcgplayer.com%2Fproduct%2F543948%3Futm_source%3Dimpact%26utm_medium%3Daffiliate%26utm_campaign%3Dpoke%2Bcottage","Iron Thorns")</f>
        <v>Iron Thorns</v>
      </c>
      <c r="D375" s="5" t="s">
        <v>255</v>
      </c>
      <c r="E375" s="5"/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254</v>
      </c>
      <c r="C376" s="6" t="str">
        <f aca="false">HYPERLINK("https://partner.tcgplayer.com/c/6278691/1780961/21018?u=https%3A%2F%2Fwww.tcgplayer.com%2Fproduct%2F543949%3Futm_source%3Dimpact%26utm_medium%3Daffiliate%26utm_campaign%3Dpoke%2Bcottage","Iron Thorns - Pokemon Center Stamp")</f>
        <v>Iron Thorns - Pokemon Center Stamp</v>
      </c>
      <c r="D376" s="5" t="s">
        <v>252</v>
      </c>
      <c r="E376" s="5"/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23</v>
      </c>
      <c r="C377" s="6" t="str">
        <f aca="false">HYPERLINK("https://partner.tcgplayer.com/c/6278691/1780961/21018?u=https%3A%2F%2Fwww.tcgplayer.com%2Fproduct%2F596428%3Futm_source%3Dimpact%26utm_medium%3Daffiliate%26utm_campaign%3Dpoke%2Bcottage","Torterra ex")</f>
        <v>Torterra ex</v>
      </c>
      <c r="D377" s="5" t="s">
        <v>256</v>
      </c>
      <c r="E377" s="5"/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35</v>
      </c>
      <c r="C378" s="6" t="str">
        <f aca="false">HYPERLINK("https://partner.tcgplayer.com/c/6278691/1780961/21018?u=https%3A%2F%2Fwww.tcgplayer.com%2Fproduct%2F565281%3Futm_source%3Dimpact%26utm_medium%3Daffiliate%26utm_campaign%3Dpoke%2Bcottage","Brambleghast")</f>
        <v>Brambleghast</v>
      </c>
      <c r="D378" s="5" t="s">
        <v>256</v>
      </c>
      <c r="E378" s="5"/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38</v>
      </c>
      <c r="C379" s="6" t="str">
        <f aca="false">HYPERLINK("https://partner.tcgplayer.com/c/6278691/1780961/21018?u=https%3A%2F%2Fwww.tcgplayer.com%2Fproduct%2F577570%3Futm_source%3Dimpact%26utm_medium%3Daffiliate%26utm_campaign%3Dpoke%2Bcottage","Rabsca")</f>
        <v>Rabsca</v>
      </c>
      <c r="D379" s="5" t="s">
        <v>256</v>
      </c>
      <c r="E379" s="5"/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38</v>
      </c>
      <c r="C380" s="6" t="str">
        <f aca="false">HYPERLINK("https://partner.tcgplayer.com/c/6278691/1780961/21018?u=https%3A%2F%2Fwww.tcgplayer.com%2Fproduct%2F577570%3Futm_source%3Dimpact%26utm_medium%3Daffiliate%26utm_campaign%3Dpoke%2Bcottage","Rabsca")</f>
        <v>Rabsca</v>
      </c>
      <c r="D380" s="5" t="s">
        <v>257</v>
      </c>
      <c r="E380" s="5"/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48</v>
      </c>
      <c r="C381" s="6" t="str">
        <f aca="false">HYPERLINK("https://partner.tcgplayer.com/c/6278691/1780961/21018?u=https%3A%2F%2Fwww.tcgplayer.com%2Fproduct%2F664089%3Futm_source%3Dimpact%26utm_medium%3Daffiliate%26utm_campaign%3Dpoke%2Bcottage","Incineroar ex")</f>
        <v>Incineroar ex</v>
      </c>
      <c r="D381" s="5" t="s">
        <v>258</v>
      </c>
      <c r="E381" s="5"/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55</v>
      </c>
      <c r="C382" s="6" t="str">
        <f aca="false">HYPERLINK("https://partner.tcgplayer.com/c/6278691/1780961/21018?u=https%3A%2F%2Fwww.tcgplayer.com%2Fproduct%2F543956%3Futm_source%3Dimpact%26utm_medium%3Daffiliate%26utm_campaign%3Dpoke%2Bcottage","Feraligatr")</f>
        <v>Feraligatr</v>
      </c>
      <c r="D382" s="5" t="s">
        <v>259</v>
      </c>
      <c r="E382" s="5"/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55</v>
      </c>
      <c r="C383" s="6" t="str">
        <f aca="false">HYPERLINK("https://partner.tcgplayer.com/c/6278691/1780961/21018?u=https%3A%2F%2Fwww.tcgplayer.com%2Fproduct%2F565457%3Futm_source%3Dimpact%26utm_medium%3Daffiliate%26utm_campaign%3Dpoke%2Bcottage","Feraligatr")</f>
        <v>Feraligatr</v>
      </c>
      <c r="D383" s="5" t="s">
        <v>256</v>
      </c>
      <c r="E383" s="5"/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65</v>
      </c>
      <c r="C384" s="6" t="str">
        <f aca="false">HYPERLINK("https://partner.tcgplayer.com/c/6278691/1780961/21018?u=https%3A%2F%2Fwww.tcgplayer.com%2Fproduct%2F599656%3Futm_source%3Dimpact%26utm_medium%3Daffiliate%26utm_campaign%3Dpoke%2Bcottage","Pikachu")</f>
        <v>Pikachu</v>
      </c>
      <c r="D384" s="5" t="s">
        <v>260</v>
      </c>
      <c r="E384" s="5"/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65</v>
      </c>
      <c r="C385" s="6" t="str">
        <f aca="false">HYPERLINK("https://partner.tcgplayer.com/c/6278691/1780961/21018?u=https%3A%2F%2Fwww.tcgplayer.com%2Fproduct%2F673358%3Futm_source%3Dimpact%26utm_medium%3Daffiliate%26utm_campaign%3Dpoke%2Bcottage","Pikachu")</f>
        <v>Pikachu</v>
      </c>
      <c r="D385" s="5" t="s">
        <v>261</v>
      </c>
      <c r="E385" s="5"/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76</v>
      </c>
      <c r="C386" s="6" t="str">
        <f aca="false">HYPERLINK("https://partner.tcgplayer.com/c/6278691/1780961/21018?u=https%3A%2F%2Fwww.tcgplayer.com%2Fproduct%2F604490%3Futm_source%3Dimpact%26utm_medium%3Daffiliate%26utm_campaign%3Dpoke%2Bcottage","Iron Thorns")</f>
        <v>Iron Thorns</v>
      </c>
      <c r="D386" s="5" t="s">
        <v>260</v>
      </c>
      <c r="E386" s="5"/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76</v>
      </c>
      <c r="C387" s="6" t="str">
        <f aca="false">HYPERLINK("https://partner.tcgplayer.com/c/6278691/1780961/21018?u=https%3A%2F%2Fwww.tcgplayer.com%2Fproduct%2F543961%3Futm_source%3Dimpact%26utm_medium%3Daffiliate%26utm_campaign%3Dpoke%2Bcottage","Iron Thorns")</f>
        <v>Iron Thorns</v>
      </c>
      <c r="D387" s="5" t="s">
        <v>259</v>
      </c>
      <c r="E387" s="5"/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91</v>
      </c>
      <c r="C388" s="6" t="str">
        <f aca="false">HYPERLINK("https://partner.tcgplayer.com/c/6278691/1780961/21018?u=https%3A%2F%2Fwww.tcgplayer.com%2Fproduct%2F563017%3Futm_source%3Dimpact%26utm_medium%3Daffiliate%26utm_campaign%3Dpoke%2Bcottage","Scream Tail")</f>
        <v>Scream Tail</v>
      </c>
      <c r="D388" s="5" t="s">
        <v>260</v>
      </c>
      <c r="E388" s="5"/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91</v>
      </c>
      <c r="C389" s="6" t="str">
        <f aca="false">HYPERLINK("https://partner.tcgplayer.com/c/6278691/1780961/21018?u=https%3A%2F%2Fwww.tcgplayer.com%2Fproduct%2F570272%3Futm_source%3Dimpact%26utm_medium%3Daffiliate%26utm_campaign%3Dpoke%2Bcottage","Scream Tail")</f>
        <v>Scream Tail</v>
      </c>
      <c r="D389" s="5" t="s">
        <v>262</v>
      </c>
      <c r="E389" s="5"/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92</v>
      </c>
      <c r="C390" s="6" t="str">
        <f aca="false">HYPERLINK("https://partner.tcgplayer.com/c/6278691/1780961/21018?u=https%3A%2F%2Fwww.tcgplayer.com%2Fproduct%2F543958%3Futm_source%3Dimpact%26utm_medium%3Daffiliate%26utm_campaign%3Dpoke%2Bcottage","Flutter Mane")</f>
        <v>Flutter Mane</v>
      </c>
      <c r="D390" s="5" t="s">
        <v>259</v>
      </c>
      <c r="E390" s="5"/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92</v>
      </c>
      <c r="C391" s="6" t="str">
        <f aca="false">HYPERLINK("https://partner.tcgplayer.com/c/6278691/1780961/21018?u=https%3A%2F%2Fwww.tcgplayer.com%2Fproduct%2F565458%3Futm_source%3Dimpact%26utm_medium%3Daffiliate%26utm_campaign%3Dpoke%2Bcottage","Flutter Mane")</f>
        <v>Flutter Mane</v>
      </c>
      <c r="D391" s="5" t="s">
        <v>256</v>
      </c>
      <c r="E391" s="5"/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92</v>
      </c>
      <c r="C392" s="6" t="str">
        <f aca="false">HYPERLINK("https://partner.tcgplayer.com/c/6278691/1780961/21018?u=https%3A%2F%2Fwww.tcgplayer.com%2Fproduct%2F570273%3Futm_source%3Dimpact%26utm_medium%3Daffiliate%26utm_campaign%3Dpoke%2Bcottage","Flutter Mane")</f>
        <v>Flutter Mane</v>
      </c>
      <c r="D392" s="5" t="s">
        <v>262</v>
      </c>
      <c r="E392" s="5"/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92</v>
      </c>
      <c r="C393" s="6" t="str">
        <f aca="false">HYPERLINK("https://partner.tcgplayer.com/c/6278691/1780961/21018?u=https%3A%2F%2Fwww.tcgplayer.com%2Fproduct%2F637514%3Futm_source%3Dimpact%26utm_medium%3Daffiliate%26utm_campaign%3Dpoke%2Bcottage","Flutter Mane")</f>
        <v>Flutter Mane</v>
      </c>
      <c r="D393" s="5" t="s">
        <v>263</v>
      </c>
      <c r="E393" s="5"/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92</v>
      </c>
      <c r="C394" s="6" t="str">
        <f aca="false">HYPERLINK("https://partner.tcgplayer.com/c/6278691/1780961/21018?u=https%3A%2F%2Fwww.tcgplayer.com%2Fproduct%2F689020%3Futm_source%3Dimpact%26utm_medium%3Daffiliate%26utm_campaign%3Dpoke%2Bcottage","Flutter Mane")</f>
        <v>Flutter Mane</v>
      </c>
      <c r="D394" s="5" t="s">
        <v>264</v>
      </c>
      <c r="E394" s="5"/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93</v>
      </c>
      <c r="C395" s="6" t="str">
        <f aca="false">HYPERLINK("https://partner.tcgplayer.com/c/6278691/1780961/21018?u=https%3A%2F%2Fwww.tcgplayer.com%2Fproduct%2F563016%3Futm_source%3Dimpact%26utm_medium%3Daffiliate%26utm_campaign%3Dpoke%2Bcottage","Iron Valiant")</f>
        <v>Iron Valiant</v>
      </c>
      <c r="D395" s="5" t="s">
        <v>260</v>
      </c>
      <c r="E395" s="5"/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95</v>
      </c>
      <c r="C396" s="6" t="str">
        <f aca="false">HYPERLINK("https://partner.tcgplayer.com/c/6278691/1780961/21018?u=https%3A%2F%2Fwww.tcgplayer.com%2Fproduct%2F565470%3Futm_source%3Dimpact%26utm_medium%3Daffiliate%26utm_campaign%3Dpoke%2Bcottage","Iron Crown ex")</f>
        <v>Iron Crown ex</v>
      </c>
      <c r="D396" s="5" t="s">
        <v>256</v>
      </c>
      <c r="E396" s="5"/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95</v>
      </c>
      <c r="C397" s="6" t="str">
        <f aca="false">HYPERLINK("https://partner.tcgplayer.com/c/6278691/1780961/21018?u=https%3A%2F%2Fwww.tcgplayer.com%2Fproduct%2F564283%3Futm_source%3Dimpact%26utm_medium%3Daffiliate%26utm_campaign%3Dpoke%2Bcottage","Iron Crown ex")</f>
        <v>Iron Crown ex</v>
      </c>
      <c r="D397" s="5" t="s">
        <v>258</v>
      </c>
      <c r="E397" s="5"/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95</v>
      </c>
      <c r="C398" s="5" t="s">
        <v>265</v>
      </c>
      <c r="D398" s="5" t="s">
        <v>266</v>
      </c>
      <c r="E398" s="5"/>
      <c r="F398" s="5" t="str">
        <f aca="false">HYPERLINK("https://www.ebay.com/sch/i.html?_nkw=Iron+Crown+ex+Jumbo+Expansion+Stamp+Temporal+Forces+81+pokemon+card&amp;_sacat=0&amp;_from=R40&amp;_trksid=p4624852.m570.l1313&amp;mkcid=1&amp;mkrid=711-53200-19255-0&amp;siteid=0&amp;campid=5339158445&amp;customid=pokecottage&amp;toolid=10001&amp;mkevt=1","FIND ON EBAY")</f>
        <v>FIND ON EBAY</v>
      </c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98</v>
      </c>
      <c r="C399" s="6" t="str">
        <f aca="false">HYPERLINK("https://partner.tcgplayer.com/c/6278691/1780961/21018?u=https%3A%2F%2Fwww.tcgplayer.com%2Fproduct%2F543959%3Futm_source%3Dimpact%26utm_medium%3Daffiliate%26utm_campaign%3Dpoke%2Bcottage","Relicanth")</f>
        <v>Relicanth</v>
      </c>
      <c r="D399" s="5" t="s">
        <v>259</v>
      </c>
      <c r="E399" s="5"/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99</v>
      </c>
      <c r="C400" s="6" t="str">
        <f aca="false">HYPERLINK("https://partner.tcgplayer.com/c/6278691/1780961/21018?u=https%3A%2F%2Fwww.tcgplayer.com%2Fproduct%2F648339%3Futm_source%3Dimpact%26utm_medium%3Daffiliate%26utm_campaign%3Dpoke%2Bcottage","Drilbur")</f>
        <v>Drilbur</v>
      </c>
      <c r="D400" s="5" t="s">
        <v>257</v>
      </c>
      <c r="E400" s="5"/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110</v>
      </c>
      <c r="C401" s="6" t="str">
        <f aca="false">HYPERLINK("https://partner.tcgplayer.com/c/6278691/1780961/21018?u=https%3A%2F%2Fwww.tcgplayer.com%2Fproduct%2F666604%3Futm_source%3Dimpact%26utm_medium%3Daffiliate%26utm_campaign%3Dpoke%2Bcottage","Great Tusk")</f>
        <v>Great Tusk</v>
      </c>
      <c r="D401" s="5" t="s">
        <v>267</v>
      </c>
      <c r="E401" s="5"/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111</v>
      </c>
      <c r="C402" s="6" t="str">
        <f aca="false">HYPERLINK("https://partner.tcgplayer.com/c/6278691/1780961/21018?u=https%3A%2F%2Fwww.tcgplayer.com%2Fproduct%2F619123%3Futm_source%3Dimpact%26utm_medium%3Daffiliate%26utm_campaign%3Dpoke%2Bcottage","Great Tusk")</f>
        <v>Great Tusk</v>
      </c>
      <c r="D402" s="5" t="s">
        <v>256</v>
      </c>
      <c r="E402" s="5"/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111</v>
      </c>
      <c r="C403" s="6" t="str">
        <f aca="false">HYPERLINK("https://partner.tcgplayer.com/c/6278691/1780961/21018?u=https%3A%2F%2Fwww.tcgplayer.com%2Fproduct%2F637515%3Futm_source%3Dimpact%26utm_medium%3Daffiliate%26utm_campaign%3Dpoke%2Bcottage","Great Tusk")</f>
        <v>Great Tusk</v>
      </c>
      <c r="D403" s="5" t="s">
        <v>263</v>
      </c>
      <c r="E403" s="5"/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116</v>
      </c>
      <c r="C404" s="6" t="str">
        <f aca="false">HYPERLINK("https://partner.tcgplayer.com/c/6278691/1780961/21018?u=https%3A%2F%2Fwww.tcgplayer.com%2Fproduct%2F570320%3Futm_source%3Dimpact%26utm_medium%3Daffiliate%26utm_campaign%3Dpoke%2Bcottage","Gastly")</f>
        <v>Gastly</v>
      </c>
      <c r="D404" s="5" t="s">
        <v>262</v>
      </c>
      <c r="E404" s="5"/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117</v>
      </c>
      <c r="C405" s="6" t="str">
        <f aca="false">HYPERLINK("https://partner.tcgplayer.com/c/6278691/1780961/21018?u=https%3A%2F%2Fwww.tcgplayer.com%2Fproduct%2F570361%3Futm_source%3Dimpact%26utm_medium%3Daffiliate%26utm_campaign%3Dpoke%2Bcottage","Haunter")</f>
        <v>Haunter</v>
      </c>
      <c r="D405" s="5" t="s">
        <v>262</v>
      </c>
      <c r="E405" s="5"/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122</v>
      </c>
      <c r="C406" s="6" t="str">
        <f aca="false">HYPERLINK("https://partner.tcgplayer.com/c/6278691/1780961/21018?u=https%3A%2F%2Fwww.tcgplayer.com%2Fproduct%2F565456%3Futm_source%3Dimpact%26utm_medium%3Daffiliate%26utm_campaign%3Dpoke%2Bcottage","Farigiraf ex")</f>
        <v>Farigiraf ex</v>
      </c>
      <c r="D406" s="5" t="s">
        <v>256</v>
      </c>
      <c r="E406" s="5"/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123</v>
      </c>
      <c r="C407" s="6" t="str">
        <f aca="false">HYPERLINK("https://partner.tcgplayer.com/c/6278691/1780961/21018?u=https%3A%2F%2Fwww.tcgplayer.com%2Fproduct%2F604489%3Futm_source%3Dimpact%26utm_medium%3Daffiliate%26utm_campaign%3Dpoke%2Bcottage","Roaring Moon")</f>
        <v>Roaring Moon</v>
      </c>
      <c r="D407" s="5" t="s">
        <v>260</v>
      </c>
      <c r="E407" s="5"/>
      <c r="F407" s="5"/>
      <c r="G407" s="5"/>
      <c r="H407" s="7"/>
    </row>
    <row r="408" customFormat="false" ht="30" hidden="false" customHeight="true" outlineLevel="0" collapsed="false">
      <c r="A408" s="4" t="s">
        <v>6</v>
      </c>
      <c r="B408" s="5" t="s">
        <v>123</v>
      </c>
      <c r="C408" s="6" t="str">
        <f aca="false">HYPERLINK("https://partner.tcgplayer.com/c/6278691/1780961/21018?u=https%3A%2F%2Fwww.tcgplayer.com%2Fproduct%2F577579%3Futm_source%3Dimpact%26utm_medium%3Daffiliate%26utm_campaign%3Dpoke%2Bcottage","Roaring Moon")</f>
        <v>Roaring Moon</v>
      </c>
      <c r="D408" s="5" t="s">
        <v>256</v>
      </c>
      <c r="E408" s="5"/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123</v>
      </c>
      <c r="C409" s="6" t="str">
        <f aca="false">HYPERLINK("https://partner.tcgplayer.com/c/6278691/1780961/21018?u=https%3A%2F%2Fwww.tcgplayer.com%2Fproduct%2F577579%3Futm_source%3Dimpact%26utm_medium%3Daffiliate%26utm_campaign%3Dpoke%2Bcottage","Roaring Moon")</f>
        <v>Roaring Moon</v>
      </c>
      <c r="D409" s="5" t="s">
        <v>257</v>
      </c>
      <c r="E409" s="5"/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123</v>
      </c>
      <c r="C410" s="6" t="str">
        <f aca="false">HYPERLINK("https://partner.tcgplayer.com/c/6278691/1780961/21018?u=https%3A%2F%2Fwww.tcgplayer.com%2Fproduct%2F637513%3Futm_source%3Dimpact%26utm_medium%3Daffiliate%26utm_campaign%3Dpoke%2Bcottage","Roaring Moon")</f>
        <v>Roaring Moon</v>
      </c>
      <c r="D410" s="5" t="s">
        <v>263</v>
      </c>
      <c r="E410" s="5"/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123</v>
      </c>
      <c r="C411" s="6" t="str">
        <f aca="false">HYPERLINK("https://partner.tcgplayer.com/c/6278691/1780961/21018?u=https%3A%2F%2Fwww.tcgplayer.com%2Fproduct%2F642094%3Futm_source%3Dimpact%26utm_medium%3Daffiliate%26utm_campaign%3Dpoke%2Bcottage","Roaring Moon")</f>
        <v>Roaring Moon</v>
      </c>
      <c r="D411" s="5" t="s">
        <v>268</v>
      </c>
      <c r="E411" s="5"/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128</v>
      </c>
      <c r="C412" s="6" t="str">
        <f aca="false">HYPERLINK("https://partner.tcgplayer.com/c/6278691/1780961/21018?u=https%3A%2F%2Fwww.tcgplayer.com%2Fproduct%2F619140%3Futm_source%3Dimpact%26utm_medium%3Daffiliate%26utm_campaign%3Dpoke%2Bcottage","Metang")</f>
        <v>Metang</v>
      </c>
      <c r="D412" s="5" t="s">
        <v>257</v>
      </c>
      <c r="E412" s="5"/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132</v>
      </c>
      <c r="C413" s="6" t="str">
        <f aca="false">HYPERLINK("https://partner.tcgplayer.com/c/6278691/1780961/21018?u=https%3A%2F%2Fwww.tcgplayer.com%2Fproduct%2F666602%3Futm_source%3Dimpact%26utm_medium%3Daffiliate%26utm_campaign%3Dpoke%2Bcottage","Iron Treads")</f>
        <v>Iron Treads</v>
      </c>
      <c r="D413" s="5" t="s">
        <v>267</v>
      </c>
      <c r="E413" s="5"/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133</v>
      </c>
      <c r="C414" s="6" t="str">
        <f aca="false">HYPERLINK("https://partner.tcgplayer.com/c/6278691/1780961/21018?u=https%3A%2F%2Fwww.tcgplayer.com%2Fproduct%2F604491%3Futm_source%3Dimpact%26utm_medium%3Daffiliate%26utm_campaign%3Dpoke%2Bcottage","Koraidon")</f>
        <v>Koraidon</v>
      </c>
      <c r="D414" s="5" t="s">
        <v>260</v>
      </c>
      <c r="E414" s="5"/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133</v>
      </c>
      <c r="C415" s="6" t="str">
        <f aca="false">HYPERLINK("https://partner.tcgplayer.com/c/6278691/1780961/21018?u=https%3A%2F%2Fwww.tcgplayer.com%2Fproduct%2F543957%3Futm_source%3Dimpact%26utm_medium%3Daffiliate%26utm_campaign%3Dpoke%2Bcottage","Koraidon")</f>
        <v>Koraidon</v>
      </c>
      <c r="D415" s="5" t="s">
        <v>259</v>
      </c>
      <c r="E415" s="5"/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133</v>
      </c>
      <c r="C416" s="6" t="str">
        <f aca="false">HYPERLINK("https://partner.tcgplayer.com/c/6278691/1780961/21018?u=https%3A%2F%2Fwww.tcgplayer.com%2Fproduct%2F565473%3Futm_source%3Dimpact%26utm_medium%3Daffiliate%26utm_campaign%3Dpoke%2Bcottage","Koraidon")</f>
        <v>Koraidon</v>
      </c>
      <c r="D416" s="5" t="s">
        <v>256</v>
      </c>
      <c r="E416" s="5"/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133</v>
      </c>
      <c r="C417" s="6" t="str">
        <f aca="false">HYPERLINK("https://partner.tcgplayer.com/c/6278691/1780961/21018?u=https%3A%2F%2Fwww.tcgplayer.com%2Fproduct%2F550633%2Fpokemon-miscellaneous-cards-and-products-koraidon-119-162-eb-games-promo%3Futm_source%3Dimpact%26utm_medium%3Daffiliate%26utm_campaign%3Dpoke%2Bcottage","Koraidon")</f>
        <v>Koraidon</v>
      </c>
      <c r="D417" s="5" t="s">
        <v>269</v>
      </c>
      <c r="E417" s="5"/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133</v>
      </c>
      <c r="C418" s="6" t="str">
        <f aca="false">HYPERLINK("https://partner.tcgplayer.com/c/6278691/1780961/21018?u=https%3A%2F%2Fwww.tcgplayer.com%2Fproduct%2F586555%3Futm_source%3Dimpact%26utm_medium%3Daffiliate%26utm_campaign%3Dpoke%2Bcottage","Koraidon")</f>
        <v>Koraidon</v>
      </c>
      <c r="D418" s="5" t="s">
        <v>267</v>
      </c>
      <c r="E418" s="5"/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133</v>
      </c>
      <c r="C419" s="6" t="str">
        <f aca="false">HYPERLINK("https://partner.tcgplayer.com/c/6278691/1780961/21018?u=https%3A%2F%2Fwww.tcgplayer.com%2Fproduct%2F543954%3Futm_source%3Dimpact%26utm_medium%3Daffiliate%26utm_campaign%3Dpoke%2Bcottage","Koraidon")</f>
        <v>Koraidon</v>
      </c>
      <c r="D419" s="5" t="s">
        <v>270</v>
      </c>
      <c r="E419" s="5"/>
      <c r="F419" s="5"/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135</v>
      </c>
      <c r="C420" s="6" t="str">
        <f aca="false">HYPERLINK("https://partner.tcgplayer.com/c/6278691/1780961/21018?u=https%3A%2F%2Fwww.tcgplayer.com%2Fproduct%2F565482%3Futm_source%3Dimpact%26utm_medium%3Daffiliate%26utm_campaign%3Dpoke%2Bcottage","Miraidon")</f>
        <v>Miraidon</v>
      </c>
      <c r="D420" s="5" t="s">
        <v>260</v>
      </c>
      <c r="E420" s="5"/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135</v>
      </c>
      <c r="C421" s="6" t="str">
        <f aca="false">HYPERLINK("https://partner.tcgplayer.com/c/6278691/1780961/21018?u=https%3A%2F%2Fwww.tcgplayer.com%2Fproduct%2F543960%3Futm_source%3Dimpact%26utm_medium%3Daffiliate%26utm_campaign%3Dpoke%2Bcottage","Miraidon")</f>
        <v>Miraidon</v>
      </c>
      <c r="D421" s="5" t="s">
        <v>259</v>
      </c>
      <c r="E421" s="5"/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135</v>
      </c>
      <c r="C422" s="5" t="s">
        <v>271</v>
      </c>
      <c r="D422" s="5" t="s">
        <v>256</v>
      </c>
      <c r="E422" s="5"/>
      <c r="F422" s="5" t="str">
        <f aca="false">HYPERLINK("https://www.ebay.com/sch/i.html?_nkw=Miraidon+Play%21+Pokemon+Temporal+Forces+121+pokemon+card&amp;_sacat=0&amp;_from=R40&amp;_trksid=p4624852.m570.l1313&amp;mkcid=1&amp;mkrid=711-53200-19255-0&amp;siteid=0&amp;campid=5339158445&amp;customid=pokecottage&amp;toolid=10001&amp;mkevt=1","FIND ON EBAY")</f>
        <v>FIND ON EBAY</v>
      </c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135</v>
      </c>
      <c r="C423" s="6" t="str">
        <f aca="false">HYPERLINK("https://partner.tcgplayer.com/c/6278691/1780961/21018?u=https%3A%2F%2Fwww.tcgplayer.com%2Fproduct%2F545691%3Futm_source%3Dimpact%26utm_medium%3Daffiliate%26utm_campaign%3Dpoke%2Bcottage","Miraidon")</f>
        <v>Miraidon</v>
      </c>
      <c r="D423" s="5" t="s">
        <v>267</v>
      </c>
      <c r="E423" s="5"/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137</v>
      </c>
      <c r="C424" s="6" t="str">
        <f aca="false">HYPERLINK("https://partner.tcgplayer.com/c/6278691/1780961/21018?u=https%3A%2F%2Fwww.tcgplayer.com%2Fproduct%2F656432%3Futm_source%3Dimpact%26utm_medium%3Daffiliate%26utm_campaign%3Dpoke%2Bcottage","Raging Bolt ex")</f>
        <v>Raging Bolt ex</v>
      </c>
      <c r="D424" s="5" t="s">
        <v>256</v>
      </c>
      <c r="E424" s="5"/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137</v>
      </c>
      <c r="C425" s="6" t="str">
        <f aca="false">HYPERLINK("https://partner.tcgplayer.com/c/6278691/1780961/21018?u=https%3A%2F%2Fwww.tcgplayer.com%2Fproduct%2F564284%3Futm_source%3Dimpact%26utm_medium%3Daffiliate%26utm_campaign%3Dpoke%2Bcottage","Raging Bolt ex")</f>
        <v>Raging Bolt ex</v>
      </c>
      <c r="D425" s="5" t="s">
        <v>258</v>
      </c>
      <c r="E425" s="5"/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137</v>
      </c>
      <c r="C426" s="5" t="s">
        <v>272</v>
      </c>
      <c r="D426" s="5" t="s">
        <v>266</v>
      </c>
      <c r="E426" s="5"/>
      <c r="F426" s="5" t="str">
        <f aca="false">HYPERLINK("https://www.ebay.com/sch/i.html?_nkw=Raging+Bolt+ex+Jumbo+Expansion+Stamp+Temporal+Forces+123+pokemon+card&amp;_sacat=0&amp;_from=R40&amp;_trksid=p4624852.m570.l1313&amp;mkcid=1&amp;mkrid=711-53200-19255-0&amp;siteid=0&amp;campid=5339158445&amp;customid=pokecottage&amp;toolid=10001&amp;mkevt=1","FIND ON EBAY")</f>
        <v>FIND ON EBAY</v>
      </c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137</v>
      </c>
      <c r="C427" s="5" t="s">
        <v>272</v>
      </c>
      <c r="D427" s="5" t="s">
        <v>273</v>
      </c>
      <c r="E427" s="5"/>
      <c r="F427" s="5" t="str">
        <f aca="false">HYPERLINK("https://www.ebay.com/sch/i.html?_nkw=Raging+Bolt+ex+World+Championships+Deck+2025+JP+Raging+Bolt+by+Yuya+Okita+Temporal+Forces+123+pokemon+card&amp;_sacat=0&amp;_from=R40&amp;_trksid=p4624852.m570.l1313&amp;mkcid=1&amp;mkrid=711-53200-19255-0&amp;siteid=0&amp;campid=5339158445&amp;customid=pokecottage&amp;toolid=10001&amp;mkevt=1","FIND ON EBAY")</f>
        <v>FIND ON EBAY</v>
      </c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137</v>
      </c>
      <c r="C428" s="5" t="s">
        <v>272</v>
      </c>
      <c r="D428" s="5" t="s">
        <v>274</v>
      </c>
      <c r="E428" s="5"/>
      <c r="F428" s="5" t="str">
        <f aca="false">HYPERLINK("https://www.ebay.com/sch/i.html?_nkw=Raging+Bolt+ex+World+Championships+Deck+2025+JP+Raging+Bolt+by+Yuya+Okita+Gold+Signature+Temporal+Forces+123+pokemon+card&amp;_sacat=0&amp;_from=R40&amp;_trksid=p4624852.m570.l1313&amp;mkcid=1&amp;mkrid=711-53200-19255-0&amp;siteid=0&amp;campid=5339158445&amp;customid=pokecottage&amp;toolid=10001&amp;mkevt=1","FIND ON EBAY")</f>
        <v>FIND ON EBAY</v>
      </c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140</v>
      </c>
      <c r="C429" s="6" t="str">
        <f aca="false">HYPERLINK("https://partner.tcgplayer.com/c/6278691/1780961/21018?u=https%3A%2F%2Fwww.tcgplayer.com%2Fproduct%2F595475%3Futm_source%3Dimpact%26utm_medium%3Daffiliate%26utm_campaign%3Dpoke%2Bcottage","Hoothoot")</f>
        <v>Hoothoot</v>
      </c>
      <c r="D429" s="5" t="s">
        <v>260</v>
      </c>
      <c r="E429" s="5"/>
      <c r="F429" s="5"/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141</v>
      </c>
      <c r="C430" s="6" t="str">
        <f aca="false">HYPERLINK("https://partner.tcgplayer.com/c/6278691/1780961/21018?u=https%3A%2F%2Fwww.tcgplayer.com%2Fproduct%2F595476%3Futm_source%3Dimpact%26utm_medium%3Daffiliate%26utm_campaign%3Dpoke%2Bcottage","Noctowl")</f>
        <v>Noctowl</v>
      </c>
      <c r="D430" s="5" t="s">
        <v>260</v>
      </c>
      <c r="E430" s="5"/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143</v>
      </c>
      <c r="C431" s="6" t="str">
        <f aca="false">HYPERLINK("https://partner.tcgplayer.com/c/6278691/1780961/21018?u=https%3A%2F%2Fwww.tcgplayer.com%2Fproduct%2F693135%3Futm_source%3Dimpact%26utm_medium%3Daffiliate%26utm_campaign%3Dpoke%2Bcottage","Dudunsparce")</f>
        <v>Dudunsparce</v>
      </c>
      <c r="D431" s="5" t="s">
        <v>275</v>
      </c>
      <c r="E431" s="5"/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143</v>
      </c>
      <c r="C432" s="6" t="str">
        <f aca="false">HYPERLINK("https://partner.tcgplayer.com/c/6278691/1780961/21018?u=https%3A%2F%2Fwww.tcgplayer.com%2Fproduct%2F648345%3Futm_source%3Dimpact%26utm_medium%3Daffiliate%26utm_campaign%3Dpoke%2Bcottage","Dudunsparce")</f>
        <v>Dudunsparce</v>
      </c>
      <c r="D432" s="5" t="s">
        <v>257</v>
      </c>
      <c r="E432" s="5"/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153</v>
      </c>
      <c r="C433" s="6" t="str">
        <f aca="false">HYPERLINK("https://partner.tcgplayer.com/c/6278691/1780961/21018?u=https%3A%2F%2Fwww.tcgplayer.com%2Fproduct%2F570362%3Futm_source%3Dimpact%26utm_medium%3Daffiliate%26utm_campaign%3Dpoke%2Bcottage","Iron Jugulis")</f>
        <v>Iron Jugulis</v>
      </c>
      <c r="D433" s="5" t="s">
        <v>262</v>
      </c>
      <c r="E433" s="5"/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154</v>
      </c>
      <c r="C434" s="6" t="str">
        <f aca="false">HYPERLINK("https://partner.tcgplayer.com/c/6278691/1780961/21018?u=https%3A%2F%2Fwww.tcgplayer.com%2Fproduct%2F637517%3Futm_source%3Dimpact%26utm_medium%3Daffiliate%26utm_campaign%3Dpoke%2Bcottage","Ancient Booster Energy Capsule")</f>
        <v>Ancient Booster Energy Capsule</v>
      </c>
      <c r="D434" s="5" t="s">
        <v>263</v>
      </c>
      <c r="E434" s="5"/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155</v>
      </c>
      <c r="C435" s="6" t="str">
        <f aca="false">HYPERLINK("https://partner.tcgplayer.com/c/6278691/1780961/21018?u=https%3A%2F%2Fwww.tcgplayer.com%2Fproduct%2F565280%3Futm_source%3Dimpact%26utm_medium%3Daffiliate%26utm_campaign%3Dpoke%2Bcottage","Awakening Drum")</f>
        <v>Awakening Drum</v>
      </c>
      <c r="D435" s="5" t="s">
        <v>256</v>
      </c>
      <c r="E435" s="5"/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157</v>
      </c>
      <c r="C436" s="6" t="str">
        <f aca="false">HYPERLINK("https://partner.tcgplayer.com/c/6278691/1780961/21018?u=https%3A%2F%2Fwww.tcgplayer.com%2Fproduct%2F685998%3Futm_source%3Dimpact%26utm_medium%3Daffiliate%26utm_campaign%3Dpoke%2Bcottage","Bianca's Devotion")</f>
        <v>Bianca's Devotion</v>
      </c>
      <c r="D436" s="5" t="s">
        <v>276</v>
      </c>
      <c r="E436" s="5"/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157</v>
      </c>
      <c r="C437" s="6" t="str">
        <f aca="false">HYPERLINK("https://partner.tcgplayer.com/c/6278691/1780961/21018?u=https%3A%2F%2Fwww.tcgplayer.com%2Fproduct%2F649175%3Futm_source%3Dimpact%26utm_medium%3Daffiliate%26utm_campaign%3Dpoke%2Bcottage","Bianca's Devotion")</f>
        <v>Bianca's Devotion</v>
      </c>
      <c r="D437" s="5" t="s">
        <v>257</v>
      </c>
      <c r="E437" s="5"/>
      <c r="F437" s="5"/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159</v>
      </c>
      <c r="C438" s="5" t="s">
        <v>277</v>
      </c>
      <c r="D438" s="5" t="s">
        <v>278</v>
      </c>
      <c r="E438" s="5"/>
      <c r="F438" s="5" t="str">
        <f aca="false">HYPERLINK("https://www.ebay.com/sch/i.html?_nkw=Buddy-Buddy+Poffin+Master+Ball+League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159</v>
      </c>
      <c r="C439" s="5" t="s">
        <v>277</v>
      </c>
      <c r="D439" s="5" t="s">
        <v>279</v>
      </c>
      <c r="E439" s="5"/>
      <c r="F439" s="5" t="str">
        <f aca="false">HYPERLINK("https://www.ebay.com/sch/i.html?_nkw=Buddy-Buddy+Poffin+Master+Ball+League+Judge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159</v>
      </c>
      <c r="C440" s="6" t="str">
        <f aca="false">HYPERLINK("https://partner.tcgplayer.com/c/6278691/1780961/21018?u=https%3A%2F%2Fwww.tcgplayer.com%2Fproduct%2F658744%3Futm_source%3Dimpact%26utm_medium%3Daffiliate%26utm_campaign%3Dpoke%2Bcottage","Buddy-Buddy Poffin")</f>
        <v>Buddy-Buddy Poffin</v>
      </c>
      <c r="D440" s="5" t="s">
        <v>280</v>
      </c>
      <c r="E440" s="5"/>
      <c r="F440" s="5"/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159</v>
      </c>
      <c r="C441" s="5" t="s">
        <v>277</v>
      </c>
      <c r="D441" s="5" t="s">
        <v>281</v>
      </c>
      <c r="E441" s="5"/>
      <c r="F441" s="5" t="str">
        <f aca="false">HYPERLINK("https://www.ebay.com/sch/i.html?_nkw=Buddy-Buddy+Poffin+Europe+Championships+Staff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41" s="5"/>
      <c r="H441" s="7"/>
    </row>
    <row r="442" customFormat="false" ht="30" hidden="false" customHeight="true" outlineLevel="0" collapsed="false">
      <c r="A442" s="4" t="s">
        <v>6</v>
      </c>
      <c r="B442" s="5" t="s">
        <v>159</v>
      </c>
      <c r="C442" s="5" t="s">
        <v>277</v>
      </c>
      <c r="D442" s="5" t="s">
        <v>282</v>
      </c>
      <c r="E442" s="5"/>
      <c r="F442" s="5" t="str">
        <f aca="false">HYPERLINK("https://www.ebay.com/sch/i.html?_nkw=Buddy-Buddy+Poffin+Europe+Championships+Top+8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42" s="5"/>
      <c r="H442" s="7"/>
    </row>
    <row r="443" customFormat="false" ht="30" hidden="false" customHeight="true" outlineLevel="0" collapsed="false">
      <c r="A443" s="4" t="s">
        <v>6</v>
      </c>
      <c r="B443" s="5" t="s">
        <v>159</v>
      </c>
      <c r="C443" s="5" t="s">
        <v>277</v>
      </c>
      <c r="D443" s="5" t="s">
        <v>283</v>
      </c>
      <c r="E443" s="5"/>
      <c r="F443" s="5" t="str">
        <f aca="false">HYPERLINK("https://www.ebay.com/sch/i.html?_nkw=Buddy-Buddy+Poffin+Europe+Championships+Champion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43" s="5"/>
      <c r="H443" s="7"/>
    </row>
    <row r="444" customFormat="false" ht="30" hidden="false" customHeight="true" outlineLevel="0" collapsed="false">
      <c r="A444" s="4" t="s">
        <v>6</v>
      </c>
      <c r="B444" s="5" t="s">
        <v>159</v>
      </c>
      <c r="C444" s="6" t="str">
        <f aca="false">HYPERLINK("https://partner.tcgplayer.com/c/6278691/1780961/21018?u=https%3A%2F%2Fwww.tcgplayer.com%2Fproduct%2F638138%3Futm_source%3Dimpact%26utm_medium%3Daffiliate%26utm_campaign%3Dpoke%2Bcottage","Buddy-Buddy Poffin")</f>
        <v>Buddy-Buddy Poffin</v>
      </c>
      <c r="D444" s="5" t="s">
        <v>284</v>
      </c>
      <c r="E444" s="5"/>
      <c r="F444" s="5"/>
      <c r="G444" s="5"/>
      <c r="H444" s="7"/>
    </row>
    <row r="445" customFormat="false" ht="30" hidden="false" customHeight="true" outlineLevel="0" collapsed="false">
      <c r="A445" s="4" t="s">
        <v>6</v>
      </c>
      <c r="B445" s="5" t="s">
        <v>159</v>
      </c>
      <c r="C445" s="6" t="str">
        <f aca="false">HYPERLINK("https://partner.tcgplayer.com/c/6278691/1780961/21018?u=https%3A%2F%2Fwww.tcgplayer.com%2Fproduct%2F638139%3Futm_source%3Dimpact%26utm_medium%3Daffiliate%26utm_campaign%3Dpoke%2Bcottage","Buddy-Buddy Poffin")</f>
        <v>Buddy-Buddy Poffin</v>
      </c>
      <c r="D445" s="5" t="s">
        <v>285</v>
      </c>
      <c r="E445" s="5"/>
      <c r="F445" s="5"/>
      <c r="G445" s="5"/>
      <c r="H445" s="7"/>
    </row>
    <row r="446" customFormat="false" ht="30" hidden="false" customHeight="true" outlineLevel="0" collapsed="false">
      <c r="A446" s="4" t="s">
        <v>6</v>
      </c>
      <c r="B446" s="5" t="s">
        <v>159</v>
      </c>
      <c r="C446" s="5" t="s">
        <v>277</v>
      </c>
      <c r="D446" s="5" t="s">
        <v>286</v>
      </c>
      <c r="E446" s="5"/>
      <c r="F446" s="5" t="str">
        <f aca="false">HYPERLINK("https://www.ebay.com/sch/i.html?_nkw=Buddy-Buddy+Poffin+North+America+Championships+Top+8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46" s="5"/>
      <c r="H446" s="7"/>
    </row>
    <row r="447" customFormat="false" ht="30" hidden="false" customHeight="true" outlineLevel="0" collapsed="false">
      <c r="A447" s="4" t="s">
        <v>6</v>
      </c>
      <c r="B447" s="5" t="s">
        <v>159</v>
      </c>
      <c r="C447" s="5" t="s">
        <v>277</v>
      </c>
      <c r="D447" s="5" t="s">
        <v>287</v>
      </c>
      <c r="E447" s="5"/>
      <c r="F447" s="5" t="str">
        <f aca="false">HYPERLINK("https://www.ebay.com/sch/i.html?_nkw=Buddy-Buddy+Poffin+North+America+Championships+Champion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47" s="5"/>
      <c r="H447" s="7"/>
    </row>
    <row r="448" customFormat="false" ht="30" hidden="false" customHeight="true" outlineLevel="0" collapsed="false">
      <c r="A448" s="4" t="s">
        <v>6</v>
      </c>
      <c r="B448" s="5" t="s">
        <v>159</v>
      </c>
      <c r="C448" s="6" t="str">
        <f aca="false">HYPERLINK("https://partner.tcgplayer.com/c/6278691/1780961/21018?u=https%3A%2F%2Fwww.tcgplayer.com%2Fproduct%2F565451%3Futm_source%3Dimpact%26utm_medium%3Daffiliate%26utm_campaign%3Dpoke%2Bcottage","Buddy-Buddy Poffin")</f>
        <v>Buddy-Buddy Poffin</v>
      </c>
      <c r="D448" s="5" t="s">
        <v>256</v>
      </c>
      <c r="E448" s="5"/>
      <c r="F448" s="5"/>
      <c r="G448" s="5"/>
      <c r="H448" s="7"/>
    </row>
    <row r="449" customFormat="false" ht="30" hidden="false" customHeight="true" outlineLevel="0" collapsed="false">
      <c r="A449" s="4" t="s">
        <v>6</v>
      </c>
      <c r="B449" s="5" t="s">
        <v>159</v>
      </c>
      <c r="C449" s="6" t="str">
        <f aca="false">HYPERLINK("https://partner.tcgplayer.com/c/6278691/1780961/21018?u=https%3A%2F%2Fwww.tcgplayer.com%2Fproduct%2F565451%3Futm_source%3Dimpact%26utm_medium%3Daffiliate%26utm_campaign%3Dpoke%2Bcottage","Buddy-Buddy Poffin")</f>
        <v>Buddy-Buddy Poffin</v>
      </c>
      <c r="D449" s="5" t="s">
        <v>288</v>
      </c>
      <c r="E449" s="5"/>
      <c r="F449" s="5"/>
      <c r="G449" s="5"/>
      <c r="H449" s="7"/>
    </row>
    <row r="450" customFormat="false" ht="30" hidden="false" customHeight="true" outlineLevel="0" collapsed="false">
      <c r="A450" s="4" t="s">
        <v>6</v>
      </c>
      <c r="B450" s="5" t="s">
        <v>159</v>
      </c>
      <c r="C450" s="6" t="str">
        <f aca="false">HYPERLINK("https://partner.tcgplayer.com/c/6278691/1780961/21018?u=https%3A%2F%2Fwww.tcgplayer.com%2Fproduct%2F565451%3Futm_source%3Dimpact%26utm_medium%3Daffiliate%26utm_campaign%3Dpoke%2Bcottage","Buddy-Buddy Poffin")</f>
        <v>Buddy-Buddy Poffin</v>
      </c>
      <c r="D450" s="5" t="s">
        <v>257</v>
      </c>
      <c r="E450" s="5"/>
      <c r="F450" s="5"/>
      <c r="G450" s="5"/>
      <c r="H450" s="7"/>
    </row>
    <row r="451" customFormat="false" ht="30" hidden="false" customHeight="true" outlineLevel="0" collapsed="false">
      <c r="A451" s="4" t="s">
        <v>6</v>
      </c>
      <c r="B451" s="5" t="s">
        <v>159</v>
      </c>
      <c r="C451" s="5" t="s">
        <v>277</v>
      </c>
      <c r="D451" s="5" t="s">
        <v>289</v>
      </c>
      <c r="E451" s="5"/>
      <c r="F451" s="5" t="str">
        <f aca="false">HYPERLINK("https://www.ebay.com/sch/i.html?_nkw=Buddy-Buddy+Poffin+Pokemon+TCG+Gym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51" s="5"/>
      <c r="H451" s="7"/>
    </row>
    <row r="452" customFormat="false" ht="30" hidden="false" customHeight="true" outlineLevel="0" collapsed="false">
      <c r="A452" s="4" t="s">
        <v>6</v>
      </c>
      <c r="B452" s="5" t="s">
        <v>159</v>
      </c>
      <c r="C452" s="5" t="s">
        <v>277</v>
      </c>
      <c r="D452" s="5" t="s">
        <v>290</v>
      </c>
      <c r="E452" s="5"/>
      <c r="F452" s="5" t="str">
        <f aca="false">HYPERLINK("https://www.ebay.com/sch/i.html?_nkw=Buddy-Buddy+Poffin+World+Championships+Deck+2025+Joltdengo+by+Liao+Fu+Guan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52" s="5"/>
      <c r="H452" s="7"/>
    </row>
    <row r="453" customFormat="false" ht="30" hidden="false" customHeight="true" outlineLevel="0" collapsed="false">
      <c r="A453" s="4" t="s">
        <v>6</v>
      </c>
      <c r="B453" s="5" t="s">
        <v>159</v>
      </c>
      <c r="C453" s="5" t="s">
        <v>277</v>
      </c>
      <c r="D453" s="5" t="s">
        <v>291</v>
      </c>
      <c r="E453" s="5"/>
      <c r="F453" s="5" t="str">
        <f aca="false">HYPERLINK("https://www.ebay.com/sch/i.html?_nkw=Buddy-Buddy+Poffin+World+Championships+Deck+2025+Pult+Bomb+by+Jose+Cruz+Galindo-Resendiz+Temporal+Forces+144+pokemon+card&amp;_sacat=0&amp;_from=R40&amp;_trksid=p4624852.m570.l1313&amp;mkcid=1&amp;mkrid=711-53200-19255-0&amp;siteid=0&amp;campid=5339158445&amp;customid=pokecottage&amp;toolid=10001&amp;mkevt=1","FIND ON EBAY")</f>
        <v>FIND ON EBAY</v>
      </c>
      <c r="G453" s="5"/>
      <c r="H453" s="7"/>
    </row>
    <row r="454" customFormat="false" ht="30" hidden="false" customHeight="true" outlineLevel="0" collapsed="false">
      <c r="A454" s="4" t="s">
        <v>6</v>
      </c>
      <c r="B454" s="5" t="s">
        <v>160</v>
      </c>
      <c r="C454" s="6" t="str">
        <f aca="false">HYPERLINK("https://partner.tcgplayer.com/c/6278691/1780961/21018?u=https%3A%2F%2Fwww.tcgplayer.com%2Fproduct%2F565452%3Futm_source%3Dimpact%26utm_medium%3Daffiliate%26utm_campaign%3Dpoke%2Bcottage","Ciphermaniac's Codebreaking")</f>
        <v>Ciphermaniac's Codebreaking</v>
      </c>
      <c r="D454" s="5" t="s">
        <v>256</v>
      </c>
      <c r="E454" s="5"/>
      <c r="F454" s="5"/>
      <c r="G454" s="5"/>
      <c r="H454" s="7"/>
    </row>
    <row r="455" customFormat="false" ht="30" hidden="false" customHeight="true" outlineLevel="0" collapsed="false">
      <c r="A455" s="4" t="s">
        <v>6</v>
      </c>
      <c r="B455" s="5" t="s">
        <v>160</v>
      </c>
      <c r="C455" s="6" t="str">
        <f aca="false">HYPERLINK("https://partner.tcgplayer.com/c/6278691/1780961/21018?u=https%3A%2F%2Fwww.tcgplayer.com%2Fproduct%2F565452%3Futm_source%3Dimpact%26utm_medium%3Daffiliate%26utm_campaign%3Dpoke%2Bcottage","Ciphermaniac's Codebreaking")</f>
        <v>Ciphermaniac's Codebreaking</v>
      </c>
      <c r="D455" s="5" t="s">
        <v>257</v>
      </c>
      <c r="E455" s="5"/>
      <c r="F455" s="5"/>
      <c r="G455" s="5"/>
      <c r="H455" s="7"/>
    </row>
    <row r="456" customFormat="false" ht="30" hidden="false" customHeight="true" outlineLevel="0" collapsed="false">
      <c r="A456" s="4" t="s">
        <v>6</v>
      </c>
      <c r="B456" s="5" t="s">
        <v>162</v>
      </c>
      <c r="C456" s="6" t="str">
        <f aca="false">HYPERLINK("https://partner.tcgplayer.com/c/6278691/1780961/21018?u=https%3A%2F%2Fwww.tcgplayer.com%2Fproduct%2F557097%3Futm_source%3Dimpact%26utm_medium%3Daffiliate%26utm_campaign%3Dpoke%2Bcottage","Explorer's Guidance")</f>
        <v>Explorer's Guidance</v>
      </c>
      <c r="D456" s="5" t="s">
        <v>292</v>
      </c>
      <c r="E456" s="5"/>
      <c r="F456" s="5"/>
      <c r="G456" s="5"/>
      <c r="H456" s="7"/>
    </row>
    <row r="457" customFormat="false" ht="30" hidden="false" customHeight="true" outlineLevel="0" collapsed="false">
      <c r="A457" s="4" t="s">
        <v>6</v>
      </c>
      <c r="B457" s="5" t="s">
        <v>162</v>
      </c>
      <c r="C457" s="6" t="str">
        <f aca="false">HYPERLINK("https://partner.tcgplayer.com/c/6278691/1780961/21018?u=https%3A%2F%2Fwww.tcgplayer.com%2Fproduct%2F557098%3Futm_source%3Dimpact%26utm_medium%3Daffiliate%26utm_campaign%3Dpoke%2Bcottage","Explorer's Guidance")</f>
        <v>Explorer's Guidance</v>
      </c>
      <c r="D457" s="5" t="s">
        <v>293</v>
      </c>
      <c r="E457" s="5"/>
      <c r="F457" s="5"/>
      <c r="G457" s="5"/>
      <c r="H457" s="7"/>
    </row>
    <row r="458" customFormat="false" ht="30" hidden="false" customHeight="true" outlineLevel="0" collapsed="false">
      <c r="A458" s="4" t="s">
        <v>6</v>
      </c>
      <c r="B458" s="5" t="s">
        <v>162</v>
      </c>
      <c r="C458" s="6" t="str">
        <f aca="false">HYPERLINK("https://partner.tcgplayer.com/c/6278691/1780961/21018?u=https%3A%2F%2Fwww.tcgplayer.com%2Fproduct%2F565455%3Futm_source%3Dimpact%26utm_medium%3Daffiliate%26utm_campaign%3Dpoke%2Bcottage","Explorer's Guidance")</f>
        <v>Explorer's Guidance</v>
      </c>
      <c r="D458" s="5" t="s">
        <v>257</v>
      </c>
      <c r="E458" s="5"/>
      <c r="F458" s="5"/>
      <c r="G458" s="5"/>
      <c r="H458" s="7"/>
    </row>
    <row r="459" customFormat="false" ht="30" hidden="false" customHeight="true" outlineLevel="0" collapsed="false">
      <c r="A459" s="4" t="s">
        <v>6</v>
      </c>
      <c r="B459" s="5" t="s">
        <v>162</v>
      </c>
      <c r="C459" s="6" t="str">
        <f aca="false">HYPERLINK("https://partner.tcgplayer.com/c/6278691/1780961/21018?u=https%3A%2F%2Fwww.tcgplayer.com%2Fproduct%2F637516%3Futm_source%3Dimpact%26utm_medium%3Daffiliate%26utm_campaign%3Dpoke%2Bcottage","Explorer's Guidance")</f>
        <v>Explorer's Guidance</v>
      </c>
      <c r="D459" s="5" t="s">
        <v>263</v>
      </c>
      <c r="E459" s="5"/>
      <c r="F459" s="5"/>
      <c r="G459" s="5"/>
      <c r="H459" s="7"/>
    </row>
    <row r="460" customFormat="false" ht="30" hidden="false" customHeight="true" outlineLevel="0" collapsed="false">
      <c r="A460" s="4" t="s">
        <v>6</v>
      </c>
      <c r="B460" s="5" t="s">
        <v>163</v>
      </c>
      <c r="C460" s="6" t="str">
        <f aca="false">HYPERLINK("https://partner.tcgplayer.com/c/6278691/1780961/21018?u=https%3A%2F%2Fwww.tcgplayer.com%2Fproduct%2F565459%3Futm_source%3Dimpact%26utm_medium%3Daffiliate%26utm_campaign%3Dpoke%2Bcottage","Full Metal Lab")</f>
        <v>Full Metal Lab</v>
      </c>
      <c r="D460" s="5" t="s">
        <v>257</v>
      </c>
      <c r="E460" s="5"/>
      <c r="F460" s="5"/>
      <c r="G460" s="5"/>
      <c r="H460" s="7"/>
    </row>
    <row r="461" customFormat="false" ht="30" hidden="false" customHeight="true" outlineLevel="0" collapsed="false">
      <c r="A461" s="4" t="s">
        <v>6</v>
      </c>
      <c r="B461" s="5" t="s">
        <v>164</v>
      </c>
      <c r="C461" s="6" t="str">
        <f aca="false">HYPERLINK("https://partner.tcgplayer.com/c/6278691/1780961/21018?u=https%3A%2F%2Fwww.tcgplayer.com%2Fproduct%2F637522%3Futm_source%3Dimpact%26utm_medium%3Daffiliate%26utm_campaign%3Dpoke%2Bcottage","Future Booster Energy Capsule")</f>
        <v>Future Booster Energy Capsule</v>
      </c>
      <c r="D461" s="5" t="s">
        <v>294</v>
      </c>
      <c r="E461" s="5"/>
      <c r="F461" s="5"/>
      <c r="G461" s="5"/>
      <c r="H461" s="7"/>
    </row>
    <row r="462" customFormat="false" ht="30" hidden="false" customHeight="true" outlineLevel="0" collapsed="false">
      <c r="A462" s="4" t="s">
        <v>6</v>
      </c>
      <c r="B462" s="5" t="s">
        <v>166</v>
      </c>
      <c r="C462" s="6" t="str">
        <f aca="false">HYPERLINK("https://partner.tcgplayer.com/c/6278691/1780961/21018?u=https%3A%2F%2Fwww.tcgplayer.com%2Fproduct%2F565466%3Futm_source%3Dimpact%26utm_medium%3Daffiliate%26utm_campaign%3Dpoke%2Bcottage","Heavy Baton")</f>
        <v>Heavy Baton</v>
      </c>
      <c r="D462" s="5" t="s">
        <v>256</v>
      </c>
      <c r="E462" s="5"/>
      <c r="F462" s="5"/>
      <c r="G462" s="5"/>
      <c r="H462" s="7"/>
    </row>
    <row r="463" customFormat="false" ht="30" hidden="false" customHeight="true" outlineLevel="0" collapsed="false">
      <c r="A463" s="4" t="s">
        <v>6</v>
      </c>
      <c r="B463" s="5" t="s">
        <v>167</v>
      </c>
      <c r="C463" s="6" t="str">
        <f aca="false">HYPERLINK("https://partner.tcgplayer.com/c/6278691/1780961/21018?u=https%3A%2F%2Fwww.tcgplayer.com%2Fproduct%2F577584%3Futm_source%3Dimpact%26utm_medium%3Daffiliate%26utm_campaign%3Dpoke%2Bcottage","Hero's Cape")</f>
        <v>Hero's Cape</v>
      </c>
      <c r="D463" s="5" t="s">
        <v>256</v>
      </c>
      <c r="E463" s="5"/>
      <c r="F463" s="5"/>
      <c r="G463" s="5"/>
      <c r="H463" s="7"/>
    </row>
    <row r="464" customFormat="false" ht="30" hidden="false" customHeight="true" outlineLevel="0" collapsed="false">
      <c r="A464" s="4" t="s">
        <v>6</v>
      </c>
      <c r="B464" s="5" t="s">
        <v>169</v>
      </c>
      <c r="C464" s="6" t="str">
        <f aca="false">HYPERLINK("https://partner.tcgplayer.com/c/6278691/1780961/21018?u=https%3A%2F%2Fwww.tcgplayer.com%2Fproduct%2F565475%3Futm_source%3Dimpact%26utm_medium%3Daffiliate%26utm_campaign%3Dpoke%2Bcottage","Maximum Belt")</f>
        <v>Maximum Belt</v>
      </c>
      <c r="D464" s="5" t="s">
        <v>256</v>
      </c>
      <c r="E464" s="5"/>
      <c r="F464" s="5"/>
      <c r="G464" s="5"/>
      <c r="H464" s="7"/>
    </row>
    <row r="465" customFormat="false" ht="30" hidden="false" customHeight="true" outlineLevel="0" collapsed="false">
      <c r="A465" s="4" t="s">
        <v>6</v>
      </c>
      <c r="B465" s="5" t="s">
        <v>170</v>
      </c>
      <c r="C465" s="6" t="str">
        <f aca="false">HYPERLINK("https://partner.tcgplayer.com/c/6278691/1780961/21018?u=https%3A%2F%2Fwww.tcgplayer.com%2Fproduct%2F565492%3Futm_source%3Dimpact%26utm_medium%3Daffiliate%26utm_campaign%3Dpoke%2Bcottage","Morty's Conviction")</f>
        <v>Morty's Conviction</v>
      </c>
      <c r="D465" s="5" t="s">
        <v>256</v>
      </c>
      <c r="E465" s="5"/>
      <c r="F465" s="5"/>
      <c r="G465" s="5"/>
      <c r="H465" s="7"/>
    </row>
    <row r="466" customFormat="false" ht="30" hidden="false" customHeight="true" outlineLevel="0" collapsed="false">
      <c r="A466" s="4" t="s">
        <v>6</v>
      </c>
      <c r="B466" s="5" t="s">
        <v>171</v>
      </c>
      <c r="C466" s="6" t="str">
        <f aca="false">HYPERLINK("https://partner.tcgplayer.com/c/6278691/1780961/21018?u=https%3A%2F%2Fwww.tcgplayer.com%2Fproduct%2F577585%3Futm_source%3Dimpact%26utm_medium%3Daffiliate%26utm_campaign%3Dpoke%2Bcottage","Perilous Jungle")</f>
        <v>Perilous Jungle</v>
      </c>
      <c r="D466" s="5" t="s">
        <v>257</v>
      </c>
      <c r="E466" s="5"/>
      <c r="F466" s="5"/>
      <c r="G466" s="5"/>
      <c r="H466" s="7"/>
    </row>
    <row r="467" customFormat="false" ht="30" hidden="false" customHeight="true" outlineLevel="0" collapsed="false">
      <c r="A467" s="4" t="s">
        <v>6</v>
      </c>
      <c r="B467" s="5" t="s">
        <v>172</v>
      </c>
      <c r="C467" s="6" t="str">
        <f aca="false">HYPERLINK("https://partner.tcgplayer.com/c/6278691/1780961/21018?u=https%3A%2F%2Fwww.tcgplayer.com%2Fproduct%2F577139%3Futm_source%3Dimpact%26utm_medium%3Daffiliate%26utm_campaign%3Dpoke%2Bcottage","Prime Catcher")</f>
        <v>Prime Catcher</v>
      </c>
      <c r="D467" s="5" t="s">
        <v>256</v>
      </c>
      <c r="E467" s="5"/>
      <c r="F467" s="5"/>
      <c r="G467" s="5"/>
      <c r="H467" s="7"/>
    </row>
    <row r="468" customFormat="false" ht="30" hidden="false" customHeight="true" outlineLevel="0" collapsed="false">
      <c r="A468" s="4" t="s">
        <v>6</v>
      </c>
      <c r="B468" s="5" t="s">
        <v>172</v>
      </c>
      <c r="C468" s="6" t="str">
        <f aca="false">HYPERLINK("https://partner.tcgplayer.com/c/6278691/1780961/21018?u=https%3A%2F%2Fwww.tcgplayer.com%2Fproduct%2F641173%3Futm_source%3Dimpact%26utm_medium%3Daffiliate%26utm_campaign%3Dpoke%2Bcottage","Prime Catcher")</f>
        <v>Prime Catcher</v>
      </c>
      <c r="D468" s="5" t="s">
        <v>294</v>
      </c>
      <c r="E468" s="5"/>
      <c r="F468" s="5"/>
      <c r="G468" s="5"/>
      <c r="H468" s="7"/>
    </row>
    <row r="469" customFormat="false" ht="30" hidden="false" customHeight="true" outlineLevel="0" collapsed="false">
      <c r="A469" s="4" t="s">
        <v>6</v>
      </c>
      <c r="B469" s="5" t="s">
        <v>172</v>
      </c>
      <c r="C469" s="6" t="str">
        <f aca="false">HYPERLINK("https://partner.tcgplayer.com/c/6278691/1780961/21018?u=https%3A%2F%2Fwww.tcgplayer.com%2Fproduct%2F637519%3Futm_source%3Dimpact%26utm_medium%3Daffiliate%26utm_campaign%3Dpoke%2Bcottage","Prime Catcher")</f>
        <v>Prime Catcher</v>
      </c>
      <c r="D469" s="5" t="s">
        <v>295</v>
      </c>
      <c r="E469" s="5"/>
      <c r="F469" s="5"/>
      <c r="G469" s="5"/>
      <c r="H469" s="7"/>
    </row>
    <row r="470" customFormat="false" ht="30" hidden="false" customHeight="true" outlineLevel="0" collapsed="false">
      <c r="A470" s="4" t="s">
        <v>6</v>
      </c>
      <c r="B470" s="5" t="s">
        <v>172</v>
      </c>
      <c r="C470" s="6" t="str">
        <f aca="false">HYPERLINK("https://partner.tcgplayer.com/c/6278691/1780961/21018?u=https%3A%2F%2Fwww.tcgplayer.com%2Fproduct%2F637521%3Futm_source%3Dimpact%26utm_medium%3Daffiliate%26utm_campaign%3Dpoke%2Bcottage","Prime Catcher")</f>
        <v>Prime Catcher</v>
      </c>
      <c r="D470" s="5" t="s">
        <v>296</v>
      </c>
      <c r="E470" s="5"/>
      <c r="F470" s="5"/>
      <c r="G470" s="5"/>
      <c r="H470" s="7"/>
    </row>
    <row r="471" customFormat="false" ht="30" hidden="false" customHeight="true" outlineLevel="0" collapsed="false">
      <c r="A471" s="4" t="s">
        <v>6</v>
      </c>
      <c r="B471" s="5" t="s">
        <v>172</v>
      </c>
      <c r="C471" s="6" t="str">
        <f aca="false">HYPERLINK("https://partner.tcgplayer.com/c/6278691/1780961/21018?u=https%3A%2F%2Fwww.tcgplayer.com%2Fproduct%2F690278%3Futm_source%3Dimpact%26utm_medium%3Daffiliate%26utm_campaign%3Dpoke%2Bcottage","Prime Catcher")</f>
        <v>Prime Catcher</v>
      </c>
      <c r="D471" s="5" t="s">
        <v>290</v>
      </c>
      <c r="E471" s="5"/>
      <c r="F471" s="5"/>
      <c r="G471" s="5"/>
      <c r="H471" s="7"/>
    </row>
    <row r="472" customFormat="false" ht="30" hidden="false" customHeight="true" outlineLevel="0" collapsed="false">
      <c r="A472" s="4" t="s">
        <v>6</v>
      </c>
      <c r="B472" s="5" t="s">
        <v>172</v>
      </c>
      <c r="C472" s="6" t="str">
        <f aca="false">HYPERLINK("https://partner.tcgplayer.com/c/6278691/1780961/21018?u=https%3A%2F%2Fwww.tcgplayer.com%2Fproduct%2F637521%3Futm_source%3Dimpact%26utm_medium%3Daffiliate%26utm_campaign%3Dpoke%2Bcottage","Prime Catcher")</f>
        <v>Prime Catcher</v>
      </c>
      <c r="D472" s="5" t="s">
        <v>273</v>
      </c>
      <c r="E472" s="5"/>
      <c r="F472" s="5"/>
      <c r="G472" s="5"/>
      <c r="H472" s="7"/>
    </row>
    <row r="473" customFormat="false" ht="30" hidden="false" customHeight="true" outlineLevel="0" collapsed="false">
      <c r="A473" s="4" t="s">
        <v>6</v>
      </c>
      <c r="B473" s="5" t="s">
        <v>173</v>
      </c>
      <c r="C473" s="6" t="str">
        <f aca="false">HYPERLINK("https://partner.tcgplayer.com/c/6278691/1780961/21018?u=https%3A%2F%2Fwww.tcgplayer.com%2Fproduct%2F577588%3Futm_source%3Dimpact%26utm_medium%3Daffiliate%26utm_campaign%3Dpoke%2Bcottage","Reboot Pod")</f>
        <v>Reboot Pod</v>
      </c>
      <c r="D473" s="5" t="s">
        <v>256</v>
      </c>
      <c r="E473" s="5"/>
      <c r="F473" s="5"/>
      <c r="G473" s="5"/>
      <c r="H473" s="7"/>
    </row>
    <row r="474" customFormat="false" ht="30" hidden="false" customHeight="true" outlineLevel="0" collapsed="false">
      <c r="A474" s="4" t="s">
        <v>6</v>
      </c>
      <c r="B474" s="5" t="s">
        <v>174</v>
      </c>
      <c r="C474" s="6" t="str">
        <f aca="false">HYPERLINK("https://partner.tcgplayer.com/c/6278691/1780961/21018?u=https%3A%2F%2Fwww.tcgplayer.com%2Fproduct%2F577589%3Futm_source%3Dimpact%26utm_medium%3Daffiliate%26utm_campaign%3Dpoke%2Bcottage","Rescue Board")</f>
        <v>Rescue Board</v>
      </c>
      <c r="D474" s="5" t="s">
        <v>256</v>
      </c>
      <c r="E474" s="5"/>
      <c r="F474" s="5"/>
      <c r="G474" s="5"/>
      <c r="H474" s="7"/>
    </row>
    <row r="475" customFormat="false" ht="30" hidden="false" customHeight="true" outlineLevel="0" collapsed="false">
      <c r="A475" s="4" t="s">
        <v>6</v>
      </c>
      <c r="B475" s="5" t="s">
        <v>174</v>
      </c>
      <c r="C475" s="6" t="str">
        <f aca="false">HYPERLINK("https://partner.tcgplayer.com/c/6278691/1780961/21018?u=https%3A%2F%2Fwww.tcgplayer.com%2Fproduct%2F577589%3Futm_source%3Dimpact%26utm_medium%3Daffiliate%26utm_campaign%3Dpoke%2Bcottage","Rescue Board")</f>
        <v>Rescue Board</v>
      </c>
      <c r="D475" s="5" t="s">
        <v>288</v>
      </c>
      <c r="E475" s="5"/>
      <c r="F475" s="5"/>
      <c r="G475" s="5"/>
      <c r="H475" s="7"/>
    </row>
    <row r="476" customFormat="false" ht="30" hidden="false" customHeight="true" outlineLevel="0" collapsed="false">
      <c r="A476" s="4" t="s">
        <v>6</v>
      </c>
      <c r="B476" s="5" t="s">
        <v>174</v>
      </c>
      <c r="C476" s="6" t="str">
        <f aca="false">HYPERLINK("https://partner.tcgplayer.com/c/6278691/1780961/21018?u=https%3A%2F%2Fwww.tcgplayer.com%2Fproduct%2F577589%3Futm_source%3Dimpact%26utm_medium%3Daffiliate%26utm_campaign%3Dpoke%2Bcottage","Rescue Board")</f>
        <v>Rescue Board</v>
      </c>
      <c r="D476" s="5" t="s">
        <v>257</v>
      </c>
      <c r="E476" s="5"/>
      <c r="F476" s="5"/>
      <c r="G476" s="5"/>
      <c r="H476" s="7"/>
    </row>
    <row r="477" customFormat="false" ht="30" hidden="false" customHeight="true" outlineLevel="0" collapsed="false">
      <c r="A477" s="4" t="s">
        <v>6</v>
      </c>
      <c r="B477" s="5" t="s">
        <v>174</v>
      </c>
      <c r="C477" s="6" t="str">
        <f aca="false">HYPERLINK("https://partner.tcgplayer.com/c/6278691/1780961/21018?u=https%3A%2F%2Fwww.tcgplayer.com%2Fproduct%2F637520%3Futm_source%3Dimpact%26utm_medium%3Daffiliate%26utm_campaign%3Dpoke%2Bcottage","Rescue Board")</f>
        <v>Rescue Board</v>
      </c>
      <c r="D477" s="5" t="s">
        <v>296</v>
      </c>
      <c r="E477" s="5"/>
      <c r="F477" s="5"/>
      <c r="G477" s="5"/>
      <c r="H477" s="7"/>
    </row>
    <row r="478" customFormat="false" ht="30" hidden="false" customHeight="true" outlineLevel="0" collapsed="false">
      <c r="A478" s="4" t="s">
        <v>6</v>
      </c>
      <c r="B478" s="5" t="s">
        <v>175</v>
      </c>
      <c r="C478" s="6" t="str">
        <f aca="false">HYPERLINK("https://partner.tcgplayer.com/c/6278691/1780961/21018?u=https%3A%2F%2Fwww.tcgplayer.com%2Fproduct%2F577590%3Futm_source%3Dimpact%26utm_medium%3Daffiliate%26utm_campaign%3Dpoke%2Bcottage","Salvatore")</f>
        <v>Salvatore</v>
      </c>
      <c r="D478" s="5" t="s">
        <v>256</v>
      </c>
      <c r="E478" s="5"/>
      <c r="F478" s="5"/>
      <c r="G478" s="5"/>
      <c r="H478" s="7"/>
    </row>
    <row r="479" customFormat="false" ht="30" hidden="false" customHeight="true" outlineLevel="0" collapsed="false">
      <c r="A479" s="4" t="s">
        <v>6</v>
      </c>
      <c r="B479" s="5" t="s">
        <v>176</v>
      </c>
      <c r="C479" s="6" t="str">
        <f aca="false">HYPERLINK("https://partner.tcgplayer.com/c/6278691/1780961/21018?u=https%3A%2F%2Fwww.tcgplayer.com%2Fproduct%2F565484%3Futm_source%3Dimpact%26utm_medium%3Daffiliate%26utm_campaign%3Dpoke%2Bcottage","Mist Energy")</f>
        <v>Mist Energy</v>
      </c>
      <c r="D479" s="5" t="s">
        <v>256</v>
      </c>
      <c r="E479" s="5"/>
      <c r="F479" s="5"/>
      <c r="G479" s="5"/>
      <c r="H479" s="7"/>
    </row>
    <row r="480" customFormat="false" ht="30" hidden="false" customHeight="true" outlineLevel="0" collapsed="false">
      <c r="A480" s="4" t="s">
        <v>6</v>
      </c>
      <c r="B480" s="5" t="s">
        <v>176</v>
      </c>
      <c r="C480" s="6" t="str">
        <f aca="false">HYPERLINK("https://partner.tcgplayer.com/c/6278691/1780961/21018?u=https%3A%2F%2Fwww.tcgplayer.com%2Fproduct%2F565484%3Futm_source%3Dimpact%26utm_medium%3Daffiliate%26utm_campaign%3Dpoke%2Bcottage","Mist Energy")</f>
        <v>Mist Energy</v>
      </c>
      <c r="D480" s="5" t="s">
        <v>257</v>
      </c>
      <c r="E480" s="5"/>
      <c r="F480" s="5"/>
      <c r="G480" s="5"/>
      <c r="H480" s="7"/>
    </row>
    <row r="481" customFormat="false" ht="30" hidden="false" customHeight="true" outlineLevel="0" collapsed="false">
      <c r="A481" s="4" t="s">
        <v>6</v>
      </c>
      <c r="B481" s="5" t="s">
        <v>177</v>
      </c>
      <c r="C481" s="6" t="str">
        <f aca="false">HYPERLINK("https://partner.tcgplayer.com/c/6278691/1780961/21018?u=https%3A%2F%2Fwww.tcgplayer.com%2Fproduct%2F577595%3Futm_source%3Dimpact%26utm_medium%3Daffiliate%26utm_campaign%3Dpoke%2Bcottage","Neo Upper Energy")</f>
        <v>Neo Upper Energy</v>
      </c>
      <c r="D481" s="5" t="s">
        <v>256</v>
      </c>
      <c r="E481" s="5"/>
      <c r="F481" s="5"/>
      <c r="G481" s="5"/>
      <c r="H481" s="7"/>
    </row>
    <row r="482" customFormat="false" ht="30" hidden="false" customHeight="true" outlineLevel="0" collapsed="false">
      <c r="A482" s="4" t="s">
        <v>6</v>
      </c>
      <c r="B482" s="5" t="s">
        <v>177</v>
      </c>
      <c r="C482" s="5" t="s">
        <v>297</v>
      </c>
      <c r="D482" s="5" t="s">
        <v>291</v>
      </c>
      <c r="E482" s="5"/>
      <c r="F482" s="5" t="str">
        <f aca="false">HYPERLINK("https://www.ebay.com/sch/i.html?_nkw=Neo+Upper+Energy+World+Championships+Deck+2025+Pult+Bomb+by+Jose+Cruz+Galindo-Resendiz+Temporal+Forces+162+pokemon+card&amp;_sacat=0&amp;_from=R40&amp;_trksid=p4624852.m570.l1313&amp;mkcid=1&amp;mkrid=711-53200-19255-0&amp;siteid=0&amp;campid=5339158445&amp;customid=pokecottage&amp;toolid=10001&amp;mkevt=1","FIND ON EBAY")</f>
        <v>FIND ON EBAY</v>
      </c>
      <c r="G482" s="5"/>
      <c r="H482" s="7"/>
    </row>
    <row r="484" customFormat="false" ht="24" hidden="false" customHeight="true" outlineLevel="0" collapsed="false">
      <c r="A484" s="8" t="s">
        <v>298</v>
      </c>
      <c r="B484" s="8"/>
      <c r="C484" s="8"/>
      <c r="D484" s="8"/>
      <c r="E484" s="8"/>
      <c r="F484" s="8"/>
      <c r="G484" s="8"/>
      <c r="H484" s="8"/>
    </row>
    <row r="485" customFormat="false" ht="24" hidden="false" customHeight="true" outlineLevel="0" collapsed="false">
      <c r="A485" s="8"/>
      <c r="B485" s="8"/>
      <c r="C485" s="8"/>
      <c r="D485" s="8"/>
      <c r="E485" s="8"/>
      <c r="F485" s="8"/>
      <c r="G485" s="8"/>
      <c r="H485" s="8"/>
    </row>
  </sheetData>
  <mergeCells count="2">
    <mergeCell ref="A360:H360"/>
    <mergeCell ref="A484:H485"/>
  </mergeCells>
  <dataValidations count="1">
    <dataValidation allowBlank="false" errorStyle="stop" operator="between" showDropDown="false" showErrorMessage="false" showInputMessage="false" sqref="A2:A482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299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HYPERLINK("https://pokecottage.com/temporal-forces-master-set-guide","Download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300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301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302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300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301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