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smatic Evolutions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<sst xmlns="http://schemas.openxmlformats.org/spreadsheetml/2006/main" count="2057" uniqueCount="261">
  <si>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</si>
  <si>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</si>
  <si>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</si>
  <si>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</si>
  <si>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</si>
  <si>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</si>
  <si>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</si>
  <si>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001/131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</si>
  <si>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</si>
  <si>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</si>
  <si>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</si>
  <si>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</si>
  <si>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Poké Ball</t>
  </si>
  <si>
    <t xml:space="preserve">Master Ball</t>
  </si>
  <si>
    <t xml:space="preserve">002/131</t>
  </si>
  <si>
    <t xml:space="preserve">Uncommon</t>
  </si>
  <si>
    <t xml:space="preserve">003/131</t>
  </si>
  <si>
    <t xml:space="preserve">004/131</t>
  </si>
  <si>
    <t xml:space="preserve">005/131</t>
  </si>
  <si>
    <t xml:space="preserve">Rare</t>
  </si>
  <si>
    <t xml:space="preserve">Holo</t>
  </si>
  <si>
    <t xml:space="preserve">006/131</t>
  </si>
  <si>
    <t xml:space="preserve">Double Rare</t>
  </si>
  <si>
    <t xml:space="preserve">007/131</t>
  </si>
  <si>
    <t xml:space="preserve">008/131</t>
  </si>
  <si>
    <t xml:space="preserve">009/131</t>
  </si>
  <si>
    <t xml:space="preserve">010/131</t>
  </si>
  <si>
    <t xml:space="preserve">011/131</t>
  </si>
  <si>
    <t xml:space="preserve">012/131</t>
  </si>
  <si>
    <t xml:space="preserve">013/131</t>
  </si>
  <si>
    <t xml:space="preserve">014/131</t>
  </si>
  <si>
    <t xml:space="preserve">015/131</t>
  </si>
  <si>
    <t xml:space="preserve">016/131</t>
  </si>
  <si>
    <t xml:space="preserve">017/131</t>
  </si>
  <si>
    <t xml:space="preserve">018/131</t>
  </si>
  <si>
    <t xml:space="preserve">019/131</t>
  </si>
  <si>
    <t xml:space="preserve">020/131</t>
  </si>
  <si>
    <t xml:space="preserve">021/131</t>
  </si>
  <si>
    <t xml:space="preserve">022/131</t>
  </si>
  <si>
    <t xml:space="preserve">023/131</t>
  </si>
  <si>
    <t xml:space="preserve">024/131</t>
  </si>
  <si>
    <t xml:space="preserve">025/131</t>
  </si>
  <si>
    <t xml:space="preserve">026/131</t>
  </si>
  <si>
    <t xml:space="preserve">027/131</t>
  </si>
  <si>
    <t xml:space="preserve">028/131</t>
  </si>
  <si>
    <t xml:space="preserve">029/131</t>
  </si>
  <si>
    <t xml:space="preserve">030/131</t>
  </si>
  <si>
    <t xml:space="preserve">031/131</t>
  </si>
  <si>
    <t xml:space="preserve">032/131</t>
  </si>
  <si>
    <t xml:space="preserve">033/131</t>
  </si>
  <si>
    <t xml:space="preserve">034/131</t>
  </si>
  <si>
    <t xml:space="preserve">035/131</t>
  </si>
  <si>
    <t xml:space="preserve">036/131</t>
  </si>
  <si>
    <t xml:space="preserve">037/131</t>
  </si>
  <si>
    <t xml:space="preserve">038/131</t>
  </si>
  <si>
    <t xml:space="preserve">039/131</t>
  </si>
  <si>
    <t xml:space="preserve">040/131</t>
  </si>
  <si>
    <t xml:space="preserve">041/131</t>
  </si>
  <si>
    <t xml:space="preserve">042/131</t>
  </si>
  <si>
    <t xml:space="preserve">043/131</t>
  </si>
  <si>
    <t xml:space="preserve">044/131</t>
  </si>
  <si>
    <t xml:space="preserve">045/131</t>
  </si>
  <si>
    <t xml:space="preserve">046/131</t>
  </si>
  <si>
    <t xml:space="preserve">047/131</t>
  </si>
  <si>
    <t xml:space="preserve">048/131</t>
  </si>
  <si>
    <t xml:space="preserve">049/131</t>
  </si>
  <si>
    <t xml:space="preserve">050/131</t>
  </si>
  <si>
    <t xml:space="preserve">051/131</t>
  </si>
  <si>
    <t xml:space="preserve">052/131</t>
  </si>
  <si>
    <t xml:space="preserve">053/131</t>
  </si>
  <si>
    <t xml:space="preserve">054/131</t>
  </si>
  <si>
    <t xml:space="preserve">055/131</t>
  </si>
  <si>
    <t xml:space="preserve">056/131</t>
  </si>
  <si>
    <t xml:space="preserve">057/131</t>
  </si>
  <si>
    <t xml:space="preserve">058/131</t>
  </si>
  <si>
    <t xml:space="preserve">059/131</t>
  </si>
  <si>
    <t xml:space="preserve">060/131</t>
  </si>
  <si>
    <t xml:space="preserve">061/131</t>
  </si>
  <si>
    <t xml:space="preserve">062/131</t>
  </si>
  <si>
    <t xml:space="preserve">063/131</t>
  </si>
  <si>
    <t xml:space="preserve">064/131</t>
  </si>
  <si>
    <t xml:space="preserve">065/131</t>
  </si>
  <si>
    <t xml:space="preserve">066/131</t>
  </si>
  <si>
    <t xml:space="preserve">067/131</t>
  </si>
  <si>
    <t xml:space="preserve">068/131</t>
  </si>
  <si>
    <t xml:space="preserve">069/131</t>
  </si>
  <si>
    <t xml:space="preserve">070/131</t>
  </si>
  <si>
    <t xml:space="preserve">071/131</t>
  </si>
  <si>
    <t xml:space="preserve">072/131</t>
  </si>
  <si>
    <t xml:space="preserve">073/131</t>
  </si>
  <si>
    <t xml:space="preserve">074/131</t>
  </si>
  <si>
    <t xml:space="preserve">075/131</t>
  </si>
  <si>
    <t xml:space="preserve">076/131</t>
  </si>
  <si>
    <t xml:space="preserve">077/131</t>
  </si>
  <si>
    <t xml:space="preserve">078/131</t>
  </si>
  <si>
    <t xml:space="preserve">079/131</t>
  </si>
  <si>
    <t xml:space="preserve">080/131</t>
  </si>
  <si>
    <t xml:space="preserve">081/131</t>
  </si>
  <si>
    <t xml:space="preserve">082/131</t>
  </si>
  <si>
    <t xml:space="preserve">083/131</t>
  </si>
  <si>
    <t xml:space="preserve">084/131</t>
  </si>
  <si>
    <t xml:space="preserve">085/131</t>
  </si>
  <si>
    <t xml:space="preserve">086/131</t>
  </si>
  <si>
    <t xml:space="preserve">087/131</t>
  </si>
  <si>
    <t xml:space="preserve">088/131</t>
  </si>
  <si>
    <t xml:space="preserve">089/131</t>
  </si>
  <si>
    <t xml:space="preserve">090/131</t>
  </si>
  <si>
    <t xml:space="preserve">091/131</t>
  </si>
  <si>
    <t xml:space="preserve">092/131</t>
  </si>
  <si>
    <t xml:space="preserve">093/131</t>
  </si>
  <si>
    <t xml:space="preserve">094/131</t>
  </si>
  <si>
    <t xml:space="preserve">095/131</t>
  </si>
  <si>
    <t xml:space="preserve">096/131</t>
  </si>
  <si>
    <t xml:space="preserve">097/131</t>
  </si>
  <si>
    <t xml:space="preserve">098/131</t>
  </si>
  <si>
    <t xml:space="preserve">099/131</t>
  </si>
  <si>
    <t xml:space="preserve">100/131</t>
  </si>
  <si>
    <t xml:space="preserve">101/131</t>
  </si>
  <si>
    <t xml:space="preserve">102/131</t>
  </si>
  <si>
    <t xml:space="preserve">103/131</t>
  </si>
  <si>
    <t xml:space="preserve">104/131</t>
  </si>
  <si>
    <t xml:space="preserve">105/131</t>
  </si>
  <si>
    <t xml:space="preserve">106/131</t>
  </si>
  <si>
    <t xml:space="preserve">107/131</t>
  </si>
  <si>
    <t xml:space="preserve">108/131</t>
  </si>
  <si>
    <t xml:space="preserve">109/131</t>
  </si>
  <si>
    <t xml:space="preserve">110/131</t>
  </si>
  <si>
    <t xml:space="preserve">111/131</t>
  </si>
  <si>
    <t xml:space="preserve">112/131</t>
  </si>
  <si>
    <t xml:space="preserve">113/131</t>
  </si>
  <si>
    <t xml:space="preserve">114/131</t>
  </si>
  <si>
    <t xml:space="preserve">115/131</t>
  </si>
  <si>
    <t xml:space="preserve">116/131</t>
  </si>
  <si>
    <t xml:space="preserve">ACE SPEC Rare</t>
  </si>
  <si>
    <t xml:space="preserve">117/131</t>
  </si>
  <si>
    <t xml:space="preserve">118/131</t>
  </si>
  <si>
    <t xml:space="preserve">119/131</t>
  </si>
  <si>
    <t xml:space="preserve">120/131</t>
  </si>
  <si>
    <t xml:space="preserve">121/131</t>
  </si>
  <si>
    <t xml:space="preserve">122/131</t>
  </si>
  <si>
    <t xml:space="preserve">123/131</t>
  </si>
  <si>
    <t xml:space="preserve">124/131</t>
  </si>
  <si>
    <t xml:space="preserve">125/131</t>
  </si>
  <si>
    <t xml:space="preserve">126/131</t>
  </si>
  <si>
    <t xml:space="preserve">127/131</t>
  </si>
  <si>
    <t xml:space="preserve">128/131</t>
  </si>
  <si>
    <t xml:space="preserve">129/131</t>
  </si>
  <si>
    <t xml:space="preserve">130/131</t>
  </si>
  <si>
    <t xml:space="preserve">131/131</t>
  </si>
  <si>
    <t xml:space="preserve">132/131</t>
  </si>
  <si>
    <t xml:space="preserve">Ultra Rare</t>
  </si>
  <si>
    <t xml:space="preserve">133/131</t>
  </si>
  <si>
    <t xml:space="preserve">134/131</t>
  </si>
  <si>
    <t xml:space="preserve">135/131</t>
  </si>
  <si>
    <t xml:space="preserve">136/131</t>
  </si>
  <si>
    <t xml:space="preserve">137/131</t>
  </si>
  <si>
    <t xml:space="preserve">138/131</t>
  </si>
  <si>
    <t xml:space="preserve">139/131</t>
  </si>
  <si>
    <t xml:space="preserve">140/131</t>
  </si>
  <si>
    <t xml:space="preserve">141/131</t>
  </si>
  <si>
    <t xml:space="preserve">142/131</t>
  </si>
  <si>
    <t xml:space="preserve">143/131</t>
  </si>
  <si>
    <t xml:space="preserve">144/131</t>
  </si>
  <si>
    <t xml:space="preserve">Special Illustration Rare</t>
  </si>
  <si>
    <t xml:space="preserve">145/131</t>
  </si>
  <si>
    <t xml:space="preserve">146/131</t>
  </si>
  <si>
    <t xml:space="preserve">147/131</t>
  </si>
  <si>
    <t xml:space="preserve">148/131</t>
  </si>
  <si>
    <t xml:space="preserve">149/131</t>
  </si>
  <si>
    <t xml:space="preserve">150/131</t>
  </si>
  <si>
    <t xml:space="preserve">151/131</t>
  </si>
  <si>
    <t xml:space="preserve">152/131</t>
  </si>
  <si>
    <t xml:space="preserve">153/131</t>
  </si>
  <si>
    <t xml:space="preserve">154/131</t>
  </si>
  <si>
    <t xml:space="preserve">155/131</t>
  </si>
  <si>
    <t xml:space="preserve">156/131</t>
  </si>
  <si>
    <t xml:space="preserve">157/131</t>
  </si>
  <si>
    <t xml:space="preserve">158/131</t>
  </si>
  <si>
    <t xml:space="preserve">159/131</t>
  </si>
  <si>
    <t xml:space="preserve">160/131</t>
  </si>
  <si>
    <t xml:space="preserve">161/131</t>
  </si>
  <si>
    <t xml:space="preserve">162/131</t>
  </si>
  <si>
    <t xml:space="preserve">163/131</t>
  </si>
  <si>
    <t xml:space="preserve">164/131</t>
  </si>
  <si>
    <t xml:space="preserve">165/131</t>
  </si>
  <si>
    <t xml:space="preserve">166/131</t>
  </si>
  <si>
    <t xml:space="preserve">167/131</t>
  </si>
  <si>
    <t xml:space="preserve">168/131</t>
  </si>
  <si>
    <t xml:space="preserve">169/131</t>
  </si>
  <si>
    <t xml:space="preserve">170/131</t>
  </si>
  <si>
    <t xml:space="preserve">171/131</t>
  </si>
  <si>
    <t xml:space="preserve">172/131</t>
  </si>
  <si>
    <t xml:space="preserve">173/131</t>
  </si>
  <si>
    <t xml:space="preserve">174/131</t>
  </si>
  <si>
    <t xml:space="preserve">175/131</t>
  </si>
  <si>
    <t xml:space="preserve">176/131</t>
  </si>
  <si>
    <t xml:space="preserve">Hyper Rare</t>
  </si>
  <si>
    <t xml:space="preserve">177/131</t>
  </si>
  <si>
    <t xml:space="preserve">178/131</t>
  </si>
  <si>
    <t xml:space="preserve">179/131</t>
  </si>
  <si>
    <t xml:space="preserve">180/131</t>
  </si>
  <si>
    <t xml:space="preserve">Promos &amp; Variants - Optional</t>
  </si>
  <si>
    <t xml:space="preserve">SVP 167</t>
  </si>
  <si>
    <t xml:space="preserve">Poster Collection Promo</t>
  </si>
  <si>
    <t xml:space="preserve">SVP 168</t>
  </si>
  <si>
    <t xml:space="preserve">SVP 169</t>
  </si>
  <si>
    <t xml:space="preserve">SVP 170</t>
  </si>
  <si>
    <t xml:space="preserve">Tech Sticker Collection</t>
  </si>
  <si>
    <t xml:space="preserve">SVP 171</t>
  </si>
  <si>
    <t xml:space="preserve">SVP 172</t>
  </si>
  <si>
    <t xml:space="preserve">SVP 173</t>
  </si>
  <si>
    <t xml:space="preserve">ETB Promo</t>
  </si>
  <si>
    <t xml:space="preserve">Pokemon Center ETB Promo</t>
  </si>
  <si>
    <t xml:space="preserve">SVP 174</t>
  </si>
  <si>
    <t xml:space="preserve">Super-Premium Collection</t>
  </si>
  <si>
    <t xml:space="preserve">SVP 175</t>
  </si>
  <si>
    <t xml:space="preserve">Prismatic Figure Collection</t>
  </si>
  <si>
    <t xml:space="preserve">SVP 176</t>
  </si>
  <si>
    <t xml:space="preserve">Budew</t>
  </si>
  <si>
    <t xml:space="preserve">Play! Pokémon (Cosmos Holo)</t>
  </si>
  <si>
    <t xml:space="preserve">Play! Pokémon</t>
  </si>
  <si>
    <t xml:space="preserve">Pokémon TCG Gym</t>
  </si>
  <si>
    <t xml:space="preserve">Premier Ball League</t>
  </si>
  <si>
    <t xml:space="preserve">Premier Ball League (Judge)</t>
  </si>
  <si>
    <t xml:space="preserve">World Championships Deck 2025: Pult Bomb by Jose Cruz Galindo-Resendiz</t>
  </si>
  <si>
    <t xml:space="preserve">Cosmos Holo</t>
  </si>
  <si>
    <t xml:space="preserve">Expansion Stamp</t>
  </si>
  <si>
    <t xml:space="preserve">Holiday Calendar 2025</t>
  </si>
  <si>
    <t xml:space="preserve">Pokémon Day</t>
  </si>
  <si>
    <t xml:space="preserve">Jumbo (Expansion Stamp)</t>
  </si>
  <si>
    <t xml:space="preserve">Jumbo</t>
  </si>
  <si>
    <t xml:space="preserve">Lugia ex</t>
  </si>
  <si>
    <t xml:space="preserve">Expansion Stamp (Alternate Placement)</t>
  </si>
  <si>
    <t xml:space="preserve">Jumbo (Expansion Stamp, Alternate Placement)</t>
  </si>
  <si>
    <t xml:space="preserve">Regigigas</t>
  </si>
  <si>
    <t xml:space="preserve">Professor Program</t>
  </si>
  <si>
    <t xml:space="preserve">Friends in Paldea</t>
  </si>
  <si>
    <t xml:space="preserve">Professor Program (Champion)</t>
  </si>
  <si>
    <t xml:space="preserve">Professor Program (Finalist)</t>
  </si>
  <si>
    <t xml:space="preserve">Professor Program (Staff)</t>
  </si>
  <si>
    <t xml:space="preserve">Professor Program (Top 4)</t>
  </si>
  <si>
    <t xml:space="preserve">Professor Program (Top 8)</t>
  </si>
  <si>
    <t xml:space="preserve">Professor's Research (Professor Oak)</t>
  </si>
  <si>
    <t xml:space="preserve">Professor's Research (Professor Elm)</t>
  </si>
  <si>
    <t xml:space="preserve">Professor's Research (Professor Rowan)</t>
  </si>
  <si>
    <t xml:space="preserve">Professor's Research (Professor Sycamore)</t>
  </si>
  <si>
    <t xml:space="preserve">Brassius</t>
  </si>
  <si>
    <t xml:space="preserve">SVE 009</t>
  </si>
  <si>
    <t xml:space="preserve">Holo Energy</t>
  </si>
  <si>
    <t xml:space="preserve">SVE 010</t>
  </si>
  <si>
    <t xml:space="preserve">SVE 011</t>
  </si>
  <si>
    <t xml:space="preserve">SVE 012</t>
  </si>
  <si>
    <t xml:space="preserve">SVE 013</t>
  </si>
  <si>
    <t xml:space="preserve">SVE 014</t>
  </si>
  <si>
    <t xml:space="preserve">SVE 015</t>
  </si>
  <si>
    <t xml:space="preserve">SVE 016</t>
  </si>
  <si>
    <t xml:space="preserve">This checklist contains affiliate links for which I may be compensated.</t>
  </si>
  <si>
    <t xml:space="preserve">Want free Prismatic Evolutions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</si>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</sst>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IFERROR((COUNTIF(A2:A448,"☑"))/((COUNTIF(A2:A448,"☑"))+(COUNTIF(A2:A448,"☐"))),0)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HYPERLINK("https://partner.tcgplayer.com/c/6278691/1780961/21018?u=https%3A%2F%2Fwww.tcgplayer.com%2Fproduct%2F610356%3Futm_source%3Dimpact%26utm_medium%3Daffiliate%26utm_campaign%3Dpoke%2Bcottage","Exeggcute")</f>
        <v>Exeggcute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IFERROR(COUNTIF(A2:A527,"☑")/(COUNTIF(A2:A527,"☑")+COUNTIF(A2:A527,"☐")),0)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HYPERLINK("https://partner.tcgplayer.com/c/6278691/1780961/21018?u=https%3A%2F%2Fwww.tcgplayer.com%2Fproduct%2F610356%3Futm_source%3Dimpact%26utm_medium%3Daffiliate%26utm_campaign%3Dpoke%2Bcottage","Exeggcute")</f>
        <v>Exeggcute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7</v>
      </c>
      <c r="C4" s="6" t="str">
        <f aca="false">HYPERLINK("https://partner.tcgplayer.com/c/6278691/1780961/21018?u=https%3A%2F%2Fwww.tcgplayer.com%2Fproduct%2F610536%3Futm_source%3Dimpact%26utm_medium%3Daffiliate%26utm_campaign%3Dpoke%2Bcottage","Exeggcute")</f>
        <v>Exeggcute</v>
      </c>
      <c r="D4" s="5" t="s">
        <v>8</v>
      </c>
      <c r="E4" s="5" t="s">
        <v>12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7</v>
      </c>
      <c r="C5" s="6" t="str">
        <f aca="false">HYPERLINK("https://partner.tcgplayer.com/c/6278691/1780961/21018?u=https%3A%2F%2Fwww.tcgplayer.com%2Fproduct%2F610637%3Futm_source%3Dimpact%26utm_medium%3Daffiliate%26utm_campaign%3Dpoke%2Bcottage","Exeggcute")</f>
        <v>Exeggcute</v>
      </c>
      <c r="D5" s="5" t="s">
        <v>8</v>
      </c>
      <c r="E5" s="5" t="s">
        <v>13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HYPERLINK("https://partner.tcgplayer.com/c/6278691/1780961/21018?u=https%3A%2F%2Fwww.tcgplayer.com%2Fproduct%2F610357%3Futm_source%3Dimpact%26utm_medium%3Daffiliate%26utm_campaign%3Dpoke%2Bcottage","Exeggutor")</f>
        <v>Exeggutor</v>
      </c>
      <c r="D6" s="5" t="s">
        <v>15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14</v>
      </c>
      <c r="C7" s="6" t="str">
        <f aca="false">HYPERLINK("https://partner.tcgplayer.com/c/6278691/1780961/21018?u=https%3A%2F%2Fwww.tcgplayer.com%2Fproduct%2F610357%3Futm_source%3Dimpact%26utm_medium%3Daffiliate%26utm_campaign%3Dpoke%2Bcottage","Exeggutor")</f>
        <v>Exeggutor</v>
      </c>
      <c r="D7" s="5" t="s">
        <v>15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14</v>
      </c>
      <c r="C8" s="6" t="str">
        <f aca="false">HYPERLINK("https://partner.tcgplayer.com/c/6278691/1780961/21018?u=https%3A%2F%2Fwww.tcgplayer.com%2Fproduct%2F610537%3Futm_source%3Dimpact%26utm_medium%3Daffiliate%26utm_campaign%3Dpoke%2Bcottage","Exeggutor")</f>
        <v>Exeggutor</v>
      </c>
      <c r="D8" s="5" t="s">
        <v>15</v>
      </c>
      <c r="E8" s="5" t="s">
        <v>12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14</v>
      </c>
      <c r="C9" s="6" t="str">
        <f aca="false">HYPERLINK("https://partner.tcgplayer.com/c/6278691/1780961/21018?u=https%3A%2F%2Fwww.tcgplayer.com%2Fproduct%2F610638%3Futm_source%3Dimpact%26utm_medium%3Daffiliate%26utm_campaign%3Dpoke%2Bcottage","Exeggutor")</f>
        <v>Exeggutor</v>
      </c>
      <c r="D9" s="5" t="s">
        <v>15</v>
      </c>
      <c r="E9" s="5" t="s">
        <v>13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16</v>
      </c>
      <c r="C10" s="6" t="str">
        <f aca="false">HYPERLINK("https://partner.tcgplayer.com/c/6278691/1780961/21018?u=https%3A%2F%2Fwww.tcgplayer.com%2Fproduct%2F610358%3Futm_source%3Dimpact%26utm_medium%3Daffiliate%26utm_campaign%3Dpoke%2Bcottage","Pinsir")</f>
        <v>Pinsir</v>
      </c>
      <c r="D10" s="5" t="s">
        <v>8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16</v>
      </c>
      <c r="C11" s="6" t="str">
        <f aca="false">HYPERLINK("https://partner.tcgplayer.com/c/6278691/1780961/21018?u=https%3A%2F%2Fwww.tcgplayer.com%2Fproduct%2F610358%3Futm_source%3Dimpact%26utm_medium%3Daffiliate%26utm_campaign%3Dpoke%2Bcottage","Pinsir")</f>
        <v>Pinsir</v>
      </c>
      <c r="D11" s="5" t="s">
        <v>8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16</v>
      </c>
      <c r="C12" s="6" t="str">
        <f aca="false">HYPERLINK("https://partner.tcgplayer.com/c/6278691/1780961/21018?u=https%3A%2F%2Fwww.tcgplayer.com%2Fproduct%2F610538%3Futm_source%3Dimpact%26utm_medium%3Daffiliate%26utm_campaign%3Dpoke%2Bcottage","Pinsir")</f>
        <v>Pinsir</v>
      </c>
      <c r="D12" s="5" t="s">
        <v>8</v>
      </c>
      <c r="E12" s="5" t="s">
        <v>12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16</v>
      </c>
      <c r="C13" s="6" t="str">
        <f aca="false">HYPERLINK("https://partner.tcgplayer.com/c/6278691/1780961/21018?u=https%3A%2F%2Fwww.tcgplayer.com%2Fproduct%2F610639%3Futm_source%3Dimpact%26utm_medium%3Daffiliate%26utm_campaign%3Dpoke%2Bcottage","Pinsir")</f>
        <v>Pinsir</v>
      </c>
      <c r="D13" s="5" t="s">
        <v>8</v>
      </c>
      <c r="E13" s="5" t="s">
        <v>13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17</v>
      </c>
      <c r="C14" s="6" t="str">
        <f aca="false">HYPERLINK("https://partner.tcgplayer.com/c/6278691/1780961/21018?u=https%3A%2F%2Fwww.tcgplayer.com%2Fproduct%2F610359%3Futm_source%3Dimpact%26utm_medium%3Daffiliate%26utm_campaign%3Dpoke%2Bcottage","Budew")</f>
        <v>Budew</v>
      </c>
      <c r="D14" s="5" t="s">
        <v>8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17</v>
      </c>
      <c r="C15" s="6" t="str">
        <f aca="false">HYPERLINK("https://partner.tcgplayer.com/c/6278691/1780961/21018?u=https%3A%2F%2Fwww.tcgplayer.com%2Fproduct%2F610359%3Futm_source%3Dimpact%26utm_medium%3Daffiliate%26utm_campaign%3Dpoke%2Bcottage","Budew")</f>
        <v>Budew</v>
      </c>
      <c r="D15" s="5" t="s">
        <v>8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17</v>
      </c>
      <c r="C16" s="6" t="str">
        <f aca="false">HYPERLINK("https://partner.tcgplayer.com/c/6278691/1780961/21018?u=https%3A%2F%2Fwww.tcgplayer.com%2Fproduct%2F610539%3Futm_source%3Dimpact%26utm_medium%3Daffiliate%26utm_campaign%3Dpoke%2Bcottage","Budew")</f>
        <v>Budew</v>
      </c>
      <c r="D16" s="5" t="s">
        <v>8</v>
      </c>
      <c r="E16" s="5" t="s">
        <v>12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17</v>
      </c>
      <c r="C17" s="6" t="str">
        <f aca="false">HYPERLINK("https://partner.tcgplayer.com/c/6278691/1780961/21018?u=https%3A%2F%2Fwww.tcgplayer.com%2Fproduct%2F610640%3Futm_source%3Dimpact%26utm_medium%3Daffiliate%26utm_campaign%3Dpoke%2Bcottage","Budew")</f>
        <v>Budew</v>
      </c>
      <c r="D17" s="5" t="s">
        <v>8</v>
      </c>
      <c r="E17" s="5" t="s">
        <v>13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18</v>
      </c>
      <c r="C18" s="6" t="str">
        <f aca="false">HYPERLINK("https://partner.tcgplayer.com/c/6278691/1780961/21018?u=https%3A%2F%2Fwww.tcgplayer.com%2Fproduct%2F610360%3Futm_source%3Dimpact%26utm_medium%3Daffiliate%26utm_campaign%3Dpoke%2Bcottage","Leafeon")</f>
        <v>Leafeon</v>
      </c>
      <c r="D18" s="5" t="s">
        <v>19</v>
      </c>
      <c r="E18" s="5" t="s">
        <v>20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18</v>
      </c>
      <c r="C19" s="6" t="str">
        <f aca="false">HYPERLINK("https://partner.tcgplayer.com/c/6278691/1780961/21018?u=https%3A%2F%2Fwww.tcgplayer.com%2Fproduct%2F610360%3Futm_source%3Dimpact%26utm_medium%3Daffiliate%26utm_campaign%3Dpoke%2Bcottage","Leafeon")</f>
        <v>Leafeon</v>
      </c>
      <c r="D19" s="5" t="s">
        <v>19</v>
      </c>
      <c r="E19" s="5" t="s">
        <v>11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18</v>
      </c>
      <c r="C20" s="6" t="str">
        <f aca="false">HYPERLINK("https://partner.tcgplayer.com/c/6278691/1780961/21018?u=https%3A%2F%2Fwww.tcgplayer.com%2Fproduct%2F610540%3Futm_source%3Dimpact%26utm_medium%3Daffiliate%26utm_campaign%3Dpoke%2Bcottage","Leafeon")</f>
        <v>Leafeon</v>
      </c>
      <c r="D20" s="5" t="s">
        <v>19</v>
      </c>
      <c r="E20" s="5" t="s">
        <v>12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18</v>
      </c>
      <c r="C21" s="6" t="str">
        <f aca="false">HYPERLINK("https://partner.tcgplayer.com/c/6278691/1780961/21018?u=https%3A%2F%2Fwww.tcgplayer.com%2Fproduct%2F610641%3Futm_source%3Dimpact%26utm_medium%3Daffiliate%26utm_campaign%3Dpoke%2Bcottage","Leafeon")</f>
        <v>Leafeon</v>
      </c>
      <c r="D21" s="5" t="s">
        <v>19</v>
      </c>
      <c r="E21" s="5" t="s">
        <v>13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21</v>
      </c>
      <c r="C22" s="6" t="str">
        <f aca="false">HYPERLINK("https://partner.tcgplayer.com/c/6278691/1780961/21018?u=https%3A%2F%2Fwww.tcgplayer.com%2Fproduct%2F610361%3Futm_source%3Dimpact%26utm_medium%3Daffiliate%26utm_campaign%3Dpoke%2Bcottage","Leafeon ex")</f>
        <v>Leafeon ex</v>
      </c>
      <c r="D22" s="5" t="s">
        <v>22</v>
      </c>
      <c r="E22" s="5" t="s">
        <v>20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23</v>
      </c>
      <c r="C23" s="6" t="str">
        <f aca="false">HYPERLINK("https://partner.tcgplayer.com/c/6278691/1780961/21018?u=https%3A%2F%2Fwww.tcgplayer.com%2Fproduct%2F610362%3Futm_source%3Dimpact%26utm_medium%3Daffiliate%26utm_campaign%3Dpoke%2Bcottage","Cottonee")</f>
        <v>Cottonee</v>
      </c>
      <c r="D23" s="5" t="s">
        <v>8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23</v>
      </c>
      <c r="C24" s="6" t="str">
        <f aca="false">HYPERLINK("https://partner.tcgplayer.com/c/6278691/1780961/21018?u=https%3A%2F%2Fwww.tcgplayer.com%2Fproduct%2F610362%3Futm_source%3Dimpact%26utm_medium%3Daffiliate%26utm_campaign%3Dpoke%2Bcottage","Cottonee")</f>
        <v>Cottonee</v>
      </c>
      <c r="D24" s="5" t="s">
        <v>8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23</v>
      </c>
      <c r="C25" s="6" t="str">
        <f aca="false">HYPERLINK("https://partner.tcgplayer.com/c/6278691/1780961/21018?u=https%3A%2F%2Fwww.tcgplayer.com%2Fproduct%2F610541%3Futm_source%3Dimpact%26utm_medium%3Daffiliate%26utm_campaign%3Dpoke%2Bcottage","Cottonee")</f>
        <v>Cottonee</v>
      </c>
      <c r="D25" s="5" t="s">
        <v>8</v>
      </c>
      <c r="E25" s="5" t="s">
        <v>12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23</v>
      </c>
      <c r="C26" s="6" t="str">
        <f aca="false">HYPERLINK("https://partner.tcgplayer.com/c/6278691/1780961/21018?u=https%3A%2F%2Fwww.tcgplayer.com%2Fproduct%2F610642%3Futm_source%3Dimpact%26utm_medium%3Daffiliate%26utm_campaign%3Dpoke%2Bcottage","Cottonee")</f>
        <v>Cottonee</v>
      </c>
      <c r="D26" s="5" t="s">
        <v>8</v>
      </c>
      <c r="E26" s="5" t="s">
        <v>13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24</v>
      </c>
      <c r="C27" s="6" t="str">
        <f aca="false">HYPERLINK("https://partner.tcgplayer.com/c/6278691/1780961/21018?u=https%3A%2F%2Fwww.tcgplayer.com%2Fproduct%2F610363%3Futm_source%3Dimpact%26utm_medium%3Daffiliate%26utm_campaign%3Dpoke%2Bcottage","Whimsicott")</f>
        <v>Whimsicott</v>
      </c>
      <c r="D27" s="5" t="s">
        <v>19</v>
      </c>
      <c r="E27" s="5" t="s">
        <v>20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24</v>
      </c>
      <c r="C28" s="6" t="str">
        <f aca="false">HYPERLINK("https://partner.tcgplayer.com/c/6278691/1780961/21018?u=https%3A%2F%2Fwww.tcgplayer.com%2Fproduct%2F610363%3Futm_source%3Dimpact%26utm_medium%3Daffiliate%26utm_campaign%3Dpoke%2Bcottage","Whimsicott")</f>
        <v>Whimsicott</v>
      </c>
      <c r="D28" s="5" t="s">
        <v>19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24</v>
      </c>
      <c r="C29" s="6" t="str">
        <f aca="false">HYPERLINK("https://partner.tcgplayer.com/c/6278691/1780961/21018?u=https%3A%2F%2Fwww.tcgplayer.com%2Fproduct%2F610542%3Futm_source%3Dimpact%26utm_medium%3Daffiliate%26utm_campaign%3Dpoke%2Bcottage","Whimsicott")</f>
        <v>Whimsicott</v>
      </c>
      <c r="D29" s="5" t="s">
        <v>19</v>
      </c>
      <c r="E29" s="5" t="s">
        <v>12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24</v>
      </c>
      <c r="C30" s="6" t="str">
        <f aca="false">HYPERLINK("https://partner.tcgplayer.com/c/6278691/1780961/21018?u=https%3A%2F%2Fwww.tcgplayer.com%2Fproduct%2F610643%3Futm_source%3Dimpact%26utm_medium%3Daffiliate%26utm_campaign%3Dpoke%2Bcottage","Whimsicott")</f>
        <v>Whimsicott</v>
      </c>
      <c r="D30" s="5" t="s">
        <v>19</v>
      </c>
      <c r="E30" s="5" t="s">
        <v>13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25</v>
      </c>
      <c r="C31" s="6" t="str">
        <f aca="false">HYPERLINK("https://partner.tcgplayer.com/c/6278691/1780961/21018?u=https%3A%2F%2Fwww.tcgplayer.com%2Fproduct%2F610364%3Futm_source%3Dimpact%26utm_medium%3Daffiliate%26utm_campaign%3Dpoke%2Bcottage","Applin")</f>
        <v>Applin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25</v>
      </c>
      <c r="C32" s="6" t="str">
        <f aca="false">HYPERLINK("https://partner.tcgplayer.com/c/6278691/1780961/21018?u=https%3A%2F%2Fwww.tcgplayer.com%2Fproduct%2F610364%3Futm_source%3Dimpact%26utm_medium%3Daffiliate%26utm_campaign%3Dpoke%2Bcottage","Applin")</f>
        <v>Applin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25</v>
      </c>
      <c r="C33" s="6" t="str">
        <f aca="false">HYPERLINK("https://partner.tcgplayer.com/c/6278691/1780961/21018?u=https%3A%2F%2Fwww.tcgplayer.com%2Fproduct%2F610543%3Futm_source%3Dimpact%26utm_medium%3Daffiliate%26utm_campaign%3Dpoke%2Bcottage","Applin")</f>
        <v>Applin</v>
      </c>
      <c r="D33" s="5" t="s">
        <v>8</v>
      </c>
      <c r="E33" s="5" t="s">
        <v>12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25</v>
      </c>
      <c r="C34" s="6" t="str">
        <f aca="false">HYPERLINK("https://partner.tcgplayer.com/c/6278691/1780961/21018?u=https%3A%2F%2Fwww.tcgplayer.com%2Fproduct%2F610644%3Futm_source%3Dimpact%26utm_medium%3Daffiliate%26utm_campaign%3Dpoke%2Bcottage","Applin")</f>
        <v>Applin</v>
      </c>
      <c r="D34" s="5" t="s">
        <v>8</v>
      </c>
      <c r="E34" s="5" t="s">
        <v>13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26</v>
      </c>
      <c r="C35" s="6" t="str">
        <f aca="false">HYPERLINK("https://partner.tcgplayer.com/c/6278691/1780961/21018?u=https%3A%2F%2Fwww.tcgplayer.com%2Fproduct%2F610365%3Futm_source%3Dimpact%26utm_medium%3Daffiliate%26utm_campaign%3Dpoke%2Bcottage","Dipplin")</f>
        <v>Dipplin</v>
      </c>
      <c r="D35" s="5" t="s">
        <v>15</v>
      </c>
      <c r="E35" s="5" t="s">
        <v>9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26</v>
      </c>
      <c r="C36" s="6" t="str">
        <f aca="false">HYPERLINK("https://partner.tcgplayer.com/c/6278691/1780961/21018?u=https%3A%2F%2Fwww.tcgplayer.com%2Fproduct%2F610365%3Futm_source%3Dimpact%26utm_medium%3Daffiliate%26utm_campaign%3Dpoke%2Bcottage","Dipplin")</f>
        <v>Dipplin</v>
      </c>
      <c r="D36" s="5" t="s">
        <v>15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26</v>
      </c>
      <c r="C37" s="6" t="str">
        <f aca="false">HYPERLINK("https://partner.tcgplayer.com/c/6278691/1780961/21018?u=https%3A%2F%2Fwww.tcgplayer.com%2Fproduct%2F610544%3Futm_source%3Dimpact%26utm_medium%3Daffiliate%26utm_campaign%3Dpoke%2Bcottage","Dipplin")</f>
        <v>Dipplin</v>
      </c>
      <c r="D37" s="5" t="s">
        <v>15</v>
      </c>
      <c r="E37" s="5" t="s">
        <v>12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26</v>
      </c>
      <c r="C38" s="6" t="str">
        <f aca="false">HYPERLINK("https://partner.tcgplayer.com/c/6278691/1780961/21018?u=https%3A%2F%2Fwww.tcgplayer.com%2Fproduct%2F610645%3Futm_source%3Dimpact%26utm_medium%3Daffiliate%26utm_campaign%3Dpoke%2Bcottage","Dipplin")</f>
        <v>Dipplin</v>
      </c>
      <c r="D38" s="5" t="s">
        <v>15</v>
      </c>
      <c r="E38" s="5" t="s">
        <v>13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27</v>
      </c>
      <c r="C39" s="6" t="str">
        <f aca="false">HYPERLINK("https://partner.tcgplayer.com/c/6278691/1780961/21018?u=https%3A%2F%2Fwww.tcgplayer.com%2Fproduct%2F610366%3Futm_source%3Dimpact%26utm_medium%3Daffiliate%26utm_campaign%3Dpoke%2Bcottage","Hydrapple ex")</f>
        <v>Hydrapple ex</v>
      </c>
      <c r="D39" s="5" t="s">
        <v>22</v>
      </c>
      <c r="E39" s="5" t="s">
        <v>20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28</v>
      </c>
      <c r="C40" s="6" t="str">
        <f aca="false">HYPERLINK("https://partner.tcgplayer.com/c/6278691/1780961/21018?u=https%3A%2F%2Fwww.tcgplayer.com%2Fproduct%2F610367%3Futm_source%3Dimpact%26utm_medium%3Daffiliate%26utm_campaign%3Dpoke%2Bcottage","Teal Mask Ogerpon ex")</f>
        <v>Teal Mask Ogerpon ex</v>
      </c>
      <c r="D40" s="5" t="s">
        <v>22</v>
      </c>
      <c r="E40" s="5" t="s">
        <v>20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29</v>
      </c>
      <c r="C41" s="6" t="str">
        <f aca="false">HYPERLINK("https://partner.tcgplayer.com/c/6278691/1780961/21018?u=https%3A%2F%2Fwww.tcgplayer.com%2Fproduct%2F610368%3Futm_source%3Dimpact%26utm_medium%3Daffiliate%26utm_campaign%3Dpoke%2Bcottage","Flareon")</f>
        <v>Flareon</v>
      </c>
      <c r="D41" s="5" t="s">
        <v>19</v>
      </c>
      <c r="E41" s="5" t="s">
        <v>20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29</v>
      </c>
      <c r="C42" s="6" t="str">
        <f aca="false">HYPERLINK("https://partner.tcgplayer.com/c/6278691/1780961/21018?u=https%3A%2F%2Fwww.tcgplayer.com%2Fproduct%2F610368%3Futm_source%3Dimpact%26utm_medium%3Daffiliate%26utm_campaign%3Dpoke%2Bcottage","Flareon")</f>
        <v>Flareon</v>
      </c>
      <c r="D42" s="5" t="s">
        <v>19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29</v>
      </c>
      <c r="C43" s="6" t="str">
        <f aca="false">HYPERLINK("https://partner.tcgplayer.com/c/6278691/1780961/21018?u=https%3A%2F%2Fwww.tcgplayer.com%2Fproduct%2F610545%3Futm_source%3Dimpact%26utm_medium%3Daffiliate%26utm_campaign%3Dpoke%2Bcottage","Flareon")</f>
        <v>Flareon</v>
      </c>
      <c r="D43" s="5" t="s">
        <v>19</v>
      </c>
      <c r="E43" s="5" t="s">
        <v>12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29</v>
      </c>
      <c r="C44" s="6" t="str">
        <f aca="false">HYPERLINK("https://partner.tcgplayer.com/c/6278691/1780961/21018?u=https%3A%2F%2Fwww.tcgplayer.com%2Fproduct%2F610646%3Futm_source%3Dimpact%26utm_medium%3Daffiliate%26utm_campaign%3Dpoke%2Bcottage","Flareon")</f>
        <v>Flareon</v>
      </c>
      <c r="D44" s="5" t="s">
        <v>19</v>
      </c>
      <c r="E44" s="5" t="s">
        <v>13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30</v>
      </c>
      <c r="C45" s="6" t="str">
        <f aca="false">HYPERLINK("https://partner.tcgplayer.com/c/6278691/1780961/21018?u=https%3A%2F%2Fwww.tcgplayer.com%2Fproduct%2F610369%3Futm_source%3Dimpact%26utm_medium%3Daffiliate%26utm_campaign%3Dpoke%2Bcottage","Flareon ex")</f>
        <v>Flareon ex</v>
      </c>
      <c r="D45" s="5" t="s">
        <v>22</v>
      </c>
      <c r="E45" s="5" t="s">
        <v>20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31</v>
      </c>
      <c r="C46" s="6" t="str">
        <f aca="false">HYPERLINK("https://partner.tcgplayer.com/c/6278691/1780961/21018?u=https%3A%2F%2Fwww.tcgplayer.com%2Fproduct%2F610370%3Futm_source%3Dimpact%26utm_medium%3Daffiliate%26utm_campaign%3Dpoke%2Bcottage","Litleo")</f>
        <v>Litleo</v>
      </c>
      <c r="D46" s="5" t="s">
        <v>8</v>
      </c>
      <c r="E46" s="5" t="s">
        <v>9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31</v>
      </c>
      <c r="C47" s="6" t="str">
        <f aca="false">HYPERLINK("https://partner.tcgplayer.com/c/6278691/1780961/21018?u=https%3A%2F%2Fwww.tcgplayer.com%2Fproduct%2F610370%3Futm_source%3Dimpact%26utm_medium%3Daffiliate%26utm_campaign%3Dpoke%2Bcottage","Litleo")</f>
        <v>Litleo</v>
      </c>
      <c r="D47" s="5" t="s">
        <v>8</v>
      </c>
      <c r="E47" s="5" t="s">
        <v>11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31</v>
      </c>
      <c r="C48" s="6" t="str">
        <f aca="false">HYPERLINK("https://partner.tcgplayer.com/c/6278691/1780961/21018?u=https%3A%2F%2Fwww.tcgplayer.com%2Fproduct%2F610546%3Futm_source%3Dimpact%26utm_medium%3Daffiliate%26utm_campaign%3Dpoke%2Bcottage","Litleo")</f>
        <v>Litleo</v>
      </c>
      <c r="D48" s="5" t="s">
        <v>8</v>
      </c>
      <c r="E48" s="5" t="s">
        <v>12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31</v>
      </c>
      <c r="C49" s="6" t="str">
        <f aca="false">HYPERLINK("https://partner.tcgplayer.com/c/6278691/1780961/21018?u=https%3A%2F%2Fwww.tcgplayer.com%2Fproduct%2F610647%3Futm_source%3Dimpact%26utm_medium%3Daffiliate%26utm_campaign%3Dpoke%2Bcottage","Litleo")</f>
        <v>Litleo</v>
      </c>
      <c r="D49" s="5" t="s">
        <v>8</v>
      </c>
      <c r="E49" s="5" t="s">
        <v>13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32</v>
      </c>
      <c r="C50" s="6" t="str">
        <f aca="false">HYPERLINK("https://partner.tcgplayer.com/c/6278691/1780961/21018?u=https%3A%2F%2Fwww.tcgplayer.com%2Fproduct%2F610371%3Futm_source%3Dimpact%26utm_medium%3Daffiliate%26utm_campaign%3Dpoke%2Bcottage","Pyroar")</f>
        <v>Pyroar</v>
      </c>
      <c r="D50" s="5" t="s">
        <v>15</v>
      </c>
      <c r="E50" s="5" t="s">
        <v>9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32</v>
      </c>
      <c r="C51" s="6" t="str">
        <f aca="false">HYPERLINK("https://partner.tcgplayer.com/c/6278691/1780961/21018?u=https%3A%2F%2Fwww.tcgplayer.com%2Fproduct%2F610371%3Futm_source%3Dimpact%26utm_medium%3Daffiliate%26utm_campaign%3Dpoke%2Bcottage","Pyroar")</f>
        <v>Pyroar</v>
      </c>
      <c r="D51" s="5" t="s">
        <v>15</v>
      </c>
      <c r="E51" s="5" t="s">
        <v>11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32</v>
      </c>
      <c r="C52" s="6" t="str">
        <f aca="false">HYPERLINK("https://partner.tcgplayer.com/c/6278691/1780961/21018?u=https%3A%2F%2Fwww.tcgplayer.com%2Fproduct%2F610547%3Futm_source%3Dimpact%26utm_medium%3Daffiliate%26utm_campaign%3Dpoke%2Bcottage","Pyroar")</f>
        <v>Pyroar</v>
      </c>
      <c r="D52" s="5" t="s">
        <v>15</v>
      </c>
      <c r="E52" s="5" t="s">
        <v>12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32</v>
      </c>
      <c r="C53" s="6" t="str">
        <f aca="false">HYPERLINK("https://partner.tcgplayer.com/c/6278691/1780961/21018?u=https%3A%2F%2Fwww.tcgplayer.com%2Fproduct%2F610648%3Futm_source%3Dimpact%26utm_medium%3Daffiliate%26utm_campaign%3Dpoke%2Bcottage","Pyroar")</f>
        <v>Pyroar</v>
      </c>
      <c r="D53" s="5" t="s">
        <v>15</v>
      </c>
      <c r="E53" s="5" t="s">
        <v>13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33</v>
      </c>
      <c r="C54" s="6" t="str">
        <f aca="false">HYPERLINK("https://partner.tcgplayer.com/c/6278691/1780961/21018?u=https%3A%2F%2Fwww.tcgplayer.com%2Fproduct%2F610372%3Futm_source%3Dimpact%26utm_medium%3Daffiliate%26utm_campaign%3Dpoke%2Bcottage","Hearthflame Mask Ogerpon ex")</f>
        <v>Hearthflame Mask Ogerpon ex</v>
      </c>
      <c r="D54" s="5" t="s">
        <v>22</v>
      </c>
      <c r="E54" s="5" t="s">
        <v>20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34</v>
      </c>
      <c r="C55" s="6" t="str">
        <f aca="false">HYPERLINK("https://partner.tcgplayer.com/c/6278691/1780961/21018?u=https%3A%2F%2Fwww.tcgplayer.com%2Fproduct%2F610373%3Futm_source%3Dimpact%26utm_medium%3Daffiliate%26utm_campaign%3Dpoke%2Bcottage","Slowpoke")</f>
        <v>Slowpoke</v>
      </c>
      <c r="D55" s="5" t="s">
        <v>8</v>
      </c>
      <c r="E55" s="5" t="s">
        <v>9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34</v>
      </c>
      <c r="C56" s="6" t="str">
        <f aca="false">HYPERLINK("https://partner.tcgplayer.com/c/6278691/1780961/21018?u=https%3A%2F%2Fwww.tcgplayer.com%2Fproduct%2F610373%3Futm_source%3Dimpact%26utm_medium%3Daffiliate%26utm_campaign%3Dpoke%2Bcottage","Slowpoke")</f>
        <v>Slowpoke</v>
      </c>
      <c r="D56" s="5" t="s">
        <v>8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34</v>
      </c>
      <c r="C57" s="6" t="str">
        <f aca="false">HYPERLINK("https://partner.tcgplayer.com/c/6278691/1780961/21018?u=https%3A%2F%2Fwww.tcgplayer.com%2Fproduct%2F610548%3Futm_source%3Dimpact%26utm_medium%3Daffiliate%26utm_campaign%3Dpoke%2Bcottage","Slowpoke")</f>
        <v>Slowpoke</v>
      </c>
      <c r="D57" s="5" t="s">
        <v>8</v>
      </c>
      <c r="E57" s="5" t="s">
        <v>12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34</v>
      </c>
      <c r="C58" s="6" t="str">
        <f aca="false">HYPERLINK("https://partner.tcgplayer.com/c/6278691/1780961/21018?u=https%3A%2F%2Fwww.tcgplayer.com%2Fproduct%2F610649%3Futm_source%3Dimpact%26utm_medium%3Daffiliate%26utm_campaign%3Dpoke%2Bcottage","Slowpoke")</f>
        <v>Slowpoke</v>
      </c>
      <c r="D58" s="5" t="s">
        <v>8</v>
      </c>
      <c r="E58" s="5" t="s">
        <v>13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35</v>
      </c>
      <c r="C59" s="6" t="str">
        <f aca="false">HYPERLINK("https://partner.tcgplayer.com/c/6278691/1780961/21018?u=https%3A%2F%2Fwww.tcgplayer.com%2Fproduct%2F610374%3Futm_source%3Dimpact%26utm_medium%3Daffiliate%26utm_campaign%3Dpoke%2Bcottage","Slowking")</f>
        <v>Slowking</v>
      </c>
      <c r="D59" s="5" t="s">
        <v>15</v>
      </c>
      <c r="E59" s="5" t="s">
        <v>9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35</v>
      </c>
      <c r="C60" s="6" t="str">
        <f aca="false">HYPERLINK("https://partner.tcgplayer.com/c/6278691/1780961/21018?u=https%3A%2F%2Fwww.tcgplayer.com%2Fproduct%2F610374%3Futm_source%3Dimpact%26utm_medium%3Daffiliate%26utm_campaign%3Dpoke%2Bcottage","Slowking")</f>
        <v>Slowking</v>
      </c>
      <c r="D60" s="5" t="s">
        <v>15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35</v>
      </c>
      <c r="C61" s="6" t="str">
        <f aca="false">HYPERLINK("https://partner.tcgplayer.com/c/6278691/1780961/21018?u=https%3A%2F%2Fwww.tcgplayer.com%2Fproduct%2F610549%3Futm_source%3Dimpact%26utm_medium%3Daffiliate%26utm_campaign%3Dpoke%2Bcottage","Slowking")</f>
        <v>Slowking</v>
      </c>
      <c r="D61" s="5" t="s">
        <v>15</v>
      </c>
      <c r="E61" s="5" t="s">
        <v>12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35</v>
      </c>
      <c r="C62" s="6" t="str">
        <f aca="false">HYPERLINK("https://partner.tcgplayer.com/c/6278691/1780961/21018?u=https%3A%2F%2Fwww.tcgplayer.com%2Fproduct%2F610650%3Futm_source%3Dimpact%26utm_medium%3Daffiliate%26utm_campaign%3Dpoke%2Bcottage","Slowking")</f>
        <v>Slowking</v>
      </c>
      <c r="D62" s="5" t="s">
        <v>15</v>
      </c>
      <c r="E62" s="5" t="s">
        <v>13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36</v>
      </c>
      <c r="C63" s="6" t="str">
        <f aca="false">HYPERLINK("https://partner.tcgplayer.com/c/6278691/1780961/21018?u=https%3A%2F%2Fwww.tcgplayer.com%2Fproduct%2F610375%3Futm_source%3Dimpact%26utm_medium%3Daffiliate%26utm_campaign%3Dpoke%2Bcottage","Goldeen")</f>
        <v>Goldeen</v>
      </c>
      <c r="D63" s="5" t="s">
        <v>8</v>
      </c>
      <c r="E63" s="5" t="s">
        <v>9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36</v>
      </c>
      <c r="C64" s="6" t="str">
        <f aca="false">HYPERLINK("https://partner.tcgplayer.com/c/6278691/1780961/21018?u=https%3A%2F%2Fwww.tcgplayer.com%2Fproduct%2F610375%3Futm_source%3Dimpact%26utm_medium%3Daffiliate%26utm_campaign%3Dpoke%2Bcottage","Goldeen")</f>
        <v>Goldeen</v>
      </c>
      <c r="D64" s="5" t="s">
        <v>8</v>
      </c>
      <c r="E64" s="5" t="s">
        <v>11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36</v>
      </c>
      <c r="C65" s="6" t="str">
        <f aca="false">HYPERLINK("https://partner.tcgplayer.com/c/6278691/1780961/21018?u=https%3A%2F%2Fwww.tcgplayer.com%2Fproduct%2F610550%3Futm_source%3Dimpact%26utm_medium%3Daffiliate%26utm_campaign%3Dpoke%2Bcottage","Goldeen")</f>
        <v>Goldeen</v>
      </c>
      <c r="D65" s="5" t="s">
        <v>8</v>
      </c>
      <c r="E65" s="5" t="s">
        <v>12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36</v>
      </c>
      <c r="C66" s="6" t="str">
        <f aca="false">HYPERLINK("https://partner.tcgplayer.com/c/6278691/1780961/21018?u=https%3A%2F%2Fwww.tcgplayer.com%2Fproduct%2F610651%3Futm_source%3Dimpact%26utm_medium%3Daffiliate%26utm_campaign%3Dpoke%2Bcottage","Goldeen")</f>
        <v>Goldeen</v>
      </c>
      <c r="D66" s="5" t="s">
        <v>8</v>
      </c>
      <c r="E66" s="5" t="s">
        <v>13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37</v>
      </c>
      <c r="C67" s="6" t="str">
        <f aca="false">HYPERLINK("https://partner.tcgplayer.com/c/6278691/1780961/21018?u=https%3A%2F%2Fwww.tcgplayer.com%2Fproduct%2F610376%3Futm_source%3Dimpact%26utm_medium%3Daffiliate%26utm_campaign%3Dpoke%2Bcottage","Seaking")</f>
        <v>Seaking</v>
      </c>
      <c r="D67" s="5" t="s">
        <v>15</v>
      </c>
      <c r="E67" s="5" t="s">
        <v>9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37</v>
      </c>
      <c r="C68" s="6" t="str">
        <f aca="false">HYPERLINK("https://partner.tcgplayer.com/c/6278691/1780961/21018?u=https%3A%2F%2Fwww.tcgplayer.com%2Fproduct%2F610376%3Futm_source%3Dimpact%26utm_medium%3Daffiliate%26utm_campaign%3Dpoke%2Bcottage","Seaking")</f>
        <v>Seaking</v>
      </c>
      <c r="D68" s="5" t="s">
        <v>15</v>
      </c>
      <c r="E68" s="5" t="s">
        <v>11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37</v>
      </c>
      <c r="C69" s="6" t="str">
        <f aca="false">HYPERLINK("https://partner.tcgplayer.com/c/6278691/1780961/21018?u=https%3A%2F%2Fwww.tcgplayer.com%2Fproduct%2F610551%3Futm_source%3Dimpact%26utm_medium%3Daffiliate%26utm_campaign%3Dpoke%2Bcottage","Seaking")</f>
        <v>Seaking</v>
      </c>
      <c r="D69" s="5" t="s">
        <v>15</v>
      </c>
      <c r="E69" s="5" t="s">
        <v>12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37</v>
      </c>
      <c r="C70" s="6" t="str">
        <f aca="false">HYPERLINK("https://partner.tcgplayer.com/c/6278691/1780961/21018?u=https%3A%2F%2Fwww.tcgplayer.com%2Fproduct%2F610652%3Futm_source%3Dimpact%26utm_medium%3Daffiliate%26utm_campaign%3Dpoke%2Bcottage","Seaking")</f>
        <v>Seaking</v>
      </c>
      <c r="D70" s="5" t="s">
        <v>15</v>
      </c>
      <c r="E70" s="5" t="s">
        <v>13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38</v>
      </c>
      <c r="C71" s="6" t="str">
        <f aca="false">HYPERLINK("https://partner.tcgplayer.com/c/6278691/1780961/21018?u=https%3A%2F%2Fwww.tcgplayer.com%2Fproduct%2F610377%3Futm_source%3Dimpact%26utm_medium%3Daffiliate%26utm_campaign%3Dpoke%2Bcottage","Vaporeon")</f>
        <v>Vaporeon</v>
      </c>
      <c r="D71" s="5" t="s">
        <v>19</v>
      </c>
      <c r="E71" s="5" t="s">
        <v>20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38</v>
      </c>
      <c r="C72" s="6" t="str">
        <f aca="false">HYPERLINK("https://partner.tcgplayer.com/c/6278691/1780961/21018?u=https%3A%2F%2Fwww.tcgplayer.com%2Fproduct%2F610377%3Futm_source%3Dimpact%26utm_medium%3Daffiliate%26utm_campaign%3Dpoke%2Bcottage","Vaporeon")</f>
        <v>Vaporeon</v>
      </c>
      <c r="D72" s="5" t="s">
        <v>19</v>
      </c>
      <c r="E72" s="5" t="s">
        <v>11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38</v>
      </c>
      <c r="C73" s="6" t="str">
        <f aca="false">HYPERLINK("https://partner.tcgplayer.com/c/6278691/1780961/21018?u=https%3A%2F%2Fwww.tcgplayer.com%2Fproduct%2F610552%3Futm_source%3Dimpact%26utm_medium%3Daffiliate%26utm_campaign%3Dpoke%2Bcottage","Vaporeon")</f>
        <v>Vaporeon</v>
      </c>
      <c r="D73" s="5" t="s">
        <v>19</v>
      </c>
      <c r="E73" s="5" t="s">
        <v>12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38</v>
      </c>
      <c r="C74" s="6" t="str">
        <f aca="false">HYPERLINK("https://partner.tcgplayer.com/c/6278691/1780961/21018?u=https%3A%2F%2Fwww.tcgplayer.com%2Fproduct%2F610653%3Futm_source%3Dimpact%26utm_medium%3Daffiliate%26utm_campaign%3Dpoke%2Bcottage","Vaporeon")</f>
        <v>Vaporeon</v>
      </c>
      <c r="D74" s="5" t="s">
        <v>19</v>
      </c>
      <c r="E74" s="5" t="s">
        <v>13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39</v>
      </c>
      <c r="C75" s="6" t="str">
        <f aca="false">HYPERLINK("https://partner.tcgplayer.com/c/6278691/1780961/21018?u=https%3A%2F%2Fwww.tcgplayer.com%2Fproduct%2F610378%3Futm_source%3Dimpact%26utm_medium%3Daffiliate%26utm_campaign%3Dpoke%2Bcottage","Vaporeon ex")</f>
        <v>Vaporeon ex</v>
      </c>
      <c r="D75" s="5" t="s">
        <v>22</v>
      </c>
      <c r="E75" s="5" t="s">
        <v>20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40</v>
      </c>
      <c r="C76" s="6" t="str">
        <f aca="false">HYPERLINK("https://partner.tcgplayer.com/c/6278691/1780961/21018?u=https%3A%2F%2Fwww.tcgplayer.com%2Fproduct%2F610379%3Futm_source%3Dimpact%26utm_medium%3Daffiliate%26utm_campaign%3Dpoke%2Bcottage","Suicune")</f>
        <v>Suicune</v>
      </c>
      <c r="D76" s="5" t="s">
        <v>15</v>
      </c>
      <c r="E76" s="5" t="s">
        <v>9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40</v>
      </c>
      <c r="C77" s="6" t="str">
        <f aca="false">HYPERLINK("https://partner.tcgplayer.com/c/6278691/1780961/21018?u=https%3A%2F%2Fwww.tcgplayer.com%2Fproduct%2F610379%3Futm_source%3Dimpact%26utm_medium%3Daffiliate%26utm_campaign%3Dpoke%2Bcottage","Suicune")</f>
        <v>Suicune</v>
      </c>
      <c r="D77" s="5" t="s">
        <v>15</v>
      </c>
      <c r="E77" s="5" t="s">
        <v>11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40</v>
      </c>
      <c r="C78" s="6" t="str">
        <f aca="false">HYPERLINK("https://partner.tcgplayer.com/c/6278691/1780961/21018?u=https%3A%2F%2Fwww.tcgplayer.com%2Fproduct%2F610553%3Futm_source%3Dimpact%26utm_medium%3Daffiliate%26utm_campaign%3Dpoke%2Bcottage","Suicune")</f>
        <v>Suicune</v>
      </c>
      <c r="D78" s="5" t="s">
        <v>15</v>
      </c>
      <c r="E78" s="5" t="s">
        <v>12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40</v>
      </c>
      <c r="C79" s="6" t="str">
        <f aca="false">HYPERLINK("https://partner.tcgplayer.com/c/6278691/1780961/21018?u=https%3A%2F%2Fwww.tcgplayer.com%2Fproduct%2F610654%3Futm_source%3Dimpact%26utm_medium%3Daffiliate%26utm_campaign%3Dpoke%2Bcottage","Suicune")</f>
        <v>Suicune</v>
      </c>
      <c r="D79" s="5" t="s">
        <v>15</v>
      </c>
      <c r="E79" s="5" t="s">
        <v>13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41</v>
      </c>
      <c r="C80" s="6" t="str">
        <f aca="false">HYPERLINK("https://partner.tcgplayer.com/c/6278691/1780961/21018?u=https%3A%2F%2Fwww.tcgplayer.com%2Fproduct%2F610380%3Futm_source%3Dimpact%26utm_medium%3Daffiliate%26utm_campaign%3Dpoke%2Bcottage","Glaceon")</f>
        <v>Glaceon</v>
      </c>
      <c r="D80" s="5" t="s">
        <v>19</v>
      </c>
      <c r="E80" s="5" t="s">
        <v>20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41</v>
      </c>
      <c r="C81" s="6" t="str">
        <f aca="false">HYPERLINK("https://partner.tcgplayer.com/c/6278691/1780961/21018?u=https%3A%2F%2Fwww.tcgplayer.com%2Fproduct%2F610380%3Futm_source%3Dimpact%26utm_medium%3Daffiliate%26utm_campaign%3Dpoke%2Bcottage","Glaceon")</f>
        <v>Glaceon</v>
      </c>
      <c r="D81" s="5" t="s">
        <v>19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41</v>
      </c>
      <c r="C82" s="6" t="str">
        <f aca="false">HYPERLINK("https://partner.tcgplayer.com/c/6278691/1780961/21018?u=https%3A%2F%2Fwww.tcgplayer.com%2Fproduct%2F610554%3Futm_source%3Dimpact%26utm_medium%3Daffiliate%26utm_campaign%3Dpoke%2Bcottage","Glaceon")</f>
        <v>Glaceon</v>
      </c>
      <c r="D82" s="5" t="s">
        <v>19</v>
      </c>
      <c r="E82" s="5" t="s">
        <v>12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41</v>
      </c>
      <c r="C83" s="6" t="str">
        <f aca="false">HYPERLINK("https://partner.tcgplayer.com/c/6278691/1780961/21018?u=https%3A%2F%2Fwww.tcgplayer.com%2Fproduct%2F610655%3Futm_source%3Dimpact%26utm_medium%3Daffiliate%26utm_campaign%3Dpoke%2Bcottage","Glaceon")</f>
        <v>Glaceon</v>
      </c>
      <c r="D83" s="5" t="s">
        <v>19</v>
      </c>
      <c r="E83" s="5" t="s">
        <v>13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42</v>
      </c>
      <c r="C84" s="6" t="str">
        <f aca="false">HYPERLINK("https://partner.tcgplayer.com/c/6278691/1780961/21018?u=https%3A%2F%2Fwww.tcgplayer.com%2Fproduct%2F610381%3Futm_source%3Dimpact%26utm_medium%3Daffiliate%26utm_campaign%3Dpoke%2Bcottage","Glaceon ex")</f>
        <v>Glaceon ex</v>
      </c>
      <c r="D84" s="5" t="s">
        <v>22</v>
      </c>
      <c r="E84" s="5" t="s">
        <v>20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43</v>
      </c>
      <c r="C85" s="6" t="str">
        <f aca="false">HYPERLINK("https://partner.tcgplayer.com/c/6278691/1780961/21018?u=https%3A%2F%2Fwww.tcgplayer.com%2Fproduct%2F610382%3Futm_source%3Dimpact%26utm_medium%3Daffiliate%26utm_campaign%3Dpoke%2Bcottage","Wellspring Mask Ogerpon ex")</f>
        <v>Wellspring Mask Ogerpon ex</v>
      </c>
      <c r="D85" s="5" t="s">
        <v>22</v>
      </c>
      <c r="E85" s="5" t="s">
        <v>20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44</v>
      </c>
      <c r="C86" s="6" t="str">
        <f aca="false">HYPERLINK("https://partner.tcgplayer.com/c/6278691/1780961/21018?u=https%3A%2F%2Fwww.tcgplayer.com%2Fproduct%2F610383%3Futm_source%3Dimpact%26utm_medium%3Daffiliate%26utm_campaign%3Dpoke%2Bcottage","Pikachu ex")</f>
        <v>Pikachu ex</v>
      </c>
      <c r="D86" s="5" t="s">
        <v>22</v>
      </c>
      <c r="E86" s="5" t="s">
        <v>20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45</v>
      </c>
      <c r="C87" s="6" t="str">
        <f aca="false">HYPERLINK("https://partner.tcgplayer.com/c/6278691/1780961/21018?u=https%3A%2F%2Fwww.tcgplayer.com%2Fproduct%2F610384%3Futm_source%3Dimpact%26utm_medium%3Daffiliate%26utm_campaign%3Dpoke%2Bcottage","Jolteon")</f>
        <v>Jolteon</v>
      </c>
      <c r="D87" s="5" t="s">
        <v>19</v>
      </c>
      <c r="E87" s="5" t="s">
        <v>20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45</v>
      </c>
      <c r="C88" s="6" t="str">
        <f aca="false">HYPERLINK("https://partner.tcgplayer.com/c/6278691/1780961/21018?u=https%3A%2F%2Fwww.tcgplayer.com%2Fproduct%2F610384%3Futm_source%3Dimpact%26utm_medium%3Daffiliate%26utm_campaign%3Dpoke%2Bcottage","Jolteon")</f>
        <v>Jolteon</v>
      </c>
      <c r="D88" s="5" t="s">
        <v>19</v>
      </c>
      <c r="E88" s="5" t="s">
        <v>11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45</v>
      </c>
      <c r="C89" s="6" t="str">
        <f aca="false">HYPERLINK("https://partner.tcgplayer.com/c/6278691/1780961/21018?u=https%3A%2F%2Fwww.tcgplayer.com%2Fproduct%2F610555%3Futm_source%3Dimpact%26utm_medium%3Daffiliate%26utm_campaign%3Dpoke%2Bcottage","Jolteon")</f>
        <v>Jolteon</v>
      </c>
      <c r="D89" s="5" t="s">
        <v>19</v>
      </c>
      <c r="E89" s="5" t="s">
        <v>12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45</v>
      </c>
      <c r="C90" s="6" t="str">
        <f aca="false">HYPERLINK("https://partner.tcgplayer.com/c/6278691/1780961/21018?u=https%3A%2F%2Fwww.tcgplayer.com%2Fproduct%2F610656%3Futm_source%3Dimpact%26utm_medium%3Daffiliate%26utm_campaign%3Dpoke%2Bcottage","Jolteon")</f>
        <v>Jolteon</v>
      </c>
      <c r="D90" s="5" t="s">
        <v>19</v>
      </c>
      <c r="E90" s="5" t="s">
        <v>13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46</v>
      </c>
      <c r="C91" s="6" t="str">
        <f aca="false">HYPERLINK("https://partner.tcgplayer.com/c/6278691/1780961/21018?u=https%3A%2F%2Fwww.tcgplayer.com%2Fproduct%2F610385%3Futm_source%3Dimpact%26utm_medium%3Daffiliate%26utm_campaign%3Dpoke%2Bcottage","Jolteon ex")</f>
        <v>Jolteon ex</v>
      </c>
      <c r="D91" s="5" t="s">
        <v>22</v>
      </c>
      <c r="E91" s="5" t="s">
        <v>20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47</v>
      </c>
      <c r="C92" s="6" t="str">
        <f aca="false">HYPERLINK("https://partner.tcgplayer.com/c/6278691/1780961/21018?u=https%3A%2F%2Fwww.tcgplayer.com%2Fproduct%2F610386%3Futm_source%3Dimpact%26utm_medium%3Daffiliate%26utm_campaign%3Dpoke%2Bcottage","Iron Hands ex")</f>
        <v>Iron Hands ex</v>
      </c>
      <c r="D92" s="5" t="s">
        <v>22</v>
      </c>
      <c r="E92" s="5" t="s">
        <v>20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48</v>
      </c>
      <c r="C93" s="6" t="str">
        <f aca="false">HYPERLINK("https://partner.tcgplayer.com/c/6278691/1780961/21018?u=https%3A%2F%2Fwww.tcgplayer.com%2Fproduct%2F610387%3Futm_source%3Dimpact%26utm_medium%3Daffiliate%26utm_campaign%3Dpoke%2Bcottage","Iron Thorns ex")</f>
        <v>Iron Thorns ex</v>
      </c>
      <c r="D93" s="5" t="s">
        <v>22</v>
      </c>
      <c r="E93" s="5" t="s">
        <v>20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49</v>
      </c>
      <c r="C94" s="6" t="str">
        <f aca="false">HYPERLINK("https://partner.tcgplayer.com/c/6278691/1780961/21018?u=https%3A%2F%2Fwww.tcgplayer.com%2Fproduct%2F610388%3Futm_source%3Dimpact%26utm_medium%3Daffiliate%26utm_campaign%3Dpoke%2Bcottage","Espeon")</f>
        <v>Espeon</v>
      </c>
      <c r="D94" s="5" t="s">
        <v>19</v>
      </c>
      <c r="E94" s="5" t="s">
        <v>20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49</v>
      </c>
      <c r="C95" s="6" t="str">
        <f aca="false">HYPERLINK("https://partner.tcgplayer.com/c/6278691/1780961/21018?u=https%3A%2F%2Fwww.tcgplayer.com%2Fproduct%2F610388%3Futm_source%3Dimpact%26utm_medium%3Daffiliate%26utm_campaign%3Dpoke%2Bcottage","Espeon")</f>
        <v>Espeon</v>
      </c>
      <c r="D95" s="5" t="s">
        <v>19</v>
      </c>
      <c r="E95" s="5" t="s">
        <v>11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49</v>
      </c>
      <c r="C96" s="6" t="str">
        <f aca="false">HYPERLINK("https://partner.tcgplayer.com/c/6278691/1780961/21018?u=https%3A%2F%2Fwww.tcgplayer.com%2Fproduct%2F610557%3Futm_source%3Dimpact%26utm_medium%3Daffiliate%26utm_campaign%3Dpoke%2Bcottage","Espeon")</f>
        <v>Espeon</v>
      </c>
      <c r="D96" s="5" t="s">
        <v>19</v>
      </c>
      <c r="E96" s="5" t="s">
        <v>12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49</v>
      </c>
      <c r="C97" s="6" t="str">
        <f aca="false">HYPERLINK("https://partner.tcgplayer.com/c/6278691/1780961/21018?u=https%3A%2F%2Fwww.tcgplayer.com%2Fproduct%2F610658%3Futm_source%3Dimpact%26utm_medium%3Daffiliate%26utm_campaign%3Dpoke%2Bcottage","Espeon")</f>
        <v>Espeon</v>
      </c>
      <c r="D97" s="5" t="s">
        <v>19</v>
      </c>
      <c r="E97" s="5" t="s">
        <v>13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50</v>
      </c>
      <c r="C98" s="6" t="str">
        <f aca="false">HYPERLINK("https://partner.tcgplayer.com/c/6278691/1780961/21018?u=https%3A%2F%2Fwww.tcgplayer.com%2Fproduct%2F610389%3Futm_source%3Dimpact%26utm_medium%3Daffiliate%26utm_campaign%3Dpoke%2Bcottage","Espeon ex")</f>
        <v>Espeon ex</v>
      </c>
      <c r="D98" s="5" t="s">
        <v>22</v>
      </c>
      <c r="E98" s="5" t="s">
        <v>20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51</v>
      </c>
      <c r="C99" s="6" t="str">
        <f aca="false">HYPERLINK("https://partner.tcgplayer.com/c/6278691/1780961/21018?u=https%3A%2F%2Fwww.tcgplayer.com%2Fproduct%2F610390%3Futm_source%3Dimpact%26utm_medium%3Daffiliate%26utm_campaign%3Dpoke%2Bcottage","Duskull")</f>
        <v>Duskull</v>
      </c>
      <c r="D99" s="5" t="s">
        <v>8</v>
      </c>
      <c r="E99" s="5" t="s">
        <v>9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51</v>
      </c>
      <c r="C100" s="6" t="str">
        <f aca="false">HYPERLINK("https://partner.tcgplayer.com/c/6278691/1780961/21018?u=https%3A%2F%2Fwww.tcgplayer.com%2Fproduct%2F610390%3Futm_source%3Dimpact%26utm_medium%3Daffiliate%26utm_campaign%3Dpoke%2Bcottage","Duskull")</f>
        <v>Duskull</v>
      </c>
      <c r="D100" s="5" t="s">
        <v>8</v>
      </c>
      <c r="E100" s="5" t="s">
        <v>11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51</v>
      </c>
      <c r="C101" s="6" t="str">
        <f aca="false">HYPERLINK("https://partner.tcgplayer.com/c/6278691/1780961/21018?u=https%3A%2F%2Fwww.tcgplayer.com%2Fproduct%2F610558%3Futm_source%3Dimpact%26utm_medium%3Daffiliate%26utm_campaign%3Dpoke%2Bcottage","Duskull")</f>
        <v>Duskull</v>
      </c>
      <c r="D101" s="5" t="s">
        <v>8</v>
      </c>
      <c r="E101" s="5" t="s">
        <v>12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51</v>
      </c>
      <c r="C102" s="6" t="str">
        <f aca="false">HYPERLINK("https://partner.tcgplayer.com/c/6278691/1780961/21018?u=https%3A%2F%2Fwww.tcgplayer.com%2Fproduct%2F610659%3Futm_source%3Dimpact%26utm_medium%3Daffiliate%26utm_campaign%3Dpoke%2Bcottage","Duskull")</f>
        <v>Duskull</v>
      </c>
      <c r="D102" s="5" t="s">
        <v>8</v>
      </c>
      <c r="E102" s="5" t="s">
        <v>13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52</v>
      </c>
      <c r="C103" s="6" t="str">
        <f aca="false">HYPERLINK("https://partner.tcgplayer.com/c/6278691/1780961/21018?u=https%3A%2F%2Fwww.tcgplayer.com%2Fproduct%2F610391%3Futm_source%3Dimpact%26utm_medium%3Daffiliate%26utm_campaign%3Dpoke%2Bcottage","Dusclops")</f>
        <v>Dusclops</v>
      </c>
      <c r="D103" s="5" t="s">
        <v>8</v>
      </c>
      <c r="E103" s="5" t="s">
        <v>9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52</v>
      </c>
      <c r="C104" s="6" t="str">
        <f aca="false">HYPERLINK("https://partner.tcgplayer.com/c/6278691/1780961/21018?u=https%3A%2F%2Fwww.tcgplayer.com%2Fproduct%2F610391%3Futm_source%3Dimpact%26utm_medium%3Daffiliate%26utm_campaign%3Dpoke%2Bcottage","Dusclops")</f>
        <v>Dusclops</v>
      </c>
      <c r="D104" s="5" t="s">
        <v>8</v>
      </c>
      <c r="E104" s="5" t="s">
        <v>11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52</v>
      </c>
      <c r="C105" s="6" t="str">
        <f aca="false">HYPERLINK("https://partner.tcgplayer.com/c/6278691/1780961/21018?u=https%3A%2F%2Fwww.tcgplayer.com%2Fproduct%2F610559%3Futm_source%3Dimpact%26utm_medium%3Daffiliate%26utm_campaign%3Dpoke%2Bcottage","Dusclops")</f>
        <v>Dusclops</v>
      </c>
      <c r="D105" s="5" t="s">
        <v>8</v>
      </c>
      <c r="E105" s="5" t="s">
        <v>12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52</v>
      </c>
      <c r="C106" s="6" t="str">
        <f aca="false">HYPERLINK("https://partner.tcgplayer.com/c/6278691/1780961/21018?u=https%3A%2F%2Fwww.tcgplayer.com%2Fproduct%2F610660%3Futm_source%3Dimpact%26utm_medium%3Daffiliate%26utm_campaign%3Dpoke%2Bcottage","Dusclops")</f>
        <v>Dusclops</v>
      </c>
      <c r="D106" s="5" t="s">
        <v>8</v>
      </c>
      <c r="E106" s="5" t="s">
        <v>13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53</v>
      </c>
      <c r="C107" s="6" t="str">
        <f aca="false">HYPERLINK("https://partner.tcgplayer.com/c/6278691/1780961/21018?u=https%3A%2F%2Fwww.tcgplayer.com%2Fproduct%2F610392%3Futm_source%3Dimpact%26utm_medium%3Daffiliate%26utm_campaign%3Dpoke%2Bcottage","Dusknoir")</f>
        <v>Dusknoir</v>
      </c>
      <c r="D107" s="5" t="s">
        <v>19</v>
      </c>
      <c r="E107" s="5" t="s">
        <v>20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53</v>
      </c>
      <c r="C108" s="6" t="str">
        <f aca="false">HYPERLINK("https://partner.tcgplayer.com/c/6278691/1780961/21018?u=https%3A%2F%2Fwww.tcgplayer.com%2Fproduct%2F610392%3Futm_source%3Dimpact%26utm_medium%3Daffiliate%26utm_campaign%3Dpoke%2Bcottage","Dusknoir")</f>
        <v>Dusknoir</v>
      </c>
      <c r="D108" s="5" t="s">
        <v>19</v>
      </c>
      <c r="E108" s="5" t="s">
        <v>11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53</v>
      </c>
      <c r="C109" s="6" t="str">
        <f aca="false">HYPERLINK("https://partner.tcgplayer.com/c/6278691/1780961/21018?u=https%3A%2F%2Fwww.tcgplayer.com%2Fproduct%2F610560%3Futm_source%3Dimpact%26utm_medium%3Daffiliate%26utm_campaign%3Dpoke%2Bcottage","Dusknoir")</f>
        <v>Dusknoir</v>
      </c>
      <c r="D109" s="5" t="s">
        <v>19</v>
      </c>
      <c r="E109" s="5" t="s">
        <v>12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53</v>
      </c>
      <c r="C110" s="6" t="str">
        <f aca="false">HYPERLINK("https://partner.tcgplayer.com/c/6278691/1780961/21018?u=https%3A%2F%2Fwww.tcgplayer.com%2Fproduct%2F610661%3Futm_source%3Dimpact%26utm_medium%3Daffiliate%26utm_campaign%3Dpoke%2Bcottage","Dusknoir")</f>
        <v>Dusknoir</v>
      </c>
      <c r="D110" s="5" t="s">
        <v>19</v>
      </c>
      <c r="E110" s="5" t="s">
        <v>13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54</v>
      </c>
      <c r="C111" s="6" t="str">
        <f aca="false">HYPERLINK("https://partner.tcgplayer.com/c/6278691/1780961/21018?u=https%3A%2F%2Fwww.tcgplayer.com%2Fproduct%2F610393%3Futm_source%3Dimpact%26utm_medium%3Daffiliate%26utm_campaign%3Dpoke%2Bcottage","Spritzee")</f>
        <v>Spritzee</v>
      </c>
      <c r="D111" s="5" t="s">
        <v>8</v>
      </c>
      <c r="E111" s="5" t="s">
        <v>9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54</v>
      </c>
      <c r="C112" s="6" t="str">
        <f aca="false">HYPERLINK("https://partner.tcgplayer.com/c/6278691/1780961/21018?u=https%3A%2F%2Fwww.tcgplayer.com%2Fproduct%2F610393%3Futm_source%3Dimpact%26utm_medium%3Daffiliate%26utm_campaign%3Dpoke%2Bcottage","Spritzee")</f>
        <v>Spritzee</v>
      </c>
      <c r="D112" s="5" t="s">
        <v>8</v>
      </c>
      <c r="E112" s="5" t="s">
        <v>11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54</v>
      </c>
      <c r="C113" s="6" t="str">
        <f aca="false">HYPERLINK("https://partner.tcgplayer.com/c/6278691/1780961/21018?u=https%3A%2F%2Fwww.tcgplayer.com%2Fproduct%2F610561%3Futm_source%3Dimpact%26utm_medium%3Daffiliate%26utm_campaign%3Dpoke%2Bcottage","Spritzee")</f>
        <v>Spritzee</v>
      </c>
      <c r="D113" s="5" t="s">
        <v>8</v>
      </c>
      <c r="E113" s="5" t="s">
        <v>12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54</v>
      </c>
      <c r="C114" s="6" t="str">
        <f aca="false">HYPERLINK("https://partner.tcgplayer.com/c/6278691/1780961/21018?u=https%3A%2F%2Fwww.tcgplayer.com%2Fproduct%2F610662%3Futm_source%3Dimpact%26utm_medium%3Daffiliate%26utm_campaign%3Dpoke%2Bcottage","Spritzee")</f>
        <v>Spritzee</v>
      </c>
      <c r="D114" s="5" t="s">
        <v>8</v>
      </c>
      <c r="E114" s="5" t="s">
        <v>13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55</v>
      </c>
      <c r="C115" s="6" t="str">
        <f aca="false">HYPERLINK("https://partner.tcgplayer.com/c/6278691/1780961/21018?u=https%3A%2F%2Fwww.tcgplayer.com%2Fproduct%2F610394%3Futm_source%3Dimpact%26utm_medium%3Daffiliate%26utm_campaign%3Dpoke%2Bcottage","Aromatisse")</f>
        <v>Aromatisse</v>
      </c>
      <c r="D115" s="5" t="s">
        <v>8</v>
      </c>
      <c r="E115" s="5" t="s">
        <v>9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55</v>
      </c>
      <c r="C116" s="6" t="str">
        <f aca="false">HYPERLINK("https://partner.tcgplayer.com/c/6278691/1780961/21018?u=https%3A%2F%2Fwww.tcgplayer.com%2Fproduct%2F610394%3Futm_source%3Dimpact%26utm_medium%3Daffiliate%26utm_campaign%3Dpoke%2Bcottage","Aromatisse")</f>
        <v>Aromatisse</v>
      </c>
      <c r="D116" s="5" t="s">
        <v>8</v>
      </c>
      <c r="E116" s="5" t="s">
        <v>11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55</v>
      </c>
      <c r="C117" s="6" t="str">
        <f aca="false">HYPERLINK("https://partner.tcgplayer.com/c/6278691/1780961/21018?u=https%3A%2F%2Fwww.tcgplayer.com%2Fproduct%2F610562%3Futm_source%3Dimpact%26utm_medium%3Daffiliate%26utm_campaign%3Dpoke%2Bcottage","Aromatisse")</f>
        <v>Aromatisse</v>
      </c>
      <c r="D117" s="5" t="s">
        <v>8</v>
      </c>
      <c r="E117" s="5" t="s">
        <v>12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55</v>
      </c>
      <c r="C118" s="6" t="str">
        <f aca="false">HYPERLINK("https://partner.tcgplayer.com/c/6278691/1780961/21018?u=https%3A%2F%2Fwww.tcgplayer.com%2Fproduct%2F610663%3Futm_source%3Dimpact%26utm_medium%3Daffiliate%26utm_campaign%3Dpoke%2Bcottage","Aromatisse")</f>
        <v>Aromatisse</v>
      </c>
      <c r="D118" s="5" t="s">
        <v>8</v>
      </c>
      <c r="E118" s="5" t="s">
        <v>13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56</v>
      </c>
      <c r="C119" s="6" t="str">
        <f aca="false">HYPERLINK("https://partner.tcgplayer.com/c/6278691/1780961/21018?u=https%3A%2F%2Fwww.tcgplayer.com%2Fproduct%2F610395%3Futm_source%3Dimpact%26utm_medium%3Daffiliate%26utm_campaign%3Dpoke%2Bcottage","Sylveon")</f>
        <v>Sylveon</v>
      </c>
      <c r="D119" s="5" t="s">
        <v>19</v>
      </c>
      <c r="E119" s="5" t="s">
        <v>20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56</v>
      </c>
      <c r="C120" s="6" t="str">
        <f aca="false">HYPERLINK("https://partner.tcgplayer.com/c/6278691/1780961/21018?u=https%3A%2F%2Fwww.tcgplayer.com%2Fproduct%2F610395%3Futm_source%3Dimpact%26utm_medium%3Daffiliate%26utm_campaign%3Dpoke%2Bcottage","Sylveon")</f>
        <v>Sylveon</v>
      </c>
      <c r="D120" s="5" t="s">
        <v>19</v>
      </c>
      <c r="E120" s="5" t="s">
        <v>11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56</v>
      </c>
      <c r="C121" s="6" t="str">
        <f aca="false">HYPERLINK("https://partner.tcgplayer.com/c/6278691/1780961/21018?u=https%3A%2F%2Fwww.tcgplayer.com%2Fproduct%2F610563%3Futm_source%3Dimpact%26utm_medium%3Daffiliate%26utm_campaign%3Dpoke%2Bcottage","Sylveon")</f>
        <v>Sylveon</v>
      </c>
      <c r="D121" s="5" t="s">
        <v>19</v>
      </c>
      <c r="E121" s="5" t="s">
        <v>12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56</v>
      </c>
      <c r="C122" s="6" t="str">
        <f aca="false">HYPERLINK("https://partner.tcgplayer.com/c/6278691/1780961/21018?u=https%3A%2F%2Fwww.tcgplayer.com%2Fproduct%2F610664%3Futm_source%3Dimpact%26utm_medium%3Daffiliate%26utm_campaign%3Dpoke%2Bcottage","Sylveon")</f>
        <v>Sylveon</v>
      </c>
      <c r="D122" s="5" t="s">
        <v>19</v>
      </c>
      <c r="E122" s="5" t="s">
        <v>13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57</v>
      </c>
      <c r="C123" s="6" t="str">
        <f aca="false">HYPERLINK("https://partner.tcgplayer.com/c/6278691/1780961/21018?u=https%3A%2F%2Fwww.tcgplayer.com%2Fproduct%2F610396%3Futm_source%3Dimpact%26utm_medium%3Daffiliate%26utm_campaign%3Dpoke%2Bcottage","Sylveon ex")</f>
        <v>Sylveon ex</v>
      </c>
      <c r="D123" s="5" t="s">
        <v>22</v>
      </c>
      <c r="E123" s="5" t="s">
        <v>20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58</v>
      </c>
      <c r="C124" s="6" t="str">
        <f aca="false">HYPERLINK("https://partner.tcgplayer.com/c/6278691/1780961/21018?u=https%3A%2F%2Fwww.tcgplayer.com%2Fproduct%2F610397%3Futm_source%3Dimpact%26utm_medium%3Daffiliate%26utm_campaign%3Dpoke%2Bcottage","Scream Tail")</f>
        <v>Scream Tail</v>
      </c>
      <c r="D124" s="5" t="s">
        <v>15</v>
      </c>
      <c r="E124" s="5" t="s">
        <v>9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58</v>
      </c>
      <c r="C125" s="6" t="str">
        <f aca="false">HYPERLINK("https://partner.tcgplayer.com/c/6278691/1780961/21018?u=https%3A%2F%2Fwww.tcgplayer.com%2Fproduct%2F610397%3Futm_source%3Dimpact%26utm_medium%3Daffiliate%26utm_campaign%3Dpoke%2Bcottage","Scream Tail")</f>
        <v>Scream Tail</v>
      </c>
      <c r="D125" s="5" t="s">
        <v>15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58</v>
      </c>
      <c r="C126" s="6" t="str">
        <f aca="false">HYPERLINK("https://partner.tcgplayer.com/c/6278691/1780961/21018?u=https%3A%2F%2Fwww.tcgplayer.com%2Fproduct%2F610564%3Futm_source%3Dimpact%26utm_medium%3Daffiliate%26utm_campaign%3Dpoke%2Bcottage","Scream Tail")</f>
        <v>Scream Tail</v>
      </c>
      <c r="D126" s="5" t="s">
        <v>15</v>
      </c>
      <c r="E126" s="5" t="s">
        <v>12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58</v>
      </c>
      <c r="C127" s="6" t="str">
        <f aca="false">HYPERLINK("https://partner.tcgplayer.com/c/6278691/1780961/21018?u=https%3A%2F%2Fwww.tcgplayer.com%2Fproduct%2F610665%3Futm_source%3Dimpact%26utm_medium%3Daffiliate%26utm_campaign%3Dpoke%2Bcottage","Scream Tail")</f>
        <v>Scream Tail</v>
      </c>
      <c r="D127" s="5" t="s">
        <v>15</v>
      </c>
      <c r="E127" s="5" t="s">
        <v>13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59</v>
      </c>
      <c r="C128" s="6" t="str">
        <f aca="false">HYPERLINK("https://partner.tcgplayer.com/c/6278691/1780961/21018?u=https%3A%2F%2Fwww.tcgplayer.com%2Fproduct%2F610398%3Futm_source%3Dimpact%26utm_medium%3Daffiliate%26utm_campaign%3Dpoke%2Bcottage","Flutter Mane")</f>
        <v>Flutter Mane</v>
      </c>
      <c r="D128" s="5" t="s">
        <v>19</v>
      </c>
      <c r="E128" s="5" t="s">
        <v>20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59</v>
      </c>
      <c r="C129" s="6" t="str">
        <f aca="false">HYPERLINK("https://partner.tcgplayer.com/c/6278691/1780961/21018?u=https%3A%2F%2Fwww.tcgplayer.com%2Fproduct%2F610398%3Futm_source%3Dimpact%26utm_medium%3Daffiliate%26utm_campaign%3Dpoke%2Bcottage","Flutter Mane")</f>
        <v>Flutter Mane</v>
      </c>
      <c r="D129" s="5" t="s">
        <v>19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59</v>
      </c>
      <c r="C130" s="6" t="str">
        <f aca="false">HYPERLINK("https://partner.tcgplayer.com/c/6278691/1780961/21018?u=https%3A%2F%2Fwww.tcgplayer.com%2Fproduct%2F610565%3Futm_source%3Dimpact%26utm_medium%3Daffiliate%26utm_campaign%3Dpoke%2Bcottage","Flutter Mane")</f>
        <v>Flutter Mane</v>
      </c>
      <c r="D130" s="5" t="s">
        <v>19</v>
      </c>
      <c r="E130" s="5" t="s">
        <v>12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59</v>
      </c>
      <c r="C131" s="6" t="str">
        <f aca="false">HYPERLINK("https://partner.tcgplayer.com/c/6278691/1780961/21018?u=https%3A%2F%2Fwww.tcgplayer.com%2Fproduct%2F610666%3Futm_source%3Dimpact%26utm_medium%3Daffiliate%26utm_campaign%3Dpoke%2Bcottage","Flutter Mane")</f>
        <v>Flutter Mane</v>
      </c>
      <c r="D131" s="5" t="s">
        <v>19</v>
      </c>
      <c r="E131" s="5" t="s">
        <v>13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60</v>
      </c>
      <c r="C132" s="6" t="str">
        <f aca="false">HYPERLINK("https://partner.tcgplayer.com/c/6278691/1780961/21018?u=https%3A%2F%2Fwww.tcgplayer.com%2Fproduct%2F610399%3Futm_source%3Dimpact%26utm_medium%3Daffiliate%26utm_campaign%3Dpoke%2Bcottage","Munkidori")</f>
        <v>Munkidori</v>
      </c>
      <c r="D132" s="5" t="s">
        <v>19</v>
      </c>
      <c r="E132" s="5" t="s">
        <v>20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60</v>
      </c>
      <c r="C133" s="6" t="str">
        <f aca="false">HYPERLINK("https://partner.tcgplayer.com/c/6278691/1780961/21018?u=https%3A%2F%2Fwww.tcgplayer.com%2Fproduct%2F610399%3Futm_source%3Dimpact%26utm_medium%3Daffiliate%26utm_campaign%3Dpoke%2Bcottage","Munkidori")</f>
        <v>Munkidori</v>
      </c>
      <c r="D133" s="5" t="s">
        <v>19</v>
      </c>
      <c r="E133" s="5" t="s">
        <v>11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60</v>
      </c>
      <c r="C134" s="6" t="str">
        <f aca="false">HYPERLINK("https://partner.tcgplayer.com/c/6278691/1780961/21018?u=https%3A%2F%2Fwww.tcgplayer.com%2Fproduct%2F610566%3Futm_source%3Dimpact%26utm_medium%3Daffiliate%26utm_campaign%3Dpoke%2Bcottage","Munkidori")</f>
        <v>Munkidori</v>
      </c>
      <c r="D134" s="5" t="s">
        <v>19</v>
      </c>
      <c r="E134" s="5" t="s">
        <v>12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60</v>
      </c>
      <c r="C135" s="6" t="str">
        <f aca="false">HYPERLINK("https://partner.tcgplayer.com/c/6278691/1780961/21018?u=https%3A%2F%2Fwww.tcgplayer.com%2Fproduct%2F610667%3Futm_source%3Dimpact%26utm_medium%3Daffiliate%26utm_campaign%3Dpoke%2Bcottage","Munkidori")</f>
        <v>Munkidori</v>
      </c>
      <c r="D135" s="5" t="s">
        <v>19</v>
      </c>
      <c r="E135" s="5" t="s">
        <v>13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61</v>
      </c>
      <c r="C136" s="6" t="str">
        <f aca="false">HYPERLINK("https://partner.tcgplayer.com/c/6278691/1780961/21018?u=https%3A%2F%2Fwww.tcgplayer.com%2Fproduct%2F610400%3Futm_source%3Dimpact%26utm_medium%3Daffiliate%26utm_campaign%3Dpoke%2Bcottage","Fezandipiti")</f>
        <v>Fezandipiti</v>
      </c>
      <c r="D136" s="5" t="s">
        <v>19</v>
      </c>
      <c r="E136" s="5" t="s">
        <v>20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61</v>
      </c>
      <c r="C137" s="6" t="str">
        <f aca="false">HYPERLINK("https://partner.tcgplayer.com/c/6278691/1780961/21018?u=https%3A%2F%2Fwww.tcgplayer.com%2Fproduct%2F610400%3Futm_source%3Dimpact%26utm_medium%3Daffiliate%26utm_campaign%3Dpoke%2Bcottage","Fezandipiti")</f>
        <v>Fezandipiti</v>
      </c>
      <c r="D137" s="5" t="s">
        <v>19</v>
      </c>
      <c r="E137" s="5" t="s">
        <v>11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61</v>
      </c>
      <c r="C138" s="6" t="str">
        <f aca="false">HYPERLINK("https://partner.tcgplayer.com/c/6278691/1780961/21018?u=https%3A%2F%2Fwww.tcgplayer.com%2Fproduct%2F610567%3Futm_source%3Dimpact%26utm_medium%3Daffiliate%26utm_campaign%3Dpoke%2Bcottage","Fezandipiti")</f>
        <v>Fezandipiti</v>
      </c>
      <c r="D138" s="5" t="s">
        <v>19</v>
      </c>
      <c r="E138" s="5" t="s">
        <v>12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61</v>
      </c>
      <c r="C139" s="6" t="str">
        <f aca="false">HYPERLINK("https://partner.tcgplayer.com/c/6278691/1780961/21018?u=https%3A%2F%2Fwww.tcgplayer.com%2Fproduct%2F610668%3Futm_source%3Dimpact%26utm_medium%3Daffiliate%26utm_campaign%3Dpoke%2Bcottage","Fezandipiti")</f>
        <v>Fezandipiti</v>
      </c>
      <c r="D139" s="5" t="s">
        <v>19</v>
      </c>
      <c r="E139" s="5" t="s">
        <v>13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62</v>
      </c>
      <c r="C140" s="6" t="str">
        <f aca="false">HYPERLINK("https://partner.tcgplayer.com/c/6278691/1780961/21018?u=https%3A%2F%2Fwww.tcgplayer.com%2Fproduct%2F610401%3Futm_source%3Dimpact%26utm_medium%3Daffiliate%26utm_campaign%3Dpoke%2Bcottage","Iron Boulder")</f>
        <v>Iron Boulder</v>
      </c>
      <c r="D140" s="5" t="s">
        <v>19</v>
      </c>
      <c r="E140" s="5" t="s">
        <v>20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62</v>
      </c>
      <c r="C141" s="6" t="str">
        <f aca="false">HYPERLINK("https://partner.tcgplayer.com/c/6278691/1780961/21018?u=https%3A%2F%2Fwww.tcgplayer.com%2Fproduct%2F610401%3Futm_source%3Dimpact%26utm_medium%3Daffiliate%26utm_campaign%3Dpoke%2Bcottage","Iron Boulder")</f>
        <v>Iron Boulder</v>
      </c>
      <c r="D141" s="5" t="s">
        <v>19</v>
      </c>
      <c r="E141" s="5" t="s">
        <v>11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62</v>
      </c>
      <c r="C142" s="6" t="str">
        <f aca="false">HYPERLINK("https://partner.tcgplayer.com/c/6278691/1780961/21018?u=https%3A%2F%2Fwww.tcgplayer.com%2Fproduct%2F610568%3Futm_source%3Dimpact%26utm_medium%3Daffiliate%26utm_campaign%3Dpoke%2Bcottage","Iron Boulder")</f>
        <v>Iron Boulder</v>
      </c>
      <c r="D142" s="5" t="s">
        <v>19</v>
      </c>
      <c r="E142" s="5" t="s">
        <v>12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62</v>
      </c>
      <c r="C143" s="6" t="str">
        <f aca="false">HYPERLINK("https://partner.tcgplayer.com/c/6278691/1780961/21018?u=https%3A%2F%2Fwww.tcgplayer.com%2Fproduct%2F610669%3Futm_source%3Dimpact%26utm_medium%3Daffiliate%26utm_campaign%3Dpoke%2Bcottage","Iron Boulder")</f>
        <v>Iron Boulder</v>
      </c>
      <c r="D143" s="5" t="s">
        <v>19</v>
      </c>
      <c r="E143" s="5" t="s">
        <v>13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63</v>
      </c>
      <c r="C144" s="6" t="str">
        <f aca="false">HYPERLINK("https://partner.tcgplayer.com/c/6278691/1780961/21018?u=https%3A%2F%2Fwww.tcgplayer.com%2Fproduct%2F610402%3Futm_source%3Dimpact%26utm_medium%3Daffiliate%26utm_campaign%3Dpoke%2Bcottage","Larvitar")</f>
        <v>Larvitar</v>
      </c>
      <c r="D144" s="5" t="s">
        <v>8</v>
      </c>
      <c r="E144" s="5" t="s">
        <v>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63</v>
      </c>
      <c r="C145" s="6" t="str">
        <f aca="false">HYPERLINK("https://partner.tcgplayer.com/c/6278691/1780961/21018?u=https%3A%2F%2Fwww.tcgplayer.com%2Fproduct%2F610402%3Futm_source%3Dimpact%26utm_medium%3Daffiliate%26utm_campaign%3Dpoke%2Bcottage","Larvitar")</f>
        <v>Larvitar</v>
      </c>
      <c r="D145" s="5" t="s">
        <v>8</v>
      </c>
      <c r="E145" s="5" t="s">
        <v>11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63</v>
      </c>
      <c r="C146" s="6" t="str">
        <f aca="false">HYPERLINK("https://partner.tcgplayer.com/c/6278691/1780961/21018?u=https%3A%2F%2Fwww.tcgplayer.com%2Fproduct%2F610569%3Futm_source%3Dimpact%26utm_medium%3Daffiliate%26utm_campaign%3Dpoke%2Bcottage","Larvitar")</f>
        <v>Larvitar</v>
      </c>
      <c r="D146" s="5" t="s">
        <v>8</v>
      </c>
      <c r="E146" s="5" t="s">
        <v>12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63</v>
      </c>
      <c r="C147" s="6" t="str">
        <f aca="false">HYPERLINK("https://partner.tcgplayer.com/c/6278691/1780961/21018?u=https%3A%2F%2Fwww.tcgplayer.com%2Fproduct%2F610670%3Futm_source%3Dimpact%26utm_medium%3Daffiliate%26utm_campaign%3Dpoke%2Bcottage","Larvitar")</f>
        <v>Larvitar</v>
      </c>
      <c r="D147" s="5" t="s">
        <v>8</v>
      </c>
      <c r="E147" s="5" t="s">
        <v>13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64</v>
      </c>
      <c r="C148" s="6" t="str">
        <f aca="false">HYPERLINK("https://partner.tcgplayer.com/c/6278691/1780961/21018?u=https%3A%2F%2Fwww.tcgplayer.com%2Fproduct%2F610403%3Futm_source%3Dimpact%26utm_medium%3Daffiliate%26utm_campaign%3Dpoke%2Bcottage","Pupitar")</f>
        <v>Pupitar</v>
      </c>
      <c r="D148" s="5" t="s">
        <v>8</v>
      </c>
      <c r="E148" s="5" t="s">
        <v>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64</v>
      </c>
      <c r="C149" s="6" t="str">
        <f aca="false">HYPERLINK("https://partner.tcgplayer.com/c/6278691/1780961/21018?u=https%3A%2F%2Fwww.tcgplayer.com%2Fproduct%2F610403%3Futm_source%3Dimpact%26utm_medium%3Daffiliate%26utm_campaign%3Dpoke%2Bcottage","Pupitar")</f>
        <v>Pupitar</v>
      </c>
      <c r="D149" s="5" t="s">
        <v>8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64</v>
      </c>
      <c r="C150" s="6" t="str">
        <f aca="false">HYPERLINK("https://partner.tcgplayer.com/c/6278691/1780961/21018?u=https%3A%2F%2Fwww.tcgplayer.com%2Fproduct%2F610570%3Futm_source%3Dimpact%26utm_medium%3Daffiliate%26utm_campaign%3Dpoke%2Bcottage","Pupitar")</f>
        <v>Pupitar</v>
      </c>
      <c r="D150" s="5" t="s">
        <v>8</v>
      </c>
      <c r="E150" s="5" t="s">
        <v>12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64</v>
      </c>
      <c r="C151" s="6" t="str">
        <f aca="false">HYPERLINK("https://partner.tcgplayer.com/c/6278691/1780961/21018?u=https%3A%2F%2Fwww.tcgplayer.com%2Fproduct%2F610671%3Futm_source%3Dimpact%26utm_medium%3Daffiliate%26utm_campaign%3Dpoke%2Bcottage","Pupitar")</f>
        <v>Pupitar</v>
      </c>
      <c r="D151" s="5" t="s">
        <v>8</v>
      </c>
      <c r="E151" s="5" t="s">
        <v>13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65</v>
      </c>
      <c r="C152" s="6" t="str">
        <f aca="false">HYPERLINK("https://partner.tcgplayer.com/c/6278691/1780961/21018?u=https%3A%2F%2Fwww.tcgplayer.com%2Fproduct%2F610404%3Futm_source%3Dimpact%26utm_medium%3Daffiliate%26utm_campaign%3Dpoke%2Bcottage","Groudon")</f>
        <v>Groudon</v>
      </c>
      <c r="D152" s="5" t="s">
        <v>19</v>
      </c>
      <c r="E152" s="5" t="s">
        <v>20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65</v>
      </c>
      <c r="C153" s="6" t="str">
        <f aca="false">HYPERLINK("https://partner.tcgplayer.com/c/6278691/1780961/21018?u=https%3A%2F%2Fwww.tcgplayer.com%2Fproduct%2F610404%3Futm_source%3Dimpact%26utm_medium%3Daffiliate%26utm_campaign%3Dpoke%2Bcottage","Groudon")</f>
        <v>Groudon</v>
      </c>
      <c r="D153" s="5" t="s">
        <v>19</v>
      </c>
      <c r="E153" s="5" t="s">
        <v>11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65</v>
      </c>
      <c r="C154" s="6" t="str">
        <f aca="false">HYPERLINK("https://partner.tcgplayer.com/c/6278691/1780961/21018?u=https%3A%2F%2Fwww.tcgplayer.com%2Fproduct%2F610571%3Futm_source%3Dimpact%26utm_medium%3Daffiliate%26utm_campaign%3Dpoke%2Bcottage","Groudon")</f>
        <v>Groudon</v>
      </c>
      <c r="D154" s="5" t="s">
        <v>19</v>
      </c>
      <c r="E154" s="5" t="s">
        <v>12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65</v>
      </c>
      <c r="C155" s="6" t="str">
        <f aca="false">HYPERLINK("https://partner.tcgplayer.com/c/6278691/1780961/21018?u=https%3A%2F%2Fwww.tcgplayer.com%2Fproduct%2F610672%3Futm_source%3Dimpact%26utm_medium%3Daffiliate%26utm_campaign%3Dpoke%2Bcottage","Groudon")</f>
        <v>Groudon</v>
      </c>
      <c r="D155" s="5" t="s">
        <v>19</v>
      </c>
      <c r="E155" s="5" t="s">
        <v>13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66</v>
      </c>
      <c r="C156" s="6" t="str">
        <f aca="false">HYPERLINK("https://partner.tcgplayer.com/c/6278691/1780961/21018?u=https%3A%2F%2Fwww.tcgplayer.com%2Fproduct%2F610405%3Futm_source%3Dimpact%26utm_medium%3Daffiliate%26utm_campaign%3Dpoke%2Bcottage","Riolu")</f>
        <v>Riolu</v>
      </c>
      <c r="D156" s="5" t="s">
        <v>8</v>
      </c>
      <c r="E156" s="5" t="s">
        <v>9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66</v>
      </c>
      <c r="C157" s="6" t="str">
        <f aca="false">HYPERLINK("https://partner.tcgplayer.com/c/6278691/1780961/21018?u=https%3A%2F%2Fwww.tcgplayer.com%2Fproduct%2F610405%3Futm_source%3Dimpact%26utm_medium%3Daffiliate%26utm_campaign%3Dpoke%2Bcottage","Riolu")</f>
        <v>Riolu</v>
      </c>
      <c r="D157" s="5" t="s">
        <v>8</v>
      </c>
      <c r="E157" s="5" t="s">
        <v>11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66</v>
      </c>
      <c r="C158" s="6" t="str">
        <f aca="false">HYPERLINK("https://partner.tcgplayer.com/c/6278691/1780961/21018?u=https%3A%2F%2Fwww.tcgplayer.com%2Fproduct%2F610572%3Futm_source%3Dimpact%26utm_medium%3Daffiliate%26utm_campaign%3Dpoke%2Bcottage","Riolu")</f>
        <v>Riolu</v>
      </c>
      <c r="D158" s="5" t="s">
        <v>8</v>
      </c>
      <c r="E158" s="5" t="s">
        <v>12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66</v>
      </c>
      <c r="C159" s="6" t="str">
        <f aca="false">HYPERLINK("https://partner.tcgplayer.com/c/6278691/1780961/21018?u=https%3A%2F%2Fwww.tcgplayer.com%2Fproduct%2F610673%3Futm_source%3Dimpact%26utm_medium%3Daffiliate%26utm_campaign%3Dpoke%2Bcottage","Riolu")</f>
        <v>Riolu</v>
      </c>
      <c r="D159" s="5" t="s">
        <v>8</v>
      </c>
      <c r="E159" s="5" t="s">
        <v>13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67</v>
      </c>
      <c r="C160" s="6" t="str">
        <f aca="false">HYPERLINK("https://partner.tcgplayer.com/c/6278691/1780961/21018?u=https%3A%2F%2Fwww.tcgplayer.com%2Fproduct%2F610406%3Futm_source%3Dimpact%26utm_medium%3Daffiliate%26utm_campaign%3Dpoke%2Bcottage","Lucario ex")</f>
        <v>Lucario ex</v>
      </c>
      <c r="D160" s="5" t="s">
        <v>22</v>
      </c>
      <c r="E160" s="5" t="s">
        <v>20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68</v>
      </c>
      <c r="C161" s="6" t="str">
        <f aca="false">HYPERLINK("https://partner.tcgplayer.com/c/6278691/1780961/21018?u=https%3A%2F%2Fwww.tcgplayer.com%2Fproduct%2F610407%3Futm_source%3Dimpact%26utm_medium%3Daffiliate%26utm_campaign%3Dpoke%2Bcottage","Hippopotas")</f>
        <v>Hippopotas</v>
      </c>
      <c r="D161" s="5" t="s">
        <v>8</v>
      </c>
      <c r="E161" s="5" t="s">
        <v>9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68</v>
      </c>
      <c r="C162" s="6" t="str">
        <f aca="false">HYPERLINK("https://partner.tcgplayer.com/c/6278691/1780961/21018?u=https%3A%2F%2Fwww.tcgplayer.com%2Fproduct%2F610407%3Futm_source%3Dimpact%26utm_medium%3Daffiliate%26utm_campaign%3Dpoke%2Bcottage","Hippopotas")</f>
        <v>Hippopotas</v>
      </c>
      <c r="D162" s="5" t="s">
        <v>8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68</v>
      </c>
      <c r="C163" s="6" t="str">
        <f aca="false">HYPERLINK("https://partner.tcgplayer.com/c/6278691/1780961/21018?u=https%3A%2F%2Fwww.tcgplayer.com%2Fproduct%2F610573%3Futm_source%3Dimpact%26utm_medium%3Daffiliate%26utm_campaign%3Dpoke%2Bcottage","Hippopotas")</f>
        <v>Hippopotas</v>
      </c>
      <c r="D163" s="5" t="s">
        <v>8</v>
      </c>
      <c r="E163" s="5" t="s">
        <v>12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68</v>
      </c>
      <c r="C164" s="6" t="str">
        <f aca="false">HYPERLINK("https://partner.tcgplayer.com/c/6278691/1780961/21018?u=https%3A%2F%2Fwww.tcgplayer.com%2Fproduct%2F610674%3Futm_source%3Dimpact%26utm_medium%3Daffiliate%26utm_campaign%3Dpoke%2Bcottage","Hippopotas")</f>
        <v>Hippopotas</v>
      </c>
      <c r="D164" s="5" t="s">
        <v>8</v>
      </c>
      <c r="E164" s="5" t="s">
        <v>13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69</v>
      </c>
      <c r="C165" s="6" t="str">
        <f aca="false">HYPERLINK("https://partner.tcgplayer.com/c/6278691/1780961/21018?u=https%3A%2F%2Fwww.tcgplayer.com%2Fproduct%2F610408%3Futm_source%3Dimpact%26utm_medium%3Daffiliate%26utm_campaign%3Dpoke%2Bcottage","Hippowdon")</f>
        <v>Hippowdon</v>
      </c>
      <c r="D165" s="5" t="s">
        <v>8</v>
      </c>
      <c r="E165" s="5" t="s">
        <v>9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69</v>
      </c>
      <c r="C166" s="6" t="str">
        <f aca="false">HYPERLINK("https://partner.tcgplayer.com/c/6278691/1780961/21018?u=https%3A%2F%2Fwww.tcgplayer.com%2Fproduct%2F610408%3Futm_source%3Dimpact%26utm_medium%3Daffiliate%26utm_campaign%3Dpoke%2Bcottage","Hippowdon")</f>
        <v>Hippowdon</v>
      </c>
      <c r="D166" s="5" t="s">
        <v>8</v>
      </c>
      <c r="E166" s="5" t="s">
        <v>11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69</v>
      </c>
      <c r="C167" s="6" t="str">
        <f aca="false">HYPERLINK("https://partner.tcgplayer.com/c/6278691/1780961/21018?u=https%3A%2F%2Fwww.tcgplayer.com%2Fproduct%2F610574%3Futm_source%3Dimpact%26utm_medium%3Daffiliate%26utm_campaign%3Dpoke%2Bcottage","Hippowdon")</f>
        <v>Hippowdon</v>
      </c>
      <c r="D167" s="5" t="s">
        <v>8</v>
      </c>
      <c r="E167" s="5" t="s">
        <v>12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69</v>
      </c>
      <c r="C168" s="6" t="str">
        <f aca="false">HYPERLINK("https://partner.tcgplayer.com/c/6278691/1780961/21018?u=https%3A%2F%2Fwww.tcgplayer.com%2Fproduct%2F610675%3Futm_source%3Dimpact%26utm_medium%3Daffiliate%26utm_campaign%3Dpoke%2Bcottage","Hippowdon")</f>
        <v>Hippowdon</v>
      </c>
      <c r="D168" s="5" t="s">
        <v>8</v>
      </c>
      <c r="E168" s="5" t="s">
        <v>13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70</v>
      </c>
      <c r="C169" s="6" t="str">
        <f aca="false">HYPERLINK("https://partner.tcgplayer.com/c/6278691/1780961/21018?u=https%3A%2F%2Fwww.tcgplayer.com%2Fproduct%2F610409%3Futm_source%3Dimpact%26utm_medium%3Daffiliate%26utm_campaign%3Dpoke%2Bcottage","Bloodmoon Ursaluna")</f>
        <v>Bloodmoon Ursaluna</v>
      </c>
      <c r="D169" s="5" t="s">
        <v>19</v>
      </c>
      <c r="E169" s="5" t="s">
        <v>20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70</v>
      </c>
      <c r="C170" s="6" t="str">
        <f aca="false">HYPERLINK("https://partner.tcgplayer.com/c/6278691/1780961/21018?u=https%3A%2F%2Fwww.tcgplayer.com%2Fproduct%2F610409%3Futm_source%3Dimpact%26utm_medium%3Daffiliate%26utm_campaign%3Dpoke%2Bcottage","Bloodmoon Ursaluna")</f>
        <v>Bloodmoon Ursaluna</v>
      </c>
      <c r="D170" s="5" t="s">
        <v>19</v>
      </c>
      <c r="E170" s="5" t="s">
        <v>11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70</v>
      </c>
      <c r="C171" s="6" t="str">
        <f aca="false">HYPERLINK("https://partner.tcgplayer.com/c/6278691/1780961/21018?u=https%3A%2F%2Fwww.tcgplayer.com%2Fproduct%2F610575%3Futm_source%3Dimpact%26utm_medium%3Daffiliate%26utm_campaign%3Dpoke%2Bcottage","Bloodmoon Ursaluna")</f>
        <v>Bloodmoon Ursaluna</v>
      </c>
      <c r="D171" s="5" t="s">
        <v>19</v>
      </c>
      <c r="E171" s="5" t="s">
        <v>12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70</v>
      </c>
      <c r="C172" s="6" t="str">
        <f aca="false">HYPERLINK("https://partner.tcgplayer.com/c/6278691/1780961/21018?u=https%3A%2F%2Fwww.tcgplayer.com%2Fproduct%2F610676%3Futm_source%3Dimpact%26utm_medium%3Daffiliate%26utm_campaign%3Dpoke%2Bcottage","Bloodmoon Ursaluna")</f>
        <v>Bloodmoon Ursaluna</v>
      </c>
      <c r="D172" s="5" t="s">
        <v>19</v>
      </c>
      <c r="E172" s="5" t="s">
        <v>13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71</v>
      </c>
      <c r="C173" s="6" t="str">
        <f aca="false">HYPERLINK("https://partner.tcgplayer.com/c/6278691/1780961/21018?u=https%3A%2F%2Fwww.tcgplayer.com%2Fproduct%2F610410%3Futm_source%3Dimpact%26utm_medium%3Daffiliate%26utm_campaign%3Dpoke%2Bcottage","Great Tusk")</f>
        <v>Great Tusk</v>
      </c>
      <c r="D173" s="5" t="s">
        <v>15</v>
      </c>
      <c r="E173" s="5" t="s">
        <v>9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71</v>
      </c>
      <c r="C174" s="6" t="str">
        <f aca="false">HYPERLINK("https://partner.tcgplayer.com/c/6278691/1780961/21018?u=https%3A%2F%2Fwww.tcgplayer.com%2Fproduct%2F610410%3Futm_source%3Dimpact%26utm_medium%3Daffiliate%26utm_campaign%3Dpoke%2Bcottage","Great Tusk")</f>
        <v>Great Tusk</v>
      </c>
      <c r="D174" s="5" t="s">
        <v>15</v>
      </c>
      <c r="E174" s="5" t="s">
        <v>11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71</v>
      </c>
      <c r="C175" s="6" t="str">
        <f aca="false">HYPERLINK("https://partner.tcgplayer.com/c/6278691/1780961/21018?u=https%3A%2F%2Fwww.tcgplayer.com%2Fproduct%2F610576%3Futm_source%3Dimpact%26utm_medium%3Daffiliate%26utm_campaign%3Dpoke%2Bcottage","Great Tusk")</f>
        <v>Great Tusk</v>
      </c>
      <c r="D175" s="5" t="s">
        <v>15</v>
      </c>
      <c r="E175" s="5" t="s">
        <v>12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71</v>
      </c>
      <c r="C176" s="6" t="str">
        <f aca="false">HYPERLINK("https://partner.tcgplayer.com/c/6278691/1780961/21018?u=https%3A%2F%2Fwww.tcgplayer.com%2Fproduct%2F610677%3Futm_source%3Dimpact%26utm_medium%3Daffiliate%26utm_campaign%3Dpoke%2Bcottage","Great Tusk")</f>
        <v>Great Tusk</v>
      </c>
      <c r="D176" s="5" t="s">
        <v>15</v>
      </c>
      <c r="E176" s="5" t="s">
        <v>13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72</v>
      </c>
      <c r="C177" s="6" t="str">
        <f aca="false">HYPERLINK("https://partner.tcgplayer.com/c/6278691/1780961/21018?u=https%3A%2F%2Fwww.tcgplayer.com%2Fproduct%2F610411%3Futm_source%3Dimpact%26utm_medium%3Daffiliate%26utm_campaign%3Dpoke%2Bcottage","Sandy Shocks ex")</f>
        <v>Sandy Shocks ex</v>
      </c>
      <c r="D177" s="5" t="s">
        <v>22</v>
      </c>
      <c r="E177" s="5" t="s">
        <v>20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73</v>
      </c>
      <c r="C178" s="6" t="str">
        <f aca="false">HYPERLINK("https://partner.tcgplayer.com/c/6278691/1780961/21018?u=https%3A%2F%2Fwww.tcgplayer.com%2Fproduct%2F610412%3Futm_source%3Dimpact%26utm_medium%3Daffiliate%26utm_campaign%3Dpoke%2Bcottage","Okidogi")</f>
        <v>Okidogi</v>
      </c>
      <c r="D178" s="5" t="s">
        <v>19</v>
      </c>
      <c r="E178" s="5" t="s">
        <v>20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73</v>
      </c>
      <c r="C179" s="6" t="str">
        <f aca="false">HYPERLINK("https://partner.tcgplayer.com/c/6278691/1780961/21018?u=https%3A%2F%2Fwww.tcgplayer.com%2Fproduct%2F610412%3Futm_source%3Dimpact%26utm_medium%3Daffiliate%26utm_campaign%3Dpoke%2Bcottage","Okidogi")</f>
        <v>Okidogi</v>
      </c>
      <c r="D179" s="5" t="s">
        <v>19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73</v>
      </c>
      <c r="C180" s="6" t="str">
        <f aca="false">HYPERLINK("https://partner.tcgplayer.com/c/6278691/1780961/21018?u=https%3A%2F%2Fwww.tcgplayer.com%2Fproduct%2F610577%3Futm_source%3Dimpact%26utm_medium%3Daffiliate%26utm_campaign%3Dpoke%2Bcottage","Okidogi")</f>
        <v>Okidogi</v>
      </c>
      <c r="D180" s="5" t="s">
        <v>19</v>
      </c>
      <c r="E180" s="5" t="s">
        <v>12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73</v>
      </c>
      <c r="C181" s="6" t="str">
        <f aca="false">HYPERLINK("https://partner.tcgplayer.com/c/6278691/1780961/21018?u=https%3A%2F%2Fwww.tcgplayer.com%2Fproduct%2F610678%3Futm_source%3Dimpact%26utm_medium%3Daffiliate%26utm_campaign%3Dpoke%2Bcottage","Okidogi")</f>
        <v>Okidogi</v>
      </c>
      <c r="D181" s="5" t="s">
        <v>19</v>
      </c>
      <c r="E181" s="5" t="s">
        <v>13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74</v>
      </c>
      <c r="C182" s="6" t="str">
        <f aca="false">HYPERLINK("https://partner.tcgplayer.com/c/6278691/1780961/21018?u=https%3A%2F%2Fwww.tcgplayer.com%2Fproduct%2F610413%3Futm_source%3Dimpact%26utm_medium%3Daffiliate%26utm_campaign%3Dpoke%2Bcottage","Cornerstone Mask Ogerpon ex")</f>
        <v>Cornerstone Mask Ogerpon ex</v>
      </c>
      <c r="D182" s="5" t="s">
        <v>22</v>
      </c>
      <c r="E182" s="5" t="s">
        <v>20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75</v>
      </c>
      <c r="C183" s="6" t="str">
        <f aca="false">HYPERLINK("https://partner.tcgplayer.com/c/6278691/1780961/21018?u=https%3A%2F%2Fwww.tcgplayer.com%2Fproduct%2F610414%3Futm_source%3Dimpact%26utm_medium%3Daffiliate%26utm_campaign%3Dpoke%2Bcottage","Umbreon")</f>
        <v>Umbreon</v>
      </c>
      <c r="D183" s="5" t="s">
        <v>19</v>
      </c>
      <c r="E183" s="5" t="s">
        <v>20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75</v>
      </c>
      <c r="C184" s="6" t="str">
        <f aca="false">HYPERLINK("https://partner.tcgplayer.com/c/6278691/1780961/21018?u=https%3A%2F%2Fwww.tcgplayer.com%2Fproduct%2F610414%3Futm_source%3Dimpact%26utm_medium%3Daffiliate%26utm_campaign%3Dpoke%2Bcottage","Umbreon")</f>
        <v>Umbreon</v>
      </c>
      <c r="D184" s="5" t="s">
        <v>19</v>
      </c>
      <c r="E184" s="5" t="s">
        <v>11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75</v>
      </c>
      <c r="C185" s="6" t="str">
        <f aca="false">HYPERLINK("https://partner.tcgplayer.com/c/6278691/1780961/21018?u=https%3A%2F%2Fwww.tcgplayer.com%2Fproduct%2F610578%3Futm_source%3Dimpact%26utm_medium%3Daffiliate%26utm_campaign%3Dpoke%2Bcottage","Umbreon")</f>
        <v>Umbreon</v>
      </c>
      <c r="D185" s="5" t="s">
        <v>19</v>
      </c>
      <c r="E185" s="5" t="s">
        <v>12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75</v>
      </c>
      <c r="C186" s="6" t="str">
        <f aca="false">HYPERLINK("https://partner.tcgplayer.com/c/6278691/1780961/21018?u=https%3A%2F%2Fwww.tcgplayer.com%2Fproduct%2F610679%3Futm_source%3Dimpact%26utm_medium%3Daffiliate%26utm_campaign%3Dpoke%2Bcottage","Umbreon")</f>
        <v>Umbreon</v>
      </c>
      <c r="D186" s="5" t="s">
        <v>19</v>
      </c>
      <c r="E186" s="5" t="s">
        <v>13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76</v>
      </c>
      <c r="C187" s="6" t="str">
        <f aca="false">HYPERLINK("https://partner.tcgplayer.com/c/6278691/1780961/21018?u=https%3A%2F%2Fwww.tcgplayer.com%2Fproduct%2F610415%3Futm_source%3Dimpact%26utm_medium%3Daffiliate%26utm_campaign%3Dpoke%2Bcottage","Umbreon ex")</f>
        <v>Umbreon ex</v>
      </c>
      <c r="D187" s="5" t="s">
        <v>22</v>
      </c>
      <c r="E187" s="5" t="s">
        <v>20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77</v>
      </c>
      <c r="C188" s="6" t="str">
        <f aca="false">HYPERLINK("https://partner.tcgplayer.com/c/6278691/1780961/21018?u=https%3A%2F%2Fwww.tcgplayer.com%2Fproduct%2F610416%3Futm_source%3Dimpact%26utm_medium%3Daffiliate%26utm_campaign%3Dpoke%2Bcottage","Sneasel")</f>
        <v>Sneasel</v>
      </c>
      <c r="D188" s="5" t="s">
        <v>8</v>
      </c>
      <c r="E188" s="5" t="s">
        <v>9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77</v>
      </c>
      <c r="C189" s="6" t="str">
        <f aca="false">HYPERLINK("https://partner.tcgplayer.com/c/6278691/1780961/21018?u=https%3A%2F%2Fwww.tcgplayer.com%2Fproduct%2F610416%3Futm_source%3Dimpact%26utm_medium%3Daffiliate%26utm_campaign%3Dpoke%2Bcottage","Sneasel")</f>
        <v>Sneasel</v>
      </c>
      <c r="D189" s="5" t="s">
        <v>8</v>
      </c>
      <c r="E189" s="5" t="s">
        <v>11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77</v>
      </c>
      <c r="C190" s="6" t="str">
        <f aca="false">HYPERLINK("https://partner.tcgplayer.com/c/6278691/1780961/21018?u=https%3A%2F%2Fwww.tcgplayer.com%2Fproduct%2F610579%3Futm_source%3Dimpact%26utm_medium%3Daffiliate%26utm_campaign%3Dpoke%2Bcottage","Sneasel")</f>
        <v>Sneasel</v>
      </c>
      <c r="D190" s="5" t="s">
        <v>8</v>
      </c>
      <c r="E190" s="5" t="s">
        <v>12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77</v>
      </c>
      <c r="C191" s="6" t="str">
        <f aca="false">HYPERLINK("https://partner.tcgplayer.com/c/6278691/1780961/21018?u=https%3A%2F%2Fwww.tcgplayer.com%2Fproduct%2F610680%3Futm_source%3Dimpact%26utm_medium%3Daffiliate%26utm_campaign%3Dpoke%2Bcottage","Sneasel")</f>
        <v>Sneasel</v>
      </c>
      <c r="D191" s="5" t="s">
        <v>8</v>
      </c>
      <c r="E191" s="5" t="s">
        <v>13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78</v>
      </c>
      <c r="C192" s="6" t="str">
        <f aca="false">HYPERLINK("https://partner.tcgplayer.com/c/6278691/1780961/21018?u=https%3A%2F%2Fwww.tcgplayer.com%2Fproduct%2F610417%3Futm_source%3Dimpact%26utm_medium%3Daffiliate%26utm_campaign%3Dpoke%2Bcottage","Houndour")</f>
        <v>Houndour</v>
      </c>
      <c r="D192" s="5" t="s">
        <v>8</v>
      </c>
      <c r="E192" s="5" t="s">
        <v>9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78</v>
      </c>
      <c r="C193" s="6" t="str">
        <f aca="false">HYPERLINK("https://partner.tcgplayer.com/c/6278691/1780961/21018?u=https%3A%2F%2Fwww.tcgplayer.com%2Fproduct%2F610417%3Futm_source%3Dimpact%26utm_medium%3Daffiliate%26utm_campaign%3Dpoke%2Bcottage","Houndour")</f>
        <v>Houndour</v>
      </c>
      <c r="D193" s="5" t="s">
        <v>8</v>
      </c>
      <c r="E193" s="5" t="s">
        <v>11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78</v>
      </c>
      <c r="C194" s="6" t="str">
        <f aca="false">HYPERLINK("https://partner.tcgplayer.com/c/6278691/1780961/21018?u=https%3A%2F%2Fwww.tcgplayer.com%2Fproduct%2F610580%3Futm_source%3Dimpact%26utm_medium%3Daffiliate%26utm_campaign%3Dpoke%2Bcottage","Houndour")</f>
        <v>Houndour</v>
      </c>
      <c r="D194" s="5" t="s">
        <v>8</v>
      </c>
      <c r="E194" s="5" t="s">
        <v>12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78</v>
      </c>
      <c r="C195" s="6" t="str">
        <f aca="false">HYPERLINK("https://partner.tcgplayer.com/c/6278691/1780961/21018?u=https%3A%2F%2Fwww.tcgplayer.com%2Fproduct%2F610681%3Futm_source%3Dimpact%26utm_medium%3Daffiliate%26utm_campaign%3Dpoke%2Bcottage","Houndour")</f>
        <v>Houndour</v>
      </c>
      <c r="D195" s="5" t="s">
        <v>8</v>
      </c>
      <c r="E195" s="5" t="s">
        <v>13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79</v>
      </c>
      <c r="C196" s="6" t="str">
        <f aca="false">HYPERLINK("https://partner.tcgplayer.com/c/6278691/1780961/21018?u=https%3A%2F%2Fwww.tcgplayer.com%2Fproduct%2F610418%3Futm_source%3Dimpact%26utm_medium%3Daffiliate%26utm_campaign%3Dpoke%2Bcottage","Houndoom")</f>
        <v>Houndoom</v>
      </c>
      <c r="D196" s="5" t="s">
        <v>8</v>
      </c>
      <c r="E196" s="5" t="s">
        <v>9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79</v>
      </c>
      <c r="C197" s="6" t="str">
        <f aca="false">HYPERLINK("https://partner.tcgplayer.com/c/6278691/1780961/21018?u=https%3A%2F%2Fwww.tcgplayer.com%2Fproduct%2F610418%3Futm_source%3Dimpact%26utm_medium%3Daffiliate%26utm_campaign%3Dpoke%2Bcottage","Houndoom")</f>
        <v>Houndoom</v>
      </c>
      <c r="D197" s="5" t="s">
        <v>8</v>
      </c>
      <c r="E197" s="5" t="s">
        <v>11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79</v>
      </c>
      <c r="C198" s="6" t="str">
        <f aca="false">HYPERLINK("https://partner.tcgplayer.com/c/6278691/1780961/21018?u=https%3A%2F%2Fwww.tcgplayer.com%2Fproduct%2F610581%3Futm_source%3Dimpact%26utm_medium%3Daffiliate%26utm_campaign%3Dpoke%2Bcottage","Houndoom")</f>
        <v>Houndoom</v>
      </c>
      <c r="D198" s="5" t="s">
        <v>8</v>
      </c>
      <c r="E198" s="5" t="s">
        <v>12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79</v>
      </c>
      <c r="C199" s="6" t="str">
        <f aca="false">HYPERLINK("https://partner.tcgplayer.com/c/6278691/1780961/21018?u=https%3A%2F%2Fwww.tcgplayer.com%2Fproduct%2F610682%3Futm_source%3Dimpact%26utm_medium%3Daffiliate%26utm_campaign%3Dpoke%2Bcottage","Houndoom")</f>
        <v>Houndoom</v>
      </c>
      <c r="D199" s="5" t="s">
        <v>8</v>
      </c>
      <c r="E199" s="5" t="s">
        <v>13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80</v>
      </c>
      <c r="C200" s="6" t="str">
        <f aca="false">HYPERLINK("https://partner.tcgplayer.com/c/6278691/1780961/21018?u=https%3A%2F%2Fwww.tcgplayer.com%2Fproduct%2F610419%3Futm_source%3Dimpact%26utm_medium%3Daffiliate%26utm_campaign%3Dpoke%2Bcottage","Tyranitar ex")</f>
        <v>Tyranitar ex</v>
      </c>
      <c r="D200" s="5" t="s">
        <v>22</v>
      </c>
      <c r="E200" s="5" t="s">
        <v>20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81</v>
      </c>
      <c r="C201" s="6" t="str">
        <f aca="false">HYPERLINK("https://partner.tcgplayer.com/c/6278691/1780961/21018?u=https%3A%2F%2Fwww.tcgplayer.com%2Fproduct%2F610420%3Futm_source%3Dimpact%26utm_medium%3Daffiliate%26utm_campaign%3Dpoke%2Bcottage","Roaring Moon")</f>
        <v>Roaring Moon</v>
      </c>
      <c r="D201" s="5" t="s">
        <v>19</v>
      </c>
      <c r="E201" s="5" t="s">
        <v>20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81</v>
      </c>
      <c r="C202" s="6" t="str">
        <f aca="false">HYPERLINK("https://partner.tcgplayer.com/c/6278691/1780961/21018?u=https%3A%2F%2Fwww.tcgplayer.com%2Fproduct%2F610420%3Futm_source%3Dimpact%26utm_medium%3Daffiliate%26utm_campaign%3Dpoke%2Bcottage","Roaring Moon")</f>
        <v>Roaring Moon</v>
      </c>
      <c r="D202" s="5" t="s">
        <v>19</v>
      </c>
      <c r="E202" s="5" t="s">
        <v>11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81</v>
      </c>
      <c r="C203" s="6" t="str">
        <f aca="false">HYPERLINK("https://partner.tcgplayer.com/c/6278691/1780961/21018?u=https%3A%2F%2Fwww.tcgplayer.com%2Fproduct%2F610582%3Futm_source%3Dimpact%26utm_medium%3Daffiliate%26utm_campaign%3Dpoke%2Bcottage","Roaring Moon")</f>
        <v>Roaring Moon</v>
      </c>
      <c r="D203" s="5" t="s">
        <v>19</v>
      </c>
      <c r="E203" s="5" t="s">
        <v>12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81</v>
      </c>
      <c r="C204" s="6" t="str">
        <f aca="false">HYPERLINK("https://partner.tcgplayer.com/c/6278691/1780961/21018?u=https%3A%2F%2Fwww.tcgplayer.com%2Fproduct%2F610683%3Futm_source%3Dimpact%26utm_medium%3Daffiliate%26utm_campaign%3Dpoke%2Bcottage","Roaring Moon")</f>
        <v>Roaring Moon</v>
      </c>
      <c r="D204" s="5" t="s">
        <v>19</v>
      </c>
      <c r="E204" s="5" t="s">
        <v>13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82</v>
      </c>
      <c r="C205" s="6" t="str">
        <f aca="false">HYPERLINK("https://partner.tcgplayer.com/c/6278691/1780961/21018?u=https%3A%2F%2Fwww.tcgplayer.com%2Fproduct%2F610421%3Futm_source%3Dimpact%26utm_medium%3Daffiliate%26utm_campaign%3Dpoke%2Bcottage","Bronzor")</f>
        <v>Bronzor</v>
      </c>
      <c r="D205" s="5" t="s">
        <v>8</v>
      </c>
      <c r="E205" s="5" t="s">
        <v>9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82</v>
      </c>
      <c r="C206" s="6" t="str">
        <f aca="false">HYPERLINK("https://partner.tcgplayer.com/c/6278691/1780961/21018?u=https%3A%2F%2Fwww.tcgplayer.com%2Fproduct%2F610421%3Futm_source%3Dimpact%26utm_medium%3Daffiliate%26utm_campaign%3Dpoke%2Bcottage","Bronzor")</f>
        <v>Bronzor</v>
      </c>
      <c r="D206" s="5" t="s">
        <v>8</v>
      </c>
      <c r="E206" s="5" t="s">
        <v>11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82</v>
      </c>
      <c r="C207" s="6" t="str">
        <f aca="false">HYPERLINK("https://partner.tcgplayer.com/c/6278691/1780961/21018?u=https%3A%2F%2Fwww.tcgplayer.com%2Fproduct%2F610583%3Futm_source%3Dimpact%26utm_medium%3Daffiliate%26utm_campaign%3Dpoke%2Bcottage","Bronzor")</f>
        <v>Bronzor</v>
      </c>
      <c r="D207" s="5" t="s">
        <v>8</v>
      </c>
      <c r="E207" s="5" t="s">
        <v>12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82</v>
      </c>
      <c r="C208" s="6" t="str">
        <f aca="false">HYPERLINK("https://partner.tcgplayer.com/c/6278691/1780961/21018?u=https%3A%2F%2Fwww.tcgplayer.com%2Fproduct%2F610684%3Futm_source%3Dimpact%26utm_medium%3Daffiliate%26utm_campaign%3Dpoke%2Bcottage","Bronzor")</f>
        <v>Bronzor</v>
      </c>
      <c r="D208" s="5" t="s">
        <v>8</v>
      </c>
      <c r="E208" s="5" t="s">
        <v>13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83</v>
      </c>
      <c r="C209" s="6" t="str">
        <f aca="false">HYPERLINK("https://partner.tcgplayer.com/c/6278691/1780961/21018?u=https%3A%2F%2Fwww.tcgplayer.com%2Fproduct%2F610422%3Futm_source%3Dimpact%26utm_medium%3Daffiliate%26utm_campaign%3Dpoke%2Bcottage","Bronzong")</f>
        <v>Bronzong</v>
      </c>
      <c r="D209" s="5" t="s">
        <v>15</v>
      </c>
      <c r="E209" s="5" t="s">
        <v>9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83</v>
      </c>
      <c r="C210" s="6" t="str">
        <f aca="false">HYPERLINK("https://partner.tcgplayer.com/c/6278691/1780961/21018?u=https%3A%2F%2Fwww.tcgplayer.com%2Fproduct%2F610422%3Futm_source%3Dimpact%26utm_medium%3Daffiliate%26utm_campaign%3Dpoke%2Bcottage","Bronzong")</f>
        <v>Bronzong</v>
      </c>
      <c r="D210" s="5" t="s">
        <v>15</v>
      </c>
      <c r="E210" s="5" t="s">
        <v>11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83</v>
      </c>
      <c r="C211" s="6" t="str">
        <f aca="false">HYPERLINK("https://partner.tcgplayer.com/c/6278691/1780961/21018?u=https%3A%2F%2Fwww.tcgplayer.com%2Fproduct%2F610584%3Futm_source%3Dimpact%26utm_medium%3Daffiliate%26utm_campaign%3Dpoke%2Bcottage","Bronzong")</f>
        <v>Bronzong</v>
      </c>
      <c r="D211" s="5" t="s">
        <v>15</v>
      </c>
      <c r="E211" s="5" t="s">
        <v>12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83</v>
      </c>
      <c r="C212" s="6" t="str">
        <f aca="false">HYPERLINK("https://partner.tcgplayer.com/c/6278691/1780961/21018?u=https%3A%2F%2Fwww.tcgplayer.com%2Fproduct%2F610685%3Futm_source%3Dimpact%26utm_medium%3Daffiliate%26utm_campaign%3Dpoke%2Bcottage","Bronzong")</f>
        <v>Bronzong</v>
      </c>
      <c r="D212" s="5" t="s">
        <v>15</v>
      </c>
      <c r="E212" s="5" t="s">
        <v>13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84</v>
      </c>
      <c r="C213" s="6" t="str">
        <f aca="false">HYPERLINK("https://partner.tcgplayer.com/c/6278691/1780961/21018?u=https%3A%2F%2Fwww.tcgplayer.com%2Fproduct%2F610423%3Futm_source%3Dimpact%26utm_medium%3Daffiliate%26utm_campaign%3Dpoke%2Bcottage","Heatran")</f>
        <v>Heatran</v>
      </c>
      <c r="D213" s="5" t="s">
        <v>15</v>
      </c>
      <c r="E213" s="5" t="s">
        <v>9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84</v>
      </c>
      <c r="C214" s="6" t="str">
        <f aca="false">HYPERLINK("https://partner.tcgplayer.com/c/6278691/1780961/21018?u=https%3A%2F%2Fwww.tcgplayer.com%2Fproduct%2F610423%3Futm_source%3Dimpact%26utm_medium%3Daffiliate%26utm_campaign%3Dpoke%2Bcottage","Heatran")</f>
        <v>Heatran</v>
      </c>
      <c r="D214" s="5" t="s">
        <v>15</v>
      </c>
      <c r="E214" s="5" t="s">
        <v>11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84</v>
      </c>
      <c r="C215" s="6" t="str">
        <f aca="false">HYPERLINK("https://partner.tcgplayer.com/c/6278691/1780961/21018?u=https%3A%2F%2Fwww.tcgplayer.com%2Fproduct%2F610585%3Futm_source%3Dimpact%26utm_medium%3Daffiliate%26utm_campaign%3Dpoke%2Bcottage","Heatran")</f>
        <v>Heatran</v>
      </c>
      <c r="D215" s="5" t="s">
        <v>15</v>
      </c>
      <c r="E215" s="5" t="s">
        <v>12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84</v>
      </c>
      <c r="C216" s="6" t="str">
        <f aca="false">HYPERLINK("https://partner.tcgplayer.com/c/6278691/1780961/21018?u=https%3A%2F%2Fwww.tcgplayer.com%2Fproduct%2F610686%3Futm_source%3Dimpact%26utm_medium%3Daffiliate%26utm_campaign%3Dpoke%2Bcottage","Heatran")</f>
        <v>Heatran</v>
      </c>
      <c r="D216" s="5" t="s">
        <v>15</v>
      </c>
      <c r="E216" s="5" t="s">
        <v>13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85</v>
      </c>
      <c r="C217" s="6" t="str">
        <f aca="false">HYPERLINK("https://partner.tcgplayer.com/c/6278691/1780961/21018?u=https%3A%2F%2Fwww.tcgplayer.com%2Fproduct%2F610424%3Futm_source%3Dimpact%26utm_medium%3Daffiliate%26utm_campaign%3Dpoke%2Bcottage","Duraludon")</f>
        <v>Duraludon</v>
      </c>
      <c r="D217" s="5" t="s">
        <v>8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85</v>
      </c>
      <c r="C218" s="6" t="str">
        <f aca="false">HYPERLINK("https://partner.tcgplayer.com/c/6278691/1780961/21018?u=https%3A%2F%2Fwww.tcgplayer.com%2Fproduct%2F610424%3Futm_source%3Dimpact%26utm_medium%3Daffiliate%26utm_campaign%3Dpoke%2Bcottage","Duraludon")</f>
        <v>Duraludon</v>
      </c>
      <c r="D218" s="5" t="s">
        <v>8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85</v>
      </c>
      <c r="C219" s="6" t="str">
        <f aca="false">HYPERLINK("https://partner.tcgplayer.com/c/6278691/1780961/21018?u=https%3A%2F%2Fwww.tcgplayer.com%2Fproduct%2F610586%3Futm_source%3Dimpact%26utm_medium%3Daffiliate%26utm_campaign%3Dpoke%2Bcottage","Duraludon")</f>
        <v>Duraludon</v>
      </c>
      <c r="D219" s="5" t="s">
        <v>8</v>
      </c>
      <c r="E219" s="5" t="s">
        <v>12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85</v>
      </c>
      <c r="C220" s="6" t="str">
        <f aca="false">HYPERLINK("https://partner.tcgplayer.com/c/6278691/1780961/21018?u=https%3A%2F%2Fwww.tcgplayer.com%2Fproduct%2F610687%3Futm_source%3Dimpact%26utm_medium%3Daffiliate%26utm_campaign%3Dpoke%2Bcottage","Duraludon")</f>
        <v>Duraludon</v>
      </c>
      <c r="D220" s="5" t="s">
        <v>8</v>
      </c>
      <c r="E220" s="5" t="s">
        <v>13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86</v>
      </c>
      <c r="C221" s="6" t="str">
        <f aca="false">HYPERLINK("https://partner.tcgplayer.com/c/6278691/1780961/21018?u=https%3A%2F%2Fwww.tcgplayer.com%2Fproduct%2F610425%3Futm_source%3Dimpact%26utm_medium%3Daffiliate%26utm_campaign%3Dpoke%2Bcottage","Archaludon")</f>
        <v>Archaludon</v>
      </c>
      <c r="D221" s="5" t="s">
        <v>19</v>
      </c>
      <c r="E221" s="5" t="s">
        <v>20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86</v>
      </c>
      <c r="C222" s="6" t="str">
        <f aca="false">HYPERLINK("https://partner.tcgplayer.com/c/6278691/1780961/21018?u=https%3A%2F%2Fwww.tcgplayer.com%2Fproduct%2F610425%3Futm_source%3Dimpact%26utm_medium%3Daffiliate%26utm_campaign%3Dpoke%2Bcottage","Archaludon")</f>
        <v>Archaludon</v>
      </c>
      <c r="D222" s="5" t="s">
        <v>19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86</v>
      </c>
      <c r="C223" s="6" t="str">
        <f aca="false">HYPERLINK("https://partner.tcgplayer.com/c/6278691/1780961/21018?u=https%3A%2F%2Fwww.tcgplayer.com%2Fproduct%2F610587%3Futm_source%3Dimpact%26utm_medium%3Daffiliate%26utm_campaign%3Dpoke%2Bcottage","Archaludon")</f>
        <v>Archaludon</v>
      </c>
      <c r="D223" s="5" t="s">
        <v>19</v>
      </c>
      <c r="E223" s="5" t="s">
        <v>12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86</v>
      </c>
      <c r="C224" s="6" t="str">
        <f aca="false">HYPERLINK("https://partner.tcgplayer.com/c/6278691/1780961/21018?u=https%3A%2F%2Fwww.tcgplayer.com%2Fproduct%2F610688%3Futm_source%3Dimpact%26utm_medium%3Daffiliate%26utm_campaign%3Dpoke%2Bcottage","Archaludon")</f>
        <v>Archaludon</v>
      </c>
      <c r="D224" s="5" t="s">
        <v>19</v>
      </c>
      <c r="E224" s="5" t="s">
        <v>13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87</v>
      </c>
      <c r="C225" s="6" t="str">
        <f aca="false">HYPERLINK("https://partner.tcgplayer.com/c/6278691/1780961/21018?u=https%3A%2F%2Fwww.tcgplayer.com%2Fproduct%2F610426%3Futm_source%3Dimpact%26utm_medium%3Daffiliate%26utm_campaign%3Dpoke%2Bcottage","Dreepy")</f>
        <v>Dreepy</v>
      </c>
      <c r="D225" s="5" t="s">
        <v>8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87</v>
      </c>
      <c r="C226" s="6" t="str">
        <f aca="false">HYPERLINK("https://partner.tcgplayer.com/c/6278691/1780961/21018?u=https%3A%2F%2Fwww.tcgplayer.com%2Fproduct%2F610426%3Futm_source%3Dimpact%26utm_medium%3Daffiliate%26utm_campaign%3Dpoke%2Bcottage","Dreepy")</f>
        <v>Dreepy</v>
      </c>
      <c r="D226" s="5" t="s">
        <v>8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87</v>
      </c>
      <c r="C227" s="6" t="str">
        <f aca="false">HYPERLINK("https://partner.tcgplayer.com/c/6278691/1780961/21018?u=https%3A%2F%2Fwww.tcgplayer.com%2Fproduct%2F610588%3Futm_source%3Dimpact%26utm_medium%3Daffiliate%26utm_campaign%3Dpoke%2Bcottage","Dreepy")</f>
        <v>Dreepy</v>
      </c>
      <c r="D227" s="5" t="s">
        <v>8</v>
      </c>
      <c r="E227" s="5" t="s">
        <v>12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87</v>
      </c>
      <c r="C228" s="6" t="str">
        <f aca="false">HYPERLINK("https://partner.tcgplayer.com/c/6278691/1780961/21018?u=https%3A%2F%2Fwww.tcgplayer.com%2Fproduct%2F610689%3Futm_source%3Dimpact%26utm_medium%3Daffiliate%26utm_campaign%3Dpoke%2Bcottage","Dreepy")</f>
        <v>Dreepy</v>
      </c>
      <c r="D228" s="5" t="s">
        <v>8</v>
      </c>
      <c r="E228" s="5" t="s">
        <v>13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88</v>
      </c>
      <c r="C229" s="6" t="str">
        <f aca="false">HYPERLINK("https://partner.tcgplayer.com/c/6278691/1780961/21018?u=https%3A%2F%2Fwww.tcgplayer.com%2Fproduct%2F610427%3Futm_source%3Dimpact%26utm_medium%3Daffiliate%26utm_campaign%3Dpoke%2Bcottage","Drakloak")</f>
        <v>Drakloak</v>
      </c>
      <c r="D229" s="5" t="s">
        <v>8</v>
      </c>
      <c r="E229" s="5" t="s">
        <v>9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88</v>
      </c>
      <c r="C230" s="6" t="str">
        <f aca="false">HYPERLINK("https://partner.tcgplayer.com/c/6278691/1780961/21018?u=https%3A%2F%2Fwww.tcgplayer.com%2Fproduct%2F610427%3Futm_source%3Dimpact%26utm_medium%3Daffiliate%26utm_campaign%3Dpoke%2Bcottage","Drakloak")</f>
        <v>Drakloak</v>
      </c>
      <c r="D230" s="5" t="s">
        <v>8</v>
      </c>
      <c r="E230" s="5" t="s">
        <v>11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88</v>
      </c>
      <c r="C231" s="6" t="str">
        <f aca="false">HYPERLINK("https://partner.tcgplayer.com/c/6278691/1780961/21018?u=https%3A%2F%2Fwww.tcgplayer.com%2Fproduct%2F610589%3Futm_source%3Dimpact%26utm_medium%3Daffiliate%26utm_campaign%3Dpoke%2Bcottage","Drakloak")</f>
        <v>Drakloak</v>
      </c>
      <c r="D231" s="5" t="s">
        <v>8</v>
      </c>
      <c r="E231" s="5" t="s">
        <v>12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88</v>
      </c>
      <c r="C232" s="6" t="str">
        <f aca="false">HYPERLINK("https://partner.tcgplayer.com/c/6278691/1780961/21018?u=https%3A%2F%2Fwww.tcgplayer.com%2Fproduct%2F610690%3Futm_source%3Dimpact%26utm_medium%3Daffiliate%26utm_campaign%3Dpoke%2Bcottage","Drakloak")</f>
        <v>Drakloak</v>
      </c>
      <c r="D232" s="5" t="s">
        <v>8</v>
      </c>
      <c r="E232" s="5" t="s">
        <v>13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89</v>
      </c>
      <c r="C233" s="6" t="str">
        <f aca="false">HYPERLINK("https://partner.tcgplayer.com/c/6278691/1780961/21018?u=https%3A%2F%2Fwww.tcgplayer.com%2Fproduct%2F610428%3Futm_source%3Dimpact%26utm_medium%3Daffiliate%26utm_campaign%3Dpoke%2Bcottage","Dragapult ex")</f>
        <v>Dragapult ex</v>
      </c>
      <c r="D233" s="5" t="s">
        <v>22</v>
      </c>
      <c r="E233" s="5" t="s">
        <v>20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90</v>
      </c>
      <c r="C234" s="6" t="str">
        <f aca="false">HYPERLINK("https://partner.tcgplayer.com/c/6278691/1780961/21018?u=https%3A%2F%2Fwww.tcgplayer.com%2Fproduct%2F610429%3Futm_source%3Dimpact%26utm_medium%3Daffiliate%26utm_campaign%3Dpoke%2Bcottage","Eevee")</f>
        <v>Eevee</v>
      </c>
      <c r="D234" s="5" t="s">
        <v>8</v>
      </c>
      <c r="E234" s="5" t="s">
        <v>9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90</v>
      </c>
      <c r="C235" s="6" t="str">
        <f aca="false">HYPERLINK("https://partner.tcgplayer.com/c/6278691/1780961/21018?u=https%3A%2F%2Fwww.tcgplayer.com%2Fproduct%2F610429%3Futm_source%3Dimpact%26utm_medium%3Daffiliate%26utm_campaign%3Dpoke%2Bcottage","Eevee")</f>
        <v>Eevee</v>
      </c>
      <c r="D235" s="5" t="s">
        <v>8</v>
      </c>
      <c r="E235" s="5" t="s">
        <v>11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90</v>
      </c>
      <c r="C236" s="6" t="str">
        <f aca="false">HYPERLINK("https://partner.tcgplayer.com/c/6278691/1780961/21018?u=https%3A%2F%2Fwww.tcgplayer.com%2Fproduct%2F610590%3Futm_source%3Dimpact%26utm_medium%3Daffiliate%26utm_campaign%3Dpoke%2Bcottage","Eevee")</f>
        <v>Eevee</v>
      </c>
      <c r="D236" s="5" t="s">
        <v>8</v>
      </c>
      <c r="E236" s="5" t="s">
        <v>12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90</v>
      </c>
      <c r="C237" s="6" t="str">
        <f aca="false">HYPERLINK("https://partner.tcgplayer.com/c/6278691/1780961/21018?u=https%3A%2F%2Fwww.tcgplayer.com%2Fproduct%2F610691%3Futm_source%3Dimpact%26utm_medium%3Daffiliate%26utm_campaign%3Dpoke%2Bcottage","Eevee")</f>
        <v>Eevee</v>
      </c>
      <c r="D237" s="5" t="s">
        <v>8</v>
      </c>
      <c r="E237" s="5" t="s">
        <v>13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91</v>
      </c>
      <c r="C238" s="6" t="str">
        <f aca="false">HYPERLINK("https://partner.tcgplayer.com/c/6278691/1780961/21018?u=https%3A%2F%2Fwww.tcgplayer.com%2Fproduct%2F610430%3Futm_source%3Dimpact%26utm_medium%3Daffiliate%26utm_campaign%3Dpoke%2Bcottage","Eevee ex")</f>
        <v>Eevee ex</v>
      </c>
      <c r="D238" s="5" t="s">
        <v>22</v>
      </c>
      <c r="E238" s="5" t="s">
        <v>20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92</v>
      </c>
      <c r="C239" s="6" t="str">
        <f aca="false">HYPERLINK("https://partner.tcgplayer.com/c/6278691/1780961/21018?u=https%3A%2F%2Fwww.tcgplayer.com%2Fproduct%2F610431%3Futm_source%3Dimpact%26utm_medium%3Daffiliate%26utm_campaign%3Dpoke%2Bcottage","Snorlax ex")</f>
        <v>Snorlax ex</v>
      </c>
      <c r="D239" s="5" t="s">
        <v>22</v>
      </c>
      <c r="E239" s="5" t="s">
        <v>20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93</v>
      </c>
      <c r="C240" s="6" t="str">
        <f aca="false">HYPERLINK("https://partner.tcgplayer.com/c/6278691/1780961/21018?u=https%3A%2F%2Fwww.tcgplayer.com%2Fproduct%2F610432%3Futm_source%3Dimpact%26utm_medium%3Daffiliate%26utm_campaign%3Dpoke%2Bcottage","Hoothoot")</f>
        <v>Hoothoot</v>
      </c>
      <c r="D240" s="5" t="s">
        <v>8</v>
      </c>
      <c r="E240" s="5" t="s">
        <v>9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93</v>
      </c>
      <c r="C241" s="6" t="str">
        <f aca="false">HYPERLINK("https://partner.tcgplayer.com/c/6278691/1780961/21018?u=https%3A%2F%2Fwww.tcgplayer.com%2Fproduct%2F610432%3Futm_source%3Dimpact%26utm_medium%3Daffiliate%26utm_campaign%3Dpoke%2Bcottage","Hoothoot")</f>
        <v>Hoothoot</v>
      </c>
      <c r="D241" s="5" t="s">
        <v>8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93</v>
      </c>
      <c r="C242" s="6" t="str">
        <f aca="false">HYPERLINK("https://partner.tcgplayer.com/c/6278691/1780961/21018?u=https%3A%2F%2Fwww.tcgplayer.com%2Fproduct%2F610591%3Futm_source%3Dimpact%26utm_medium%3Daffiliate%26utm_campaign%3Dpoke%2Bcottage","Hoothoot")</f>
        <v>Hoothoot</v>
      </c>
      <c r="D242" s="5" t="s">
        <v>8</v>
      </c>
      <c r="E242" s="5" t="s">
        <v>12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93</v>
      </c>
      <c r="C243" s="6" t="str">
        <f aca="false">HYPERLINK("https://partner.tcgplayer.com/c/6278691/1780961/21018?u=https%3A%2F%2Fwww.tcgplayer.com%2Fproduct%2F610692%3Futm_source%3Dimpact%26utm_medium%3Daffiliate%26utm_campaign%3Dpoke%2Bcottage","Hoothoot")</f>
        <v>Hoothoot</v>
      </c>
      <c r="D243" s="5" t="s">
        <v>8</v>
      </c>
      <c r="E243" s="5" t="s">
        <v>13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94</v>
      </c>
      <c r="C244" s="6" t="str">
        <f aca="false">HYPERLINK("https://partner.tcgplayer.com/c/6278691/1780961/21018?u=https%3A%2F%2Fwww.tcgplayer.com%2Fproduct%2F610433%3Futm_source%3Dimpact%26utm_medium%3Daffiliate%26utm_campaign%3Dpoke%2Bcottage","Noctowl")</f>
        <v>Noctowl</v>
      </c>
      <c r="D244" s="5" t="s">
        <v>19</v>
      </c>
      <c r="E244" s="5" t="s">
        <v>20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94</v>
      </c>
      <c r="C245" s="6" t="str">
        <f aca="false">HYPERLINK("https://partner.tcgplayer.com/c/6278691/1780961/21018?u=https%3A%2F%2Fwww.tcgplayer.com%2Fproduct%2F610433%3Futm_source%3Dimpact%26utm_medium%3Daffiliate%26utm_campaign%3Dpoke%2Bcottage","Noctowl")</f>
        <v>Noctowl</v>
      </c>
      <c r="D245" s="5" t="s">
        <v>19</v>
      </c>
      <c r="E245" s="5" t="s">
        <v>11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94</v>
      </c>
      <c r="C246" s="6" t="str">
        <f aca="false">HYPERLINK("https://partner.tcgplayer.com/c/6278691/1780961/21018?u=https%3A%2F%2Fwww.tcgplayer.com%2Fproduct%2F610592%3Futm_source%3Dimpact%26utm_medium%3Daffiliate%26utm_campaign%3Dpoke%2Bcottage","Noctowl")</f>
        <v>Noctowl</v>
      </c>
      <c r="D246" s="5" t="s">
        <v>19</v>
      </c>
      <c r="E246" s="5" t="s">
        <v>12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94</v>
      </c>
      <c r="C247" s="6" t="str">
        <f aca="false">HYPERLINK("https://partner.tcgplayer.com/c/6278691/1780961/21018?u=https%3A%2F%2Fwww.tcgplayer.com%2Fproduct%2F610693%3Futm_source%3Dimpact%26utm_medium%3Daffiliate%26utm_campaign%3Dpoke%2Bcottage","Noctowl")</f>
        <v>Noctowl</v>
      </c>
      <c r="D247" s="5" t="s">
        <v>19</v>
      </c>
      <c r="E247" s="5" t="s">
        <v>13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95</v>
      </c>
      <c r="C248" s="6" t="str">
        <f aca="false">HYPERLINK("https://partner.tcgplayer.com/c/6278691/1780961/21018?u=https%3A%2F%2Fwww.tcgplayer.com%2Fproduct%2F610434%3Futm_source%3Dimpact%26utm_medium%3Daffiliate%26utm_campaign%3Dpoke%2Bcottage","Dunsparce")</f>
        <v>Dunsparce</v>
      </c>
      <c r="D248" s="5" t="s">
        <v>8</v>
      </c>
      <c r="E248" s="5" t="s">
        <v>9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95</v>
      </c>
      <c r="C249" s="6" t="str">
        <f aca="false">HYPERLINK("https://partner.tcgplayer.com/c/6278691/1780961/21018?u=https%3A%2F%2Fwww.tcgplayer.com%2Fproduct%2F610434%3Futm_source%3Dimpact%26utm_medium%3Daffiliate%26utm_campaign%3Dpoke%2Bcottage","Dunsparce")</f>
        <v>Dunsparce</v>
      </c>
      <c r="D249" s="5" t="s">
        <v>8</v>
      </c>
      <c r="E249" s="5" t="s">
        <v>11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95</v>
      </c>
      <c r="C250" s="6" t="str">
        <f aca="false">HYPERLINK("https://partner.tcgplayer.com/c/6278691/1780961/21018?u=https%3A%2F%2Fwww.tcgplayer.com%2Fproduct%2F610593%3Futm_source%3Dimpact%26utm_medium%3Daffiliate%26utm_campaign%3Dpoke%2Bcottage","Dunsparce")</f>
        <v>Dunsparce</v>
      </c>
      <c r="D250" s="5" t="s">
        <v>8</v>
      </c>
      <c r="E250" s="5" t="s">
        <v>12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95</v>
      </c>
      <c r="C251" s="6" t="str">
        <f aca="false">HYPERLINK("https://partner.tcgplayer.com/c/6278691/1780961/21018?u=https%3A%2F%2Fwww.tcgplayer.com%2Fproduct%2F610694%3Futm_source%3Dimpact%26utm_medium%3Daffiliate%26utm_campaign%3Dpoke%2Bcottage","Dunsparce")</f>
        <v>Dunsparce</v>
      </c>
      <c r="D251" s="5" t="s">
        <v>8</v>
      </c>
      <c r="E251" s="5" t="s">
        <v>13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96</v>
      </c>
      <c r="C252" s="6" t="str">
        <f aca="false">HYPERLINK("https://partner.tcgplayer.com/c/6278691/1780961/21018?u=https%3A%2F%2Fwww.tcgplayer.com%2Fproduct%2F610435%3Futm_source%3Dimpact%26utm_medium%3Daffiliate%26utm_campaign%3Dpoke%2Bcottage","Dudunsparce")</f>
        <v>Dudunsparce</v>
      </c>
      <c r="D252" s="5" t="s">
        <v>19</v>
      </c>
      <c r="E252" s="5" t="s">
        <v>20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96</v>
      </c>
      <c r="C253" s="6" t="str">
        <f aca="false">HYPERLINK("https://partner.tcgplayer.com/c/6278691/1780961/21018?u=https%3A%2F%2Fwww.tcgplayer.com%2Fproduct%2F610435%3Futm_source%3Dimpact%26utm_medium%3Daffiliate%26utm_campaign%3Dpoke%2Bcottage","Dudunsparce")</f>
        <v>Dudunsparce</v>
      </c>
      <c r="D253" s="5" t="s">
        <v>19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96</v>
      </c>
      <c r="C254" s="6" t="str">
        <f aca="false">HYPERLINK("https://partner.tcgplayer.com/c/6278691/1780961/21018?u=https%3A%2F%2Fwww.tcgplayer.com%2Fproduct%2F610594%3Futm_source%3Dimpact%26utm_medium%3Daffiliate%26utm_campaign%3Dpoke%2Bcottage","Dudunsparce")</f>
        <v>Dudunsparce</v>
      </c>
      <c r="D254" s="5" t="s">
        <v>19</v>
      </c>
      <c r="E254" s="5" t="s">
        <v>12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96</v>
      </c>
      <c r="C255" s="6" t="str">
        <f aca="false">HYPERLINK("https://partner.tcgplayer.com/c/6278691/1780961/21018?u=https%3A%2F%2Fwww.tcgplayer.com%2Fproduct%2F610695%3Futm_source%3Dimpact%26utm_medium%3Daffiliate%26utm_campaign%3Dpoke%2Bcottage","Dudunsparce")</f>
        <v>Dudunsparce</v>
      </c>
      <c r="D255" s="5" t="s">
        <v>19</v>
      </c>
      <c r="E255" s="5" t="s">
        <v>13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97</v>
      </c>
      <c r="C256" s="6" t="str">
        <f aca="false">HYPERLINK("https://partner.tcgplayer.com/c/6278691/1780961/21018?u=https%3A%2F%2Fwww.tcgplayer.com%2Fproduct%2F610436%3Futm_source%3Dimpact%26utm_medium%3Daffiliate%26utm_campaign%3Dpoke%2Bcottage","Miltank")</f>
        <v>Miltank</v>
      </c>
      <c r="D256" s="5" t="s">
        <v>8</v>
      </c>
      <c r="E256" s="5" t="s">
        <v>9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97</v>
      </c>
      <c r="C257" s="6" t="str">
        <f aca="false">HYPERLINK("https://partner.tcgplayer.com/c/6278691/1780961/21018?u=https%3A%2F%2Fwww.tcgplayer.com%2Fproduct%2F610436%3Futm_source%3Dimpact%26utm_medium%3Daffiliate%26utm_campaign%3Dpoke%2Bcottage","Miltank")</f>
        <v>Miltank</v>
      </c>
      <c r="D257" s="5" t="s">
        <v>8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97</v>
      </c>
      <c r="C258" s="6" t="str">
        <f aca="false">HYPERLINK("https://partner.tcgplayer.com/c/6278691/1780961/21018?u=https%3A%2F%2Fwww.tcgplayer.com%2Fproduct%2F610595%3Futm_source%3Dimpact%26utm_medium%3Daffiliate%26utm_campaign%3Dpoke%2Bcottage","Miltank")</f>
        <v>Miltank</v>
      </c>
      <c r="D258" s="5" t="s">
        <v>8</v>
      </c>
      <c r="E258" s="5" t="s">
        <v>12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97</v>
      </c>
      <c r="C259" s="6" t="str">
        <f aca="false">HYPERLINK("https://partner.tcgplayer.com/c/6278691/1780961/21018?u=https%3A%2F%2Fwww.tcgplayer.com%2Fproduct%2F610696%3Futm_source%3Dimpact%26utm_medium%3Daffiliate%26utm_campaign%3Dpoke%2Bcottage","Miltank")</f>
        <v>Miltank</v>
      </c>
      <c r="D259" s="5" t="s">
        <v>8</v>
      </c>
      <c r="E259" s="5" t="s">
        <v>13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98</v>
      </c>
      <c r="C260" s="6" t="str">
        <f aca="false">HYPERLINK("https://partner.tcgplayer.com/c/6278691/1780961/21018?u=https%3A%2F%2Fwww.tcgplayer.com%2Fproduct%2F610437%3Futm_source%3Dimpact%26utm_medium%3Daffiliate%26utm_campaign%3Dpoke%2Bcottage","Lugia ex")</f>
        <v>Lugia ex</v>
      </c>
      <c r="D260" s="5" t="s">
        <v>22</v>
      </c>
      <c r="E260" s="5" t="s">
        <v>20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99</v>
      </c>
      <c r="C261" s="6" t="str">
        <f aca="false">HYPERLINK("https://partner.tcgplayer.com/c/6278691/1780961/21018?u=https%3A%2F%2Fwww.tcgplayer.com%2Fproduct%2F610438%3Futm_source%3Dimpact%26utm_medium%3Daffiliate%26utm_campaign%3Dpoke%2Bcottage","Buneary")</f>
        <v>Buneary</v>
      </c>
      <c r="D261" s="5" t="s">
        <v>8</v>
      </c>
      <c r="E261" s="5" t="s">
        <v>9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99</v>
      </c>
      <c r="C262" s="6" t="str">
        <f aca="false">HYPERLINK("https://partner.tcgplayer.com/c/6278691/1780961/21018?u=https%3A%2F%2Fwww.tcgplayer.com%2Fproduct%2F610438%3Futm_source%3Dimpact%26utm_medium%3Daffiliate%26utm_campaign%3Dpoke%2Bcottage","Buneary")</f>
        <v>Buneary</v>
      </c>
      <c r="D262" s="5" t="s">
        <v>8</v>
      </c>
      <c r="E262" s="5" t="s">
        <v>11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99</v>
      </c>
      <c r="C263" s="6" t="str">
        <f aca="false">HYPERLINK("https://partner.tcgplayer.com/c/6278691/1780961/21018?u=https%3A%2F%2Fwww.tcgplayer.com%2Fproduct%2F610596%3Futm_source%3Dimpact%26utm_medium%3Daffiliate%26utm_campaign%3Dpoke%2Bcottage","Buneary")</f>
        <v>Buneary</v>
      </c>
      <c r="D263" s="5" t="s">
        <v>8</v>
      </c>
      <c r="E263" s="5" t="s">
        <v>12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99</v>
      </c>
      <c r="C264" s="6" t="str">
        <f aca="false">HYPERLINK("https://partner.tcgplayer.com/c/6278691/1780961/21018?u=https%3A%2F%2Fwww.tcgplayer.com%2Fproduct%2F610697%3Futm_source%3Dimpact%26utm_medium%3Daffiliate%26utm_campaign%3Dpoke%2Bcottage","Buneary")</f>
        <v>Buneary</v>
      </c>
      <c r="D264" s="5" t="s">
        <v>8</v>
      </c>
      <c r="E264" s="5" t="s">
        <v>13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100</v>
      </c>
      <c r="C265" s="6" t="str">
        <f aca="false">HYPERLINK("https://partner.tcgplayer.com/c/6278691/1780961/21018?u=https%3A%2F%2Fwww.tcgplayer.com%2Fproduct%2F610439%3Futm_source%3Dimpact%26utm_medium%3Daffiliate%26utm_campaign%3Dpoke%2Bcottage","Lopunny")</f>
        <v>Lopunny</v>
      </c>
      <c r="D265" s="5" t="s">
        <v>8</v>
      </c>
      <c r="E265" s="5" t="s">
        <v>9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100</v>
      </c>
      <c r="C266" s="6" t="str">
        <f aca="false">HYPERLINK("https://partner.tcgplayer.com/c/6278691/1780961/21018?u=https%3A%2F%2Fwww.tcgplayer.com%2Fproduct%2F610439%3Futm_source%3Dimpact%26utm_medium%3Daffiliate%26utm_campaign%3Dpoke%2Bcottage","Lopunny")</f>
        <v>Lopunny</v>
      </c>
      <c r="D266" s="5" t="s">
        <v>8</v>
      </c>
      <c r="E266" s="5" t="s">
        <v>11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100</v>
      </c>
      <c r="C267" s="6" t="str">
        <f aca="false">HYPERLINK("https://partner.tcgplayer.com/c/6278691/1780961/21018?u=https%3A%2F%2Fwww.tcgplayer.com%2Fproduct%2F610597%3Futm_source%3Dimpact%26utm_medium%3Daffiliate%26utm_campaign%3Dpoke%2Bcottage","Lopunny")</f>
        <v>Lopunny</v>
      </c>
      <c r="D267" s="5" t="s">
        <v>8</v>
      </c>
      <c r="E267" s="5" t="s">
        <v>12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100</v>
      </c>
      <c r="C268" s="6" t="str">
        <f aca="false">HYPERLINK("https://partner.tcgplayer.com/c/6278691/1780961/21018?u=https%3A%2F%2Fwww.tcgplayer.com%2Fproduct%2F610698%3Futm_source%3Dimpact%26utm_medium%3Daffiliate%26utm_campaign%3Dpoke%2Bcottage","Lopunny")</f>
        <v>Lopunny</v>
      </c>
      <c r="D268" s="5" t="s">
        <v>8</v>
      </c>
      <c r="E268" s="5" t="s">
        <v>13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101</v>
      </c>
      <c r="C269" s="6" t="str">
        <f aca="false">HYPERLINK("https://partner.tcgplayer.com/c/6278691/1780961/21018?u=https%3A%2F%2Fwww.tcgplayer.com%2Fproduct%2F610440%3Futm_source%3Dimpact%26utm_medium%3Daffiliate%26utm_campaign%3Dpoke%2Bcottage","Fan Rotom")</f>
        <v>Fan Rotom</v>
      </c>
      <c r="D269" s="5" t="s">
        <v>8</v>
      </c>
      <c r="E269" s="5" t="s">
        <v>9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101</v>
      </c>
      <c r="C270" s="6" t="str">
        <f aca="false">HYPERLINK("https://partner.tcgplayer.com/c/6278691/1780961/21018?u=https%3A%2F%2Fwww.tcgplayer.com%2Fproduct%2F610440%3Futm_source%3Dimpact%26utm_medium%3Daffiliate%26utm_campaign%3Dpoke%2Bcottage","Fan Rotom")</f>
        <v>Fan Rotom</v>
      </c>
      <c r="D270" s="5" t="s">
        <v>8</v>
      </c>
      <c r="E270" s="5" t="s">
        <v>11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101</v>
      </c>
      <c r="C271" s="6" t="str">
        <f aca="false">HYPERLINK("https://partner.tcgplayer.com/c/6278691/1780961/21018?u=https%3A%2F%2Fwww.tcgplayer.com%2Fproduct%2F610598%3Futm_source%3Dimpact%26utm_medium%3Daffiliate%26utm_campaign%3Dpoke%2Bcottage","Fan Rotom")</f>
        <v>Fan Rotom</v>
      </c>
      <c r="D271" s="5" t="s">
        <v>8</v>
      </c>
      <c r="E271" s="5" t="s">
        <v>12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101</v>
      </c>
      <c r="C272" s="6" t="str">
        <f aca="false">HYPERLINK("https://partner.tcgplayer.com/c/6278691/1780961/21018?u=https%3A%2F%2Fwww.tcgplayer.com%2Fproduct%2F610699%3Futm_source%3Dimpact%26utm_medium%3Daffiliate%26utm_campaign%3Dpoke%2Bcottage","Fan Rotom")</f>
        <v>Fan Rotom</v>
      </c>
      <c r="D272" s="5" t="s">
        <v>8</v>
      </c>
      <c r="E272" s="5" t="s">
        <v>13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102</v>
      </c>
      <c r="C273" s="6" t="str">
        <f aca="false">HYPERLINK("https://partner.tcgplayer.com/c/6278691/1780961/21018?u=https%3A%2F%2Fwww.tcgplayer.com%2Fproduct%2F610441%3Futm_source%3Dimpact%26utm_medium%3Daffiliate%26utm_campaign%3Dpoke%2Bcottage","Regigigas")</f>
        <v>Regigigas</v>
      </c>
      <c r="D273" s="5" t="s">
        <v>15</v>
      </c>
      <c r="E273" s="5" t="s">
        <v>9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102</v>
      </c>
      <c r="C274" s="6" t="str">
        <f aca="false">HYPERLINK("https://partner.tcgplayer.com/c/6278691/1780961/21018?u=https%3A%2F%2Fwww.tcgplayer.com%2Fproduct%2F610441%3Futm_source%3Dimpact%26utm_medium%3Daffiliate%26utm_campaign%3Dpoke%2Bcottage","Regigigas")</f>
        <v>Regigigas</v>
      </c>
      <c r="D274" s="5" t="s">
        <v>15</v>
      </c>
      <c r="E274" s="5" t="s">
        <v>11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102</v>
      </c>
      <c r="C275" s="6" t="str">
        <f aca="false">HYPERLINK("https://partner.tcgplayer.com/c/6278691/1780961/21018?u=https%3A%2F%2Fwww.tcgplayer.com%2Fproduct%2F610599%3Futm_source%3Dimpact%26utm_medium%3Daffiliate%26utm_campaign%3Dpoke%2Bcottage","Regigigas")</f>
        <v>Regigigas</v>
      </c>
      <c r="D275" s="5" t="s">
        <v>15</v>
      </c>
      <c r="E275" s="5" t="s">
        <v>12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102</v>
      </c>
      <c r="C276" s="6" t="str">
        <f aca="false">HYPERLINK("https://partner.tcgplayer.com/c/6278691/1780961/21018?u=https%3A%2F%2Fwww.tcgplayer.com%2Fproduct%2F610700%3Futm_source%3Dimpact%26utm_medium%3Daffiliate%26utm_campaign%3Dpoke%2Bcottage","Regigigas")</f>
        <v>Regigigas</v>
      </c>
      <c r="D276" s="5" t="s">
        <v>15</v>
      </c>
      <c r="E276" s="5" t="s">
        <v>13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103</v>
      </c>
      <c r="C277" s="6" t="str">
        <f aca="false">HYPERLINK("https://partner.tcgplayer.com/c/6278691/1780961/21018?u=https%3A%2F%2Fwww.tcgplayer.com%2Fproduct%2F610442%3Futm_source%3Dimpact%26utm_medium%3Daffiliate%26utm_campaign%3Dpoke%2Bcottage","Shaymin")</f>
        <v>Shaymin</v>
      </c>
      <c r="D277" s="5" t="s">
        <v>15</v>
      </c>
      <c r="E277" s="5" t="s">
        <v>9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103</v>
      </c>
      <c r="C278" s="6" t="str">
        <f aca="false">HYPERLINK("https://partner.tcgplayer.com/c/6278691/1780961/21018?u=https%3A%2F%2Fwww.tcgplayer.com%2Fproduct%2F610442%3Futm_source%3Dimpact%26utm_medium%3Daffiliate%26utm_campaign%3Dpoke%2Bcottage","Shaymin")</f>
        <v>Shaymin</v>
      </c>
      <c r="D278" s="5" t="s">
        <v>15</v>
      </c>
      <c r="E278" s="5" t="s">
        <v>11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103</v>
      </c>
      <c r="C279" s="6" t="str">
        <f aca="false">HYPERLINK("https://partner.tcgplayer.com/c/6278691/1780961/21018?u=https%3A%2F%2Fwww.tcgplayer.com%2Fproduct%2F610600%3Futm_source%3Dimpact%26utm_medium%3Daffiliate%26utm_campaign%3Dpoke%2Bcottage","Shaymin")</f>
        <v>Shaymin</v>
      </c>
      <c r="D279" s="5" t="s">
        <v>15</v>
      </c>
      <c r="E279" s="5" t="s">
        <v>12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103</v>
      </c>
      <c r="C280" s="6" t="str">
        <f aca="false">HYPERLINK("https://partner.tcgplayer.com/c/6278691/1780961/21018?u=https%3A%2F%2Fwww.tcgplayer.com%2Fproduct%2F610701%3Futm_source%3Dimpact%26utm_medium%3Daffiliate%26utm_campaign%3Dpoke%2Bcottage","Shaymin")</f>
        <v>Shaymin</v>
      </c>
      <c r="D280" s="5" t="s">
        <v>15</v>
      </c>
      <c r="E280" s="5" t="s">
        <v>13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104</v>
      </c>
      <c r="C281" s="6" t="str">
        <f aca="false">HYPERLINK("https://partner.tcgplayer.com/c/6278691/1780961/21018?u=https%3A%2F%2Fwww.tcgplayer.com%2Fproduct%2F610443%3Futm_source%3Dimpact%26utm_medium%3Daffiliate%26utm_campaign%3Dpoke%2Bcottage","Furfrou")</f>
        <v>Furfrou</v>
      </c>
      <c r="D281" s="5" t="s">
        <v>8</v>
      </c>
      <c r="E281" s="5" t="s">
        <v>9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104</v>
      </c>
      <c r="C282" s="6" t="str">
        <f aca="false">HYPERLINK("https://partner.tcgplayer.com/c/6278691/1780961/21018?u=https%3A%2F%2Fwww.tcgplayer.com%2Fproduct%2F610443%3Futm_source%3Dimpact%26utm_medium%3Daffiliate%26utm_campaign%3Dpoke%2Bcottage","Furfrou")</f>
        <v>Furfrou</v>
      </c>
      <c r="D282" s="5" t="s">
        <v>8</v>
      </c>
      <c r="E282" s="5" t="s">
        <v>11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104</v>
      </c>
      <c r="C283" s="6" t="str">
        <f aca="false">HYPERLINK("https://partner.tcgplayer.com/c/6278691/1780961/21018?u=https%3A%2F%2Fwww.tcgplayer.com%2Fproduct%2F610601%3Futm_source%3Dimpact%26utm_medium%3Daffiliate%26utm_campaign%3Dpoke%2Bcottage","Furfrou")</f>
        <v>Furfrou</v>
      </c>
      <c r="D283" s="5" t="s">
        <v>8</v>
      </c>
      <c r="E283" s="5" t="s">
        <v>12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104</v>
      </c>
      <c r="C284" s="6" t="str">
        <f aca="false">HYPERLINK("https://partner.tcgplayer.com/c/6278691/1780961/21018?u=https%3A%2F%2Fwww.tcgplayer.com%2Fproduct%2F610702%3Futm_source%3Dimpact%26utm_medium%3Daffiliate%26utm_campaign%3Dpoke%2Bcottage","Furfrou")</f>
        <v>Furfrou</v>
      </c>
      <c r="D284" s="5" t="s">
        <v>8</v>
      </c>
      <c r="E284" s="5" t="s">
        <v>13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105</v>
      </c>
      <c r="C285" s="6" t="str">
        <f aca="false">HYPERLINK("https://partner.tcgplayer.com/c/6278691/1780961/21018?u=https%3A%2F%2Fwww.tcgplayer.com%2Fproduct%2F610444%3Futm_source%3Dimpact%26utm_medium%3Daffiliate%26utm_campaign%3Dpoke%2Bcottage","Hawlucha")</f>
        <v>Hawlucha</v>
      </c>
      <c r="D285" s="5" t="s">
        <v>15</v>
      </c>
      <c r="E285" s="5" t="s">
        <v>9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105</v>
      </c>
      <c r="C286" s="6" t="str">
        <f aca="false">HYPERLINK("https://partner.tcgplayer.com/c/6278691/1780961/21018?u=https%3A%2F%2Fwww.tcgplayer.com%2Fproduct%2F610444%3Futm_source%3Dimpact%26utm_medium%3Daffiliate%26utm_campaign%3Dpoke%2Bcottage","Hawlucha")</f>
        <v>Hawlucha</v>
      </c>
      <c r="D286" s="5" t="s">
        <v>15</v>
      </c>
      <c r="E286" s="5" t="s">
        <v>11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105</v>
      </c>
      <c r="C287" s="6" t="str">
        <f aca="false">HYPERLINK("https://partner.tcgplayer.com/c/6278691/1780961/21018?u=https%3A%2F%2Fwww.tcgplayer.com%2Fproduct%2F610602%3Futm_source%3Dimpact%26utm_medium%3Daffiliate%26utm_campaign%3Dpoke%2Bcottage","Hawlucha")</f>
        <v>Hawlucha</v>
      </c>
      <c r="D287" s="5" t="s">
        <v>15</v>
      </c>
      <c r="E287" s="5" t="s">
        <v>12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105</v>
      </c>
      <c r="C288" s="6" t="str">
        <f aca="false">HYPERLINK("https://partner.tcgplayer.com/c/6278691/1780961/21018?u=https%3A%2F%2Fwww.tcgplayer.com%2Fproduct%2F610703%3Futm_source%3Dimpact%26utm_medium%3Daffiliate%26utm_campaign%3Dpoke%2Bcottage","Hawlucha")</f>
        <v>Hawlucha</v>
      </c>
      <c r="D288" s="5" t="s">
        <v>15</v>
      </c>
      <c r="E288" s="5" t="s">
        <v>13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106</v>
      </c>
      <c r="C289" s="6" t="str">
        <f aca="false">HYPERLINK("https://partner.tcgplayer.com/c/6278691/1780961/21018?u=https%3A%2F%2Fwww.tcgplayer.com%2Fproduct%2F610445%3Futm_source%3Dimpact%26utm_medium%3Daffiliate%26utm_campaign%3Dpoke%2Bcottage","Noibat")</f>
        <v>Noibat</v>
      </c>
      <c r="D289" s="5" t="s">
        <v>8</v>
      </c>
      <c r="E289" s="5" t="s">
        <v>9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106</v>
      </c>
      <c r="C290" s="6" t="str">
        <f aca="false">HYPERLINK("https://partner.tcgplayer.com/c/6278691/1780961/21018?u=https%3A%2F%2Fwww.tcgplayer.com%2Fproduct%2F610445%3Futm_source%3Dimpact%26utm_medium%3Daffiliate%26utm_campaign%3Dpoke%2Bcottage","Noibat")</f>
        <v>Noibat</v>
      </c>
      <c r="D290" s="5" t="s">
        <v>8</v>
      </c>
      <c r="E290" s="5" t="s">
        <v>11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106</v>
      </c>
      <c r="C291" s="6" t="str">
        <f aca="false">HYPERLINK("https://partner.tcgplayer.com/c/6278691/1780961/21018?u=https%3A%2F%2Fwww.tcgplayer.com%2Fproduct%2F610603%3Futm_source%3Dimpact%26utm_medium%3Daffiliate%26utm_campaign%3Dpoke%2Bcottage","Noibat")</f>
        <v>Noibat</v>
      </c>
      <c r="D291" s="5" t="s">
        <v>8</v>
      </c>
      <c r="E291" s="5" t="s">
        <v>12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106</v>
      </c>
      <c r="C292" s="6" t="str">
        <f aca="false">HYPERLINK("https://partner.tcgplayer.com/c/6278691/1780961/21018?u=https%3A%2F%2Fwww.tcgplayer.com%2Fproduct%2F610704%3Futm_source%3Dimpact%26utm_medium%3Daffiliate%26utm_campaign%3Dpoke%2Bcottage","Noibat")</f>
        <v>Noibat</v>
      </c>
      <c r="D292" s="5" t="s">
        <v>8</v>
      </c>
      <c r="E292" s="5" t="s">
        <v>13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107</v>
      </c>
      <c r="C293" s="6" t="str">
        <f aca="false">HYPERLINK("https://partner.tcgplayer.com/c/6278691/1780961/21018?u=https%3A%2F%2Fwww.tcgplayer.com%2Fproduct%2F610446%3Futm_source%3Dimpact%26utm_medium%3Daffiliate%26utm_campaign%3Dpoke%2Bcottage","Noivern ex")</f>
        <v>Noivern ex</v>
      </c>
      <c r="D293" s="5" t="s">
        <v>22</v>
      </c>
      <c r="E293" s="5" t="s">
        <v>20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108</v>
      </c>
      <c r="C294" s="6" t="str">
        <f aca="false">HYPERLINK("https://partner.tcgplayer.com/c/6278691/1780961/21018?u=https%3A%2F%2Fwww.tcgplayer.com%2Fproduct%2F610447%3Futm_source%3Dimpact%26utm_medium%3Daffiliate%26utm_campaign%3Dpoke%2Bcottage","Terapagos ex")</f>
        <v>Terapagos ex</v>
      </c>
      <c r="D294" s="5" t="s">
        <v>22</v>
      </c>
      <c r="E294" s="5" t="s">
        <v>20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109</v>
      </c>
      <c r="C295" s="6" t="str">
        <f aca="false">HYPERLINK("https://partner.tcgplayer.com/c/6278691/1780961/21018?u=https%3A%2F%2Fwww.tcgplayer.com%2Fproduct%2F610448%3Futm_source%3Dimpact%26utm_medium%3Daffiliate%26utm_campaign%3Dpoke%2Bcottage","Amarys")</f>
        <v>Amarys</v>
      </c>
      <c r="D295" s="5" t="s">
        <v>8</v>
      </c>
      <c r="E295" s="5" t="s">
        <v>9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109</v>
      </c>
      <c r="C296" s="6" t="str">
        <f aca="false">HYPERLINK("https://partner.tcgplayer.com/c/6278691/1780961/21018?u=https%3A%2F%2Fwww.tcgplayer.com%2Fproduct%2F610448%3Futm_source%3Dimpact%26utm_medium%3Daffiliate%26utm_campaign%3Dpoke%2Bcottage","Amarys")</f>
        <v>Amarys</v>
      </c>
      <c r="D296" s="5" t="s">
        <v>8</v>
      </c>
      <c r="E296" s="5" t="s">
        <v>11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109</v>
      </c>
      <c r="C297" s="6" t="str">
        <f aca="false">HYPERLINK("https://partner.tcgplayer.com/c/6278691/1780961/21018?u=https%3A%2F%2Fwww.tcgplayer.com%2Fproduct%2F610604%3Futm_source%3Dimpact%26utm_medium%3Daffiliate%26utm_campaign%3Dpoke%2Bcottage","Amarys")</f>
        <v>Amarys</v>
      </c>
      <c r="D297" s="5" t="s">
        <v>8</v>
      </c>
      <c r="E297" s="5" t="s">
        <v>12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110</v>
      </c>
      <c r="C298" s="6" t="str">
        <f aca="false">HYPERLINK("https://partner.tcgplayer.com/c/6278691/1780961/21018?u=https%3A%2F%2Fwww.tcgplayer.com%2Fproduct%2F610449%3Futm_source%3Dimpact%26utm_medium%3Daffiliate%26utm_campaign%3Dpoke%2Bcottage","Area Zero Underdepths")</f>
        <v>Area Zero Underdepths</v>
      </c>
      <c r="D298" s="5" t="s">
        <v>15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110</v>
      </c>
      <c r="C299" s="6" t="str">
        <f aca="false">HYPERLINK("https://partner.tcgplayer.com/c/6278691/1780961/21018?u=https%3A%2F%2Fwww.tcgplayer.com%2Fproduct%2F610449%3Futm_source%3Dimpact%26utm_medium%3Daffiliate%26utm_campaign%3Dpoke%2Bcottage","Area Zero Underdepths")</f>
        <v>Area Zero Underdepths</v>
      </c>
      <c r="D299" s="5" t="s">
        <v>15</v>
      </c>
      <c r="E299" s="5" t="s">
        <v>11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110</v>
      </c>
      <c r="C300" s="6" t="str">
        <f aca="false">HYPERLINK("https://partner.tcgplayer.com/c/6278691/1780961/21018?u=https%3A%2F%2Fwww.tcgplayer.com%2Fproduct%2F610605%3Futm_source%3Dimpact%26utm_medium%3Daffiliate%26utm_campaign%3Dpoke%2Bcottage","Area Zero Underdepths")</f>
        <v>Area Zero Underdepths</v>
      </c>
      <c r="D300" s="5" t="s">
        <v>15</v>
      </c>
      <c r="E300" s="5" t="s">
        <v>12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111</v>
      </c>
      <c r="C301" s="6" t="str">
        <f aca="false">HYPERLINK("https://partner.tcgplayer.com/c/6278691/1780961/21018?u=https%3A%2F%2Fwww.tcgplayer.com%2Fproduct%2F610450%3Futm_source%3Dimpact%26utm_medium%3Daffiliate%26utm_campaign%3Dpoke%2Bcottage","Binding Mochi")</f>
        <v>Binding Mochi</v>
      </c>
      <c r="D301" s="5" t="s">
        <v>15</v>
      </c>
      <c r="E301" s="5" t="s">
        <v>9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111</v>
      </c>
      <c r="C302" s="6" t="str">
        <f aca="false">HYPERLINK("https://partner.tcgplayer.com/c/6278691/1780961/21018?u=https%3A%2F%2Fwww.tcgplayer.com%2Fproduct%2F610450%3Futm_source%3Dimpact%26utm_medium%3Daffiliate%26utm_campaign%3Dpoke%2Bcottage","Binding Mochi")</f>
        <v>Binding Mochi</v>
      </c>
      <c r="D302" s="5" t="s">
        <v>15</v>
      </c>
      <c r="E302" s="5" t="s">
        <v>11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111</v>
      </c>
      <c r="C303" s="6" t="str">
        <f aca="false">HYPERLINK("https://partner.tcgplayer.com/c/6278691/1780961/21018?u=https%3A%2F%2Fwww.tcgplayer.com%2Fproduct%2F610606%3Futm_source%3Dimpact%26utm_medium%3Daffiliate%26utm_campaign%3Dpoke%2Bcottage","Binding Mochi")</f>
        <v>Binding Mochi</v>
      </c>
      <c r="D303" s="5" t="s">
        <v>15</v>
      </c>
      <c r="E303" s="5" t="s">
        <v>12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112</v>
      </c>
      <c r="C304" s="6" t="str">
        <f aca="false">HYPERLINK("https://partner.tcgplayer.com/c/6278691/1780961/21018?u=https%3A%2F%2Fwww.tcgplayer.com%2Fproduct%2F610451%3Futm_source%3Dimpact%26utm_medium%3Daffiliate%26utm_campaign%3Dpoke%2Bcottage","Black Belt's Training")</f>
        <v>Black Belt's Training</v>
      </c>
      <c r="D304" s="5" t="s">
        <v>8</v>
      </c>
      <c r="E304" s="5" t="s">
        <v>9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112</v>
      </c>
      <c r="C305" s="6" t="str">
        <f aca="false">HYPERLINK("https://partner.tcgplayer.com/c/6278691/1780961/21018?u=https%3A%2F%2Fwww.tcgplayer.com%2Fproduct%2F610451%3Futm_source%3Dimpact%26utm_medium%3Daffiliate%26utm_campaign%3Dpoke%2Bcottage","Black Belt's Training")</f>
        <v>Black Belt's Training</v>
      </c>
      <c r="D305" s="5" t="s">
        <v>8</v>
      </c>
      <c r="E305" s="5" t="s">
        <v>11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112</v>
      </c>
      <c r="C306" s="6" t="str">
        <f aca="false">HYPERLINK("https://partner.tcgplayer.com/c/6278691/1780961/21018?u=https%3A%2F%2Fwww.tcgplayer.com%2Fproduct%2F610607%3Futm_source%3Dimpact%26utm_medium%3Daffiliate%26utm_campaign%3Dpoke%2Bcottage","Black Belt's Training")</f>
        <v>Black Belt's Training</v>
      </c>
      <c r="D306" s="5" t="s">
        <v>8</v>
      </c>
      <c r="E306" s="5" t="s">
        <v>12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113</v>
      </c>
      <c r="C307" s="6" t="str">
        <f aca="false">HYPERLINK("https://partner.tcgplayer.com/c/6278691/1780961/21018?u=https%3A%2F%2Fwww.tcgplayer.com%2Fproduct%2F610452%3Futm_source%3Dimpact%26utm_medium%3Daffiliate%26utm_campaign%3Dpoke%2Bcottage","Black Belt's Training")</f>
        <v>Black Belt's Training</v>
      </c>
      <c r="D307" s="5" t="s">
        <v>8</v>
      </c>
      <c r="E307" s="5" t="s">
        <v>9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113</v>
      </c>
      <c r="C308" s="6" t="str">
        <f aca="false">HYPERLINK("https://partner.tcgplayer.com/c/6278691/1780961/21018?u=https%3A%2F%2Fwww.tcgplayer.com%2Fproduct%2F610452%3Futm_source%3Dimpact%26utm_medium%3Daffiliate%26utm_campaign%3Dpoke%2Bcottage","Black Belt's Training")</f>
        <v>Black Belt's Training</v>
      </c>
      <c r="D308" s="5" t="s">
        <v>8</v>
      </c>
      <c r="E308" s="5" t="s">
        <v>11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113</v>
      </c>
      <c r="C309" s="6" t="str">
        <f aca="false">HYPERLINK("https://partner.tcgplayer.com/c/6278691/1780961/21018?u=https%3A%2F%2Fwww.tcgplayer.com%2Fproduct%2F610608%3Futm_source%3Dimpact%26utm_medium%3Daffiliate%26utm_campaign%3Dpoke%2Bcottage","Black Belt's Training")</f>
        <v>Black Belt's Training</v>
      </c>
      <c r="D309" s="5" t="s">
        <v>8</v>
      </c>
      <c r="E309" s="5" t="s">
        <v>12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114</v>
      </c>
      <c r="C310" s="6" t="str">
        <f aca="false">HYPERLINK("https://partner.tcgplayer.com/c/6278691/1780961/21018?u=https%3A%2F%2Fwww.tcgplayer.com%2Fproduct%2F610453%3Futm_source%3Dimpact%26utm_medium%3Daffiliate%26utm_campaign%3Dpoke%2Bcottage","Black Belt's Training")</f>
        <v>Black Belt's Training</v>
      </c>
      <c r="D310" s="5" t="s">
        <v>8</v>
      </c>
      <c r="E310" s="5" t="s">
        <v>9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114</v>
      </c>
      <c r="C311" s="6" t="str">
        <f aca="false">HYPERLINK("https://partner.tcgplayer.com/c/6278691/1780961/21018?u=https%3A%2F%2Fwww.tcgplayer.com%2Fproduct%2F610453%3Futm_source%3Dimpact%26utm_medium%3Daffiliate%26utm_campaign%3Dpoke%2Bcottage","Black Belt's Training")</f>
        <v>Black Belt's Training</v>
      </c>
      <c r="D311" s="5" t="s">
        <v>8</v>
      </c>
      <c r="E311" s="5" t="s">
        <v>11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114</v>
      </c>
      <c r="C312" s="6" t="str">
        <f aca="false">HYPERLINK("https://partner.tcgplayer.com/c/6278691/1780961/21018?u=https%3A%2F%2Fwww.tcgplayer.com%2Fproduct%2F610609%3Futm_source%3Dimpact%26utm_medium%3Daffiliate%26utm_campaign%3Dpoke%2Bcottage","Black Belt's Training")</f>
        <v>Black Belt's Training</v>
      </c>
      <c r="D312" s="5" t="s">
        <v>8</v>
      </c>
      <c r="E312" s="5" t="s">
        <v>12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115</v>
      </c>
      <c r="C313" s="6" t="str">
        <f aca="false">HYPERLINK("https://partner.tcgplayer.com/c/6278691/1780961/21018?u=https%3A%2F%2Fwww.tcgplayer.com%2Fproduct%2F610454%3Futm_source%3Dimpact%26utm_medium%3Daffiliate%26utm_campaign%3Dpoke%2Bcottage","Black Belt's Training")</f>
        <v>Black Belt's Training</v>
      </c>
      <c r="D313" s="5" t="s">
        <v>8</v>
      </c>
      <c r="E313" s="5" t="s">
        <v>9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115</v>
      </c>
      <c r="C314" s="6" t="str">
        <f aca="false">HYPERLINK("https://partner.tcgplayer.com/c/6278691/1780961/21018?u=https%3A%2F%2Fwww.tcgplayer.com%2Fproduct%2F610454%3Futm_source%3Dimpact%26utm_medium%3Daffiliate%26utm_campaign%3Dpoke%2Bcottage","Black Belt's Training")</f>
        <v>Black Belt's Training</v>
      </c>
      <c r="D314" s="5" t="s">
        <v>8</v>
      </c>
      <c r="E314" s="5" t="s">
        <v>11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115</v>
      </c>
      <c r="C315" s="6" t="str">
        <f aca="false">HYPERLINK("https://partner.tcgplayer.com/c/6278691/1780961/21018?u=https%3A%2F%2Fwww.tcgplayer.com%2Fproduct%2F610610%3Futm_source%3Dimpact%26utm_medium%3Daffiliate%26utm_campaign%3Dpoke%2Bcottage","Black Belt's Training")</f>
        <v>Black Belt's Training</v>
      </c>
      <c r="D315" s="5" t="s">
        <v>8</v>
      </c>
      <c r="E315" s="5" t="s">
        <v>12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116</v>
      </c>
      <c r="C316" s="6" t="str">
        <f aca="false">HYPERLINK("https://partner.tcgplayer.com/c/6278691/1780961/21018?u=https%3A%2F%2Fwww.tcgplayer.com%2Fproduct%2F610455%3Futm_source%3Dimpact%26utm_medium%3Daffiliate%26utm_campaign%3Dpoke%2Bcottage","Briar")</f>
        <v>Briar</v>
      </c>
      <c r="D316" s="5" t="s">
        <v>15</v>
      </c>
      <c r="E316" s="5" t="s">
        <v>9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116</v>
      </c>
      <c r="C317" s="6" t="str">
        <f aca="false">HYPERLINK("https://partner.tcgplayer.com/c/6278691/1780961/21018?u=https%3A%2F%2Fwww.tcgplayer.com%2Fproduct%2F610455%3Futm_source%3Dimpact%26utm_medium%3Daffiliate%26utm_campaign%3Dpoke%2Bcottage","Briar")</f>
        <v>Briar</v>
      </c>
      <c r="D317" s="5" t="s">
        <v>15</v>
      </c>
      <c r="E317" s="5" t="s">
        <v>11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116</v>
      </c>
      <c r="C318" s="6" t="str">
        <f aca="false">HYPERLINK("https://partner.tcgplayer.com/c/6278691/1780961/21018?u=https%3A%2F%2Fwww.tcgplayer.com%2Fproduct%2F610611%3Futm_source%3Dimpact%26utm_medium%3Daffiliate%26utm_campaign%3Dpoke%2Bcottage","Briar")</f>
        <v>Briar</v>
      </c>
      <c r="D318" s="5" t="s">
        <v>15</v>
      </c>
      <c r="E318" s="5" t="s">
        <v>12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117</v>
      </c>
      <c r="C319" s="6" t="str">
        <f aca="false">HYPERLINK("https://partner.tcgplayer.com/c/6278691/1780961/21018?u=https%3A%2F%2Fwww.tcgplayer.com%2Fproduct%2F610456%3Futm_source%3Dimpact%26utm_medium%3Daffiliate%26utm_campaign%3Dpoke%2Bcottage","Buddy-Buddy Poffin")</f>
        <v>Buddy-Buddy Poffin</v>
      </c>
      <c r="D319" s="5" t="s">
        <v>15</v>
      </c>
      <c r="E319" s="5" t="s">
        <v>9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117</v>
      </c>
      <c r="C320" s="6" t="str">
        <f aca="false">HYPERLINK("https://partner.tcgplayer.com/c/6278691/1780961/21018?u=https%3A%2F%2Fwww.tcgplayer.com%2Fproduct%2F610456%3Futm_source%3Dimpact%26utm_medium%3Daffiliate%26utm_campaign%3Dpoke%2Bcottage","Buddy-Buddy Poffin")</f>
        <v>Buddy-Buddy Poffin</v>
      </c>
      <c r="D320" s="5" t="s">
        <v>15</v>
      </c>
      <c r="E320" s="5" t="s">
        <v>11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117</v>
      </c>
      <c r="C321" s="6" t="str">
        <f aca="false">HYPERLINK("https://partner.tcgplayer.com/c/6278691/1780961/21018?u=https%3A%2F%2Fwww.tcgplayer.com%2Fproduct%2F610612%3Futm_source%3Dimpact%26utm_medium%3Daffiliate%26utm_campaign%3Dpoke%2Bcottage","Buddy-Buddy Poffin")</f>
        <v>Buddy-Buddy Poffin</v>
      </c>
      <c r="D321" s="5" t="s">
        <v>15</v>
      </c>
      <c r="E321" s="5" t="s">
        <v>12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118</v>
      </c>
      <c r="C322" s="6" t="str">
        <f aca="false">HYPERLINK("https://partner.tcgplayer.com/c/6278691/1780961/21018?u=https%3A%2F%2Fwww.tcgplayer.com%2Fproduct%2F610457%3Futm_source%3Dimpact%26utm_medium%3Daffiliate%26utm_campaign%3Dpoke%2Bcottage","Bug Catching Set")</f>
        <v>Bug Catching Set</v>
      </c>
      <c r="D322" s="5" t="s">
        <v>15</v>
      </c>
      <c r="E322" s="5" t="s">
        <v>9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118</v>
      </c>
      <c r="C323" s="6" t="str">
        <f aca="false">HYPERLINK("https://partner.tcgplayer.com/c/6278691/1780961/21018?u=https%3A%2F%2Fwww.tcgplayer.com%2Fproduct%2F610457%3Futm_source%3Dimpact%26utm_medium%3Daffiliate%26utm_campaign%3Dpoke%2Bcottage","Bug Catching Set")</f>
        <v>Bug Catching Set</v>
      </c>
      <c r="D323" s="5" t="s">
        <v>15</v>
      </c>
      <c r="E323" s="5" t="s">
        <v>11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118</v>
      </c>
      <c r="C324" s="6" t="str">
        <f aca="false">HYPERLINK("https://partner.tcgplayer.com/c/6278691/1780961/21018?u=https%3A%2F%2Fwww.tcgplayer.com%2Fproduct%2F610613%3Futm_source%3Dimpact%26utm_medium%3Daffiliate%26utm_campaign%3Dpoke%2Bcottage","Bug Catching Set")</f>
        <v>Bug Catching Set</v>
      </c>
      <c r="D324" s="5" t="s">
        <v>15</v>
      </c>
      <c r="E324" s="5" t="s">
        <v>12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119</v>
      </c>
      <c r="C325" s="6" t="str">
        <f aca="false">HYPERLINK("https://partner.tcgplayer.com/c/6278691/1780961/21018?u=https%3A%2F%2Fwww.tcgplayer.com%2Fproduct%2F610458%3Futm_source%3Dimpact%26utm_medium%3Daffiliate%26utm_campaign%3Dpoke%2Bcottage","Carmine")</f>
        <v>Carmine</v>
      </c>
      <c r="D325" s="5" t="s">
        <v>15</v>
      </c>
      <c r="E325" s="5" t="s">
        <v>9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119</v>
      </c>
      <c r="C326" s="6" t="str">
        <f aca="false">HYPERLINK("https://partner.tcgplayer.com/c/6278691/1780961/21018?u=https%3A%2F%2Fwww.tcgplayer.com%2Fproduct%2F610458%3Futm_source%3Dimpact%26utm_medium%3Daffiliate%26utm_campaign%3Dpoke%2Bcottage","Carmine")</f>
        <v>Carmine</v>
      </c>
      <c r="D326" s="5" t="s">
        <v>15</v>
      </c>
      <c r="E326" s="5" t="s">
        <v>11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119</v>
      </c>
      <c r="C327" s="6" t="str">
        <f aca="false">HYPERLINK("https://partner.tcgplayer.com/c/6278691/1780961/21018?u=https%3A%2F%2Fwww.tcgplayer.com%2Fproduct%2F610614%3Futm_source%3Dimpact%26utm_medium%3Daffiliate%26utm_campaign%3Dpoke%2Bcottage","Carmine")</f>
        <v>Carmine</v>
      </c>
      <c r="D327" s="5" t="s">
        <v>15</v>
      </c>
      <c r="E327" s="5" t="s">
        <v>12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120</v>
      </c>
      <c r="C328" s="6" t="str">
        <f aca="false">HYPERLINK("https://partner.tcgplayer.com/c/6278691/1780961/21018?u=https%3A%2F%2Fwww.tcgplayer.com%2Fproduct%2F610459%3Futm_source%3Dimpact%26utm_medium%3Daffiliate%26utm_campaign%3Dpoke%2Bcottage","Ciphermaniac's Codebreaking")</f>
        <v>Ciphermaniac's Codebreaking</v>
      </c>
      <c r="D328" s="5" t="s">
        <v>15</v>
      </c>
      <c r="E328" s="5" t="s">
        <v>9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120</v>
      </c>
      <c r="C329" s="6" t="str">
        <f aca="false">HYPERLINK("https://partner.tcgplayer.com/c/6278691/1780961/21018?u=https%3A%2F%2Fwww.tcgplayer.com%2Fproduct%2F610459%3Futm_source%3Dimpact%26utm_medium%3Daffiliate%26utm_campaign%3Dpoke%2Bcottage","Ciphermaniac's Codebreaking")</f>
        <v>Ciphermaniac's Codebreaking</v>
      </c>
      <c r="D329" s="5" t="s">
        <v>15</v>
      </c>
      <c r="E329" s="5" t="s">
        <v>11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120</v>
      </c>
      <c r="C330" s="6" t="str">
        <f aca="false">HYPERLINK("https://partner.tcgplayer.com/c/6278691/1780961/21018?u=https%3A%2F%2Fwww.tcgplayer.com%2Fproduct%2F610615%3Futm_source%3Dimpact%26utm_medium%3Daffiliate%26utm_campaign%3Dpoke%2Bcottage","Ciphermaniac's Codebreaking")</f>
        <v>Ciphermaniac's Codebreaking</v>
      </c>
      <c r="D330" s="5" t="s">
        <v>15</v>
      </c>
      <c r="E330" s="5" t="s">
        <v>12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121</v>
      </c>
      <c r="C331" s="6" t="str">
        <f aca="false">HYPERLINK("https://partner.tcgplayer.com/c/6278691/1780961/21018?u=https%3A%2F%2Fwww.tcgplayer.com%2Fproduct%2F610460%3Futm_source%3Dimpact%26utm_medium%3Daffiliate%26utm_campaign%3Dpoke%2Bcottage","Crispin")</f>
        <v>Crispin</v>
      </c>
      <c r="D331" s="5" t="s">
        <v>15</v>
      </c>
      <c r="E331" s="5" t="s">
        <v>9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121</v>
      </c>
      <c r="C332" s="6" t="str">
        <f aca="false">HYPERLINK("https://partner.tcgplayer.com/c/6278691/1780961/21018?u=https%3A%2F%2Fwww.tcgplayer.com%2Fproduct%2F610460%3Futm_source%3Dimpact%26utm_medium%3Daffiliate%26utm_campaign%3Dpoke%2Bcottage","Crispin")</f>
        <v>Crispin</v>
      </c>
      <c r="D332" s="5" t="s">
        <v>15</v>
      </c>
      <c r="E332" s="5" t="s">
        <v>11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121</v>
      </c>
      <c r="C333" s="6" t="str">
        <f aca="false">HYPERLINK("https://partner.tcgplayer.com/c/6278691/1780961/21018?u=https%3A%2F%2Fwww.tcgplayer.com%2Fproduct%2F610616%3Futm_source%3Dimpact%26utm_medium%3Daffiliate%26utm_campaign%3Dpoke%2Bcottage","Crispin")</f>
        <v>Crispin</v>
      </c>
      <c r="D333" s="5" t="s">
        <v>15</v>
      </c>
      <c r="E333" s="5" t="s">
        <v>12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122</v>
      </c>
      <c r="C334" s="6" t="str">
        <f aca="false">HYPERLINK("https://partner.tcgplayer.com/c/6278691/1780961/21018?u=https%3A%2F%2Fwww.tcgplayer.com%2Fproduct%2F610461%3Futm_source%3Dimpact%26utm_medium%3Daffiliate%26utm_campaign%3Dpoke%2Bcottage","Earthen Vessel")</f>
        <v>Earthen Vessel</v>
      </c>
      <c r="D334" s="5" t="s">
        <v>15</v>
      </c>
      <c r="E334" s="5" t="s">
        <v>9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122</v>
      </c>
      <c r="C335" s="6" t="str">
        <f aca="false">HYPERLINK("https://partner.tcgplayer.com/c/6278691/1780961/21018?u=https%3A%2F%2Fwww.tcgplayer.com%2Fproduct%2F610461%3Futm_source%3Dimpact%26utm_medium%3Daffiliate%26utm_campaign%3Dpoke%2Bcottage","Earthen Vessel")</f>
        <v>Earthen Vessel</v>
      </c>
      <c r="D335" s="5" t="s">
        <v>15</v>
      </c>
      <c r="E335" s="5" t="s">
        <v>11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122</v>
      </c>
      <c r="C336" s="6" t="str">
        <f aca="false">HYPERLINK("https://partner.tcgplayer.com/c/6278691/1780961/21018?u=https%3A%2F%2Fwww.tcgplayer.com%2Fproduct%2F610617%3Futm_source%3Dimpact%26utm_medium%3Daffiliate%26utm_campaign%3Dpoke%2Bcottage","Earthen Vessel")</f>
        <v>Earthen Vessel</v>
      </c>
      <c r="D336" s="5" t="s">
        <v>15</v>
      </c>
      <c r="E336" s="5" t="s">
        <v>12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123</v>
      </c>
      <c r="C337" s="6" t="str">
        <f aca="false">HYPERLINK("https://partner.tcgplayer.com/c/6278691/1780961/21018?u=https%3A%2F%2Fwww.tcgplayer.com%2Fproduct%2F610462%3Futm_source%3Dimpact%26utm_medium%3Daffiliate%26utm_campaign%3Dpoke%2Bcottage","Explorer's Guidance")</f>
        <v>Explorer's Guidance</v>
      </c>
      <c r="D337" s="5" t="s">
        <v>15</v>
      </c>
      <c r="E337" s="5" t="s">
        <v>9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123</v>
      </c>
      <c r="C338" s="6" t="str">
        <f aca="false">HYPERLINK("https://partner.tcgplayer.com/c/6278691/1780961/21018?u=https%3A%2F%2Fwww.tcgplayer.com%2Fproduct%2F610462%3Futm_source%3Dimpact%26utm_medium%3Daffiliate%26utm_campaign%3Dpoke%2Bcottage","Explorer's Guidance")</f>
        <v>Explorer's Guidance</v>
      </c>
      <c r="D338" s="5" t="s">
        <v>15</v>
      </c>
      <c r="E338" s="5" t="s">
        <v>11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123</v>
      </c>
      <c r="C339" s="6" t="str">
        <f aca="false">HYPERLINK("https://partner.tcgplayer.com/c/6278691/1780961/21018?u=https%3A%2F%2Fwww.tcgplayer.com%2Fproduct%2F610618%3Futm_source%3Dimpact%26utm_medium%3Daffiliate%26utm_campaign%3Dpoke%2Bcottage","Explorer's Guidance")</f>
        <v>Explorer's Guidance</v>
      </c>
      <c r="D339" s="5" t="s">
        <v>15</v>
      </c>
      <c r="E339" s="5" t="s">
        <v>12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124</v>
      </c>
      <c r="C340" s="6" t="str">
        <f aca="false">HYPERLINK("https://partner.tcgplayer.com/c/6278691/1780961/21018?u=https%3A%2F%2Fwww.tcgplayer.com%2Fproduct%2F610463%3Futm_source%3Dimpact%26utm_medium%3Daffiliate%26utm_campaign%3Dpoke%2Bcottage","Festival Grounds")</f>
        <v>Festival Grounds</v>
      </c>
      <c r="D340" s="5" t="s">
        <v>15</v>
      </c>
      <c r="E340" s="5" t="s">
        <v>9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124</v>
      </c>
      <c r="C341" s="6" t="str">
        <f aca="false">HYPERLINK("https://partner.tcgplayer.com/c/6278691/1780961/21018?u=https%3A%2F%2Fwww.tcgplayer.com%2Fproduct%2F610463%3Futm_source%3Dimpact%26utm_medium%3Daffiliate%26utm_campaign%3Dpoke%2Bcottage","Festival Grounds")</f>
        <v>Festival Grounds</v>
      </c>
      <c r="D341" s="5" t="s">
        <v>15</v>
      </c>
      <c r="E341" s="5" t="s">
        <v>11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124</v>
      </c>
      <c r="C342" s="6" t="str">
        <f aca="false">HYPERLINK("https://partner.tcgplayer.com/c/6278691/1780961/21018?u=https%3A%2F%2Fwww.tcgplayer.com%2Fproduct%2F610619%3Futm_source%3Dimpact%26utm_medium%3Daffiliate%26utm_campaign%3Dpoke%2Bcottage","Festival Grounds")</f>
        <v>Festival Grounds</v>
      </c>
      <c r="D342" s="5" t="s">
        <v>15</v>
      </c>
      <c r="E342" s="5" t="s">
        <v>12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125</v>
      </c>
      <c r="C343" s="6" t="str">
        <f aca="false">HYPERLINK("https://partner.tcgplayer.com/c/6278691/1780961/21018?u=https%3A%2F%2Fwww.tcgplayer.com%2Fproduct%2F610464%3Futm_source%3Dimpact%26utm_medium%3Daffiliate%26utm_campaign%3Dpoke%2Bcottage","Friends in Paldea")</f>
        <v>Friends in Paldea</v>
      </c>
      <c r="D343" s="5" t="s">
        <v>8</v>
      </c>
      <c r="E343" s="5" t="s">
        <v>9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125</v>
      </c>
      <c r="C344" s="6" t="str">
        <f aca="false">HYPERLINK("https://partner.tcgplayer.com/c/6278691/1780961/21018?u=https%3A%2F%2Fwww.tcgplayer.com%2Fproduct%2F610464%3Futm_source%3Dimpact%26utm_medium%3Daffiliate%26utm_campaign%3Dpoke%2Bcottage","Friends in Paldea")</f>
        <v>Friends in Paldea</v>
      </c>
      <c r="D344" s="5" t="s">
        <v>8</v>
      </c>
      <c r="E344" s="5" t="s">
        <v>11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125</v>
      </c>
      <c r="C345" s="6" t="str">
        <f aca="false">HYPERLINK("https://partner.tcgplayer.com/c/6278691/1780961/21018?u=https%3A%2F%2Fwww.tcgplayer.com%2Fproduct%2F610620%3Futm_source%3Dimpact%26utm_medium%3Daffiliate%26utm_campaign%3Dpoke%2Bcottage","Friends in Paldea")</f>
        <v>Friends in Paldea</v>
      </c>
      <c r="D345" s="5" t="s">
        <v>8</v>
      </c>
      <c r="E345" s="5" t="s">
        <v>12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126</v>
      </c>
      <c r="C346" s="6" t="str">
        <f aca="false">HYPERLINK("https://partner.tcgplayer.com/c/6278691/1780961/21018?u=https%3A%2F%2Fwww.tcgplayer.com%2Fproduct%2F610465%3Futm_source%3Dimpact%26utm_medium%3Daffiliate%26utm_campaign%3Dpoke%2Bcottage","Glass Trumpet")</f>
        <v>Glass Trumpet</v>
      </c>
      <c r="D346" s="5" t="s">
        <v>15</v>
      </c>
      <c r="E346" s="5" t="s">
        <v>9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126</v>
      </c>
      <c r="C347" s="6" t="str">
        <f aca="false">HYPERLINK("https://partner.tcgplayer.com/c/6278691/1780961/21018?u=https%3A%2F%2Fwww.tcgplayer.com%2Fproduct%2F610465%3Futm_source%3Dimpact%26utm_medium%3Daffiliate%26utm_campaign%3Dpoke%2Bcottage","Glass Trumpet")</f>
        <v>Glass Trumpet</v>
      </c>
      <c r="D347" s="5" t="s">
        <v>15</v>
      </c>
      <c r="E347" s="5" t="s">
        <v>11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126</v>
      </c>
      <c r="C348" s="6" t="str">
        <f aca="false">HYPERLINK("https://partner.tcgplayer.com/c/6278691/1780961/21018?u=https%3A%2F%2Fwww.tcgplayer.com%2Fproduct%2F610621%3Futm_source%3Dimpact%26utm_medium%3Daffiliate%26utm_campaign%3Dpoke%2Bcottage","Glass Trumpet")</f>
        <v>Glass Trumpet</v>
      </c>
      <c r="D348" s="5" t="s">
        <v>15</v>
      </c>
      <c r="E348" s="5" t="s">
        <v>12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127</v>
      </c>
      <c r="C349" s="6" t="str">
        <f aca="false">HYPERLINK("https://partner.tcgplayer.com/c/6278691/1780961/21018?u=https%3A%2F%2Fwww.tcgplayer.com%2Fproduct%2F610466%3Futm_source%3Dimpact%26utm_medium%3Daffiliate%26utm_campaign%3Dpoke%2Bcottage","Haban Berry")</f>
        <v>Haban Berry</v>
      </c>
      <c r="D349" s="5" t="s">
        <v>8</v>
      </c>
      <c r="E349" s="5" t="s">
        <v>9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127</v>
      </c>
      <c r="C350" s="6" t="str">
        <f aca="false">HYPERLINK("https://partner.tcgplayer.com/c/6278691/1780961/21018?u=https%3A%2F%2Fwww.tcgplayer.com%2Fproduct%2F610466%3Futm_source%3Dimpact%26utm_medium%3Daffiliate%26utm_campaign%3Dpoke%2Bcottage","Haban Berry")</f>
        <v>Haban Berry</v>
      </c>
      <c r="D350" s="5" t="s">
        <v>8</v>
      </c>
      <c r="E350" s="5" t="s">
        <v>11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127</v>
      </c>
      <c r="C351" s="6" t="str">
        <f aca="false">HYPERLINK("https://partner.tcgplayer.com/c/6278691/1780961/21018?u=https%3A%2F%2Fwww.tcgplayer.com%2Fproduct%2F610622%3Futm_source%3Dimpact%26utm_medium%3Daffiliate%26utm_campaign%3Dpoke%2Bcottage","Haban Berry")</f>
        <v>Haban Berry</v>
      </c>
      <c r="D351" s="5" t="s">
        <v>8</v>
      </c>
      <c r="E351" s="5" t="s">
        <v>12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128</v>
      </c>
      <c r="C352" s="6" t="str">
        <f aca="false">HYPERLINK("https://partner.tcgplayer.com/c/6278691/1780961/21018?u=https%3A%2F%2Fwww.tcgplayer.com%2Fproduct%2F610467%3Futm_source%3Dimpact%26utm_medium%3Daffiliate%26utm_campaign%3Dpoke%2Bcottage","Janine's Secret Art")</f>
        <v>Janine's Secret Art</v>
      </c>
      <c r="D352" s="5" t="s">
        <v>15</v>
      </c>
      <c r="E352" s="5" t="s">
        <v>9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128</v>
      </c>
      <c r="C353" s="6" t="str">
        <f aca="false">HYPERLINK("https://partner.tcgplayer.com/c/6278691/1780961/21018?u=https%3A%2F%2Fwww.tcgplayer.com%2Fproduct%2F610467%3Futm_source%3Dimpact%26utm_medium%3Daffiliate%26utm_campaign%3Dpoke%2Bcottage","Janine's Secret Art")</f>
        <v>Janine's Secret Art</v>
      </c>
      <c r="D353" s="5" t="s">
        <v>15</v>
      </c>
      <c r="E353" s="5" t="s">
        <v>11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128</v>
      </c>
      <c r="C354" s="6" t="str">
        <f aca="false">HYPERLINK("https://partner.tcgplayer.com/c/6278691/1780961/21018?u=https%3A%2F%2Fwww.tcgplayer.com%2Fproduct%2F610623%3Futm_source%3Dimpact%26utm_medium%3Daffiliate%26utm_campaign%3Dpoke%2Bcottage","Janine's Secret Art")</f>
        <v>Janine's Secret Art</v>
      </c>
      <c r="D354" s="5" t="s">
        <v>15</v>
      </c>
      <c r="E354" s="5" t="s">
        <v>12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129</v>
      </c>
      <c r="C355" s="6" t="str">
        <f aca="false">HYPERLINK("https://partner.tcgplayer.com/c/6278691/1780961/21018?u=https%3A%2F%2Fwww.tcgplayer.com%2Fproduct%2F610468%3Futm_source%3Dimpact%26utm_medium%3Daffiliate%26utm_campaign%3Dpoke%2Bcottage","Kieran")</f>
        <v>Kieran</v>
      </c>
      <c r="D355" s="5" t="s">
        <v>15</v>
      </c>
      <c r="E355" s="5" t="s">
        <v>9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129</v>
      </c>
      <c r="C356" s="6" t="str">
        <f aca="false">HYPERLINK("https://partner.tcgplayer.com/c/6278691/1780961/21018?u=https%3A%2F%2Fwww.tcgplayer.com%2Fproduct%2F610468%3Futm_source%3Dimpact%26utm_medium%3Daffiliate%26utm_campaign%3Dpoke%2Bcottage","Kieran")</f>
        <v>Kieran</v>
      </c>
      <c r="D356" s="5" t="s">
        <v>15</v>
      </c>
      <c r="E356" s="5" t="s">
        <v>11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129</v>
      </c>
      <c r="C357" s="6" t="str">
        <f aca="false">HYPERLINK("https://partner.tcgplayer.com/c/6278691/1780961/21018?u=https%3A%2F%2Fwww.tcgplayer.com%2Fproduct%2F610624%3Futm_source%3Dimpact%26utm_medium%3Daffiliate%26utm_campaign%3Dpoke%2Bcottage","Kieran")</f>
        <v>Kieran</v>
      </c>
      <c r="D357" s="5" t="s">
        <v>15</v>
      </c>
      <c r="E357" s="5" t="s">
        <v>12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130</v>
      </c>
      <c r="C358" s="6" t="str">
        <f aca="false">HYPERLINK("https://partner.tcgplayer.com/c/6278691/1780961/21018?u=https%3A%2F%2Fwww.tcgplayer.com%2Fproduct%2F610469%3Futm_source%3Dimpact%26utm_medium%3Daffiliate%26utm_campaign%3Dpoke%2Bcottage","Lacey")</f>
        <v>Lacey</v>
      </c>
      <c r="D358" s="5" t="s">
        <v>15</v>
      </c>
      <c r="E358" s="5" t="s">
        <v>9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130</v>
      </c>
      <c r="C359" s="6" t="str">
        <f aca="false">HYPERLINK("https://partner.tcgplayer.com/c/6278691/1780961/21018?u=https%3A%2F%2Fwww.tcgplayer.com%2Fproduct%2F610469%3Futm_source%3Dimpact%26utm_medium%3Daffiliate%26utm_campaign%3Dpoke%2Bcottage","Lacey")</f>
        <v>Lacey</v>
      </c>
      <c r="D359" s="5" t="s">
        <v>15</v>
      </c>
      <c r="E359" s="5" t="s">
        <v>11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130</v>
      </c>
      <c r="C360" s="6" t="str">
        <f aca="false">HYPERLINK("https://partner.tcgplayer.com/c/6278691/1780961/21018?u=https%3A%2F%2Fwww.tcgplayer.com%2Fproduct%2F610625%3Futm_source%3Dimpact%26utm_medium%3Daffiliate%26utm_campaign%3Dpoke%2Bcottage","Lacey")</f>
        <v>Lacey</v>
      </c>
      <c r="D360" s="5" t="s">
        <v>15</v>
      </c>
      <c r="E360" s="5" t="s">
        <v>12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131</v>
      </c>
      <c r="C361" s="6" t="str">
        <f aca="false">HYPERLINK("https://partner.tcgplayer.com/c/6278691/1780961/21018?u=https%3A%2F%2Fwww.tcgplayer.com%2Fproduct%2F610470%3Futm_source%3Dimpact%26utm_medium%3Daffiliate%26utm_campaign%3Dpoke%2Bcottage","Larry's Skill")</f>
        <v>Larry's Skill</v>
      </c>
      <c r="D361" s="5" t="s">
        <v>8</v>
      </c>
      <c r="E361" s="5" t="s">
        <v>9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131</v>
      </c>
      <c r="C362" s="6" t="str">
        <f aca="false">HYPERLINK("https://partner.tcgplayer.com/c/6278691/1780961/21018?u=https%3A%2F%2Fwww.tcgplayer.com%2Fproduct%2F610470%3Futm_source%3Dimpact%26utm_medium%3Daffiliate%26utm_campaign%3Dpoke%2Bcottage","Larry's Skill")</f>
        <v>Larry's Skill</v>
      </c>
      <c r="D362" s="5" t="s">
        <v>8</v>
      </c>
      <c r="E362" s="5" t="s">
        <v>11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131</v>
      </c>
      <c r="C363" s="6" t="str">
        <f aca="false">HYPERLINK("https://partner.tcgplayer.com/c/6278691/1780961/21018?u=https%3A%2F%2Fwww.tcgplayer.com%2Fproduct%2F610626%3Futm_source%3Dimpact%26utm_medium%3Daffiliate%26utm_campaign%3Dpoke%2Bcottage","Larry's Skill")</f>
        <v>Larry's Skill</v>
      </c>
      <c r="D363" s="5" t="s">
        <v>8</v>
      </c>
      <c r="E363" s="5" t="s">
        <v>12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132</v>
      </c>
      <c r="C364" s="6" t="str">
        <f aca="false">HYPERLINK("https://partner.tcgplayer.com/c/6278691/1780961/21018?u=https%3A%2F%2Fwww.tcgplayer.com%2Fproduct%2F610471%3Futm_source%3Dimpact%26utm_medium%3Daffiliate%26utm_campaign%3Dpoke%2Bcottage","Max Rod")</f>
        <v>Max Rod</v>
      </c>
      <c r="D364" s="5" t="s">
        <v>133</v>
      </c>
      <c r="E364" s="5" t="s">
        <v>20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134</v>
      </c>
      <c r="C365" s="6" t="str">
        <f aca="false">HYPERLINK("https://partner.tcgplayer.com/c/6278691/1780961/21018?u=https%3A%2F%2Fwww.tcgplayer.com%2Fproduct%2F610472%3Futm_source%3Dimpact%26utm_medium%3Daffiliate%26utm_campaign%3Dpoke%2Bcottage","Maximum Belt")</f>
        <v>Maximum Belt</v>
      </c>
      <c r="D365" s="5" t="s">
        <v>133</v>
      </c>
      <c r="E365" s="5" t="s">
        <v>20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135</v>
      </c>
      <c r="C366" s="6" t="str">
        <f aca="false">HYPERLINK("https://partner.tcgplayer.com/c/6278691/1780961/21018?u=https%3A%2F%2Fwww.tcgplayer.com%2Fproduct%2F610473%3Futm_source%3Dimpact%26utm_medium%3Daffiliate%26utm_campaign%3Dpoke%2Bcottage","Ogre's Mask")</f>
        <v>Ogre's Mask</v>
      </c>
      <c r="D366" s="5" t="s">
        <v>15</v>
      </c>
      <c r="E366" s="5" t="s">
        <v>9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135</v>
      </c>
      <c r="C367" s="6" t="str">
        <f aca="false">HYPERLINK("https://partner.tcgplayer.com/c/6278691/1780961/21018?u=https%3A%2F%2Fwww.tcgplayer.com%2Fproduct%2F610473%3Futm_source%3Dimpact%26utm_medium%3Daffiliate%26utm_campaign%3Dpoke%2Bcottage","Ogre's Mask")</f>
        <v>Ogre's Mask</v>
      </c>
      <c r="D367" s="5" t="s">
        <v>15</v>
      </c>
      <c r="E367" s="5" t="s">
        <v>11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135</v>
      </c>
      <c r="C368" s="6" t="str">
        <f aca="false">HYPERLINK("https://partner.tcgplayer.com/c/6278691/1780961/21018?u=https%3A%2F%2Fwww.tcgplayer.com%2Fproduct%2F610627%3Futm_source%3Dimpact%26utm_medium%3Daffiliate%26utm_campaign%3Dpoke%2Bcottage","Ogre's Mask")</f>
        <v>Ogre's Mask</v>
      </c>
      <c r="D368" s="5" t="s">
        <v>15</v>
      </c>
      <c r="E368" s="5" t="s">
        <v>12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136</v>
      </c>
      <c r="C369" s="6" t="str">
        <f aca="false">HYPERLINK("https://partner.tcgplayer.com/c/6278691/1780961/21018?u=https%3A%2F%2Fwww.tcgplayer.com%2Fproduct%2F610474%3Futm_source%3Dimpact%26utm_medium%3Daffiliate%26utm_campaign%3Dpoke%2Bcottage","Prime Catcher")</f>
        <v>Prime Catcher</v>
      </c>
      <c r="D369" s="5" t="s">
        <v>133</v>
      </c>
      <c r="E369" s="5" t="s">
        <v>20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137</v>
      </c>
      <c r="C370" s="6" t="str">
        <f aca="false">HYPERLINK("https://partner.tcgplayer.com/c/6278691/1780961/21018?u=https%3A%2F%2Fwww.tcgplayer.com%2Fproduct%2F610475%3Futm_source%3Dimpact%26utm_medium%3Daffiliate%26utm_campaign%3Dpoke%2Bcottage","Professor Sada's Vitality")</f>
        <v>Professor Sada's Vitality</v>
      </c>
      <c r="D370" s="5" t="s">
        <v>15</v>
      </c>
      <c r="E370" s="5" t="s">
        <v>9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137</v>
      </c>
      <c r="C371" s="6" t="str">
        <f aca="false">HYPERLINK("https://partner.tcgplayer.com/c/6278691/1780961/21018?u=https%3A%2F%2Fwww.tcgplayer.com%2Fproduct%2F610475%3Futm_source%3Dimpact%26utm_medium%3Daffiliate%26utm_campaign%3Dpoke%2Bcottage","Professor Sada's Vitality")</f>
        <v>Professor Sada's Vitality</v>
      </c>
      <c r="D371" s="5" t="s">
        <v>15</v>
      </c>
      <c r="E371" s="5" t="s">
        <v>11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137</v>
      </c>
      <c r="C372" s="6" t="str">
        <f aca="false">HYPERLINK("https://partner.tcgplayer.com/c/6278691/1780961/21018?u=https%3A%2F%2Fwww.tcgplayer.com%2Fproduct%2F610628%3Futm_source%3Dimpact%26utm_medium%3Daffiliate%26utm_campaign%3Dpoke%2Bcottage","Professor Sada's Vitality")</f>
        <v>Professor Sada's Vitality</v>
      </c>
      <c r="D372" s="5" t="s">
        <v>15</v>
      </c>
      <c r="E372" s="5" t="s">
        <v>12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138</v>
      </c>
      <c r="C373" s="6" t="str">
        <f aca="false">HYPERLINK("https://partner.tcgplayer.com/c/6278691/1780961/21018?u=https%3A%2F%2Fwww.tcgplayer.com%2Fproduct%2F610476%3Futm_source%3Dimpact%26utm_medium%3Daffiliate%26utm_campaign%3Dpoke%2Bcottage","Professor Turo's Scenario")</f>
        <v>Professor Turo's Scenario</v>
      </c>
      <c r="D373" s="5" t="s">
        <v>15</v>
      </c>
      <c r="E373" s="5" t="s">
        <v>9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138</v>
      </c>
      <c r="C374" s="6" t="str">
        <f aca="false">HYPERLINK("https://partner.tcgplayer.com/c/6278691/1780961/21018?u=https%3A%2F%2Fwww.tcgplayer.com%2Fproduct%2F610476%3Futm_source%3Dimpact%26utm_medium%3Daffiliate%26utm_campaign%3Dpoke%2Bcottage","Professor Turo's Scenario")</f>
        <v>Professor Turo's Scenario</v>
      </c>
      <c r="D374" s="5" t="s">
        <v>15</v>
      </c>
      <c r="E374" s="5" t="s">
        <v>11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138</v>
      </c>
      <c r="C375" s="6" t="str">
        <f aca="false">HYPERLINK("https://partner.tcgplayer.com/c/6278691/1780961/21018?u=https%3A%2F%2Fwww.tcgplayer.com%2Fproduct%2F610629%3Futm_source%3Dimpact%26utm_medium%3Daffiliate%26utm_campaign%3Dpoke%2Bcottage","Professor Turo's Scenario")</f>
        <v>Professor Turo's Scenario</v>
      </c>
      <c r="D375" s="5" t="s">
        <v>15</v>
      </c>
      <c r="E375" s="5" t="s">
        <v>12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139</v>
      </c>
      <c r="C376" s="6" t="str">
        <f aca="false">HYPERLINK("https://partner.tcgplayer.com/c/6278691/1780961/21018?u=https%3A%2F%2Fwww.tcgplayer.com%2Fproduct%2F610477%3Futm_source%3Dimpact%26utm_medium%3Daffiliate%26utm_campaign%3Dpoke%2Bcottage","Professor's Research (Professor Oak)")</f>
        <v>Professor's Research (Professor Oak)</v>
      </c>
      <c r="D376" s="5" t="s">
        <v>8</v>
      </c>
      <c r="E376" s="5" t="s">
        <v>9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139</v>
      </c>
      <c r="C377" s="6" t="str">
        <f aca="false">HYPERLINK("https://partner.tcgplayer.com/c/6278691/1780961/21018?u=https%3A%2F%2Fwww.tcgplayer.com%2Fproduct%2F610477%3Futm_source%3Dimpact%26utm_medium%3Daffiliate%26utm_campaign%3Dpoke%2Bcottage","Professor's Research (Professor Oak)")</f>
        <v>Professor's Research (Professor Oak)</v>
      </c>
      <c r="D377" s="5" t="s">
        <v>8</v>
      </c>
      <c r="E377" s="5" t="s">
        <v>11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139</v>
      </c>
      <c r="C378" s="6" t="str">
        <f aca="false">HYPERLINK("https://partner.tcgplayer.com/c/6278691/1780961/21018?u=https%3A%2F%2Fwww.tcgplayer.com%2Fproduct%2F610630%3Futm_source%3Dimpact%26utm_medium%3Daffiliate%26utm_campaign%3Dpoke%2Bcottage","Professor's Research (Professor Oak)")</f>
        <v>Professor's Research (Professor Oak)</v>
      </c>
      <c r="D378" s="5" t="s">
        <v>8</v>
      </c>
      <c r="E378" s="5" t="s">
        <v>12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140</v>
      </c>
      <c r="C379" s="6" t="str">
        <f aca="false">HYPERLINK("https://partner.tcgplayer.com/c/6278691/1780961/21018?u=https%3A%2F%2Fwww.tcgplayer.com%2Fproduct%2F610478%3Futm_source%3Dimpact%26utm_medium%3Daffiliate%26utm_campaign%3Dpoke%2Bcottage","Professor's Research (Professor Elm)")</f>
        <v>Professor's Research (Professor Elm)</v>
      </c>
      <c r="D379" s="5" t="s">
        <v>8</v>
      </c>
      <c r="E379" s="5" t="s">
        <v>9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140</v>
      </c>
      <c r="C380" s="6" t="str">
        <f aca="false">HYPERLINK("https://partner.tcgplayer.com/c/6278691/1780961/21018?u=https%3A%2F%2Fwww.tcgplayer.com%2Fproduct%2F610478%3Futm_source%3Dimpact%26utm_medium%3Daffiliate%26utm_campaign%3Dpoke%2Bcottage","Professor's Research (Professor Elm)")</f>
        <v>Professor's Research (Professor Elm)</v>
      </c>
      <c r="D380" s="5" t="s">
        <v>8</v>
      </c>
      <c r="E380" s="5" t="s">
        <v>11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140</v>
      </c>
      <c r="C381" s="6" t="str">
        <f aca="false">HYPERLINK("https://partner.tcgplayer.com/c/6278691/1780961/21018?u=https%3A%2F%2Fwww.tcgplayer.com%2Fproduct%2F610631%3Futm_source%3Dimpact%26utm_medium%3Daffiliate%26utm_campaign%3Dpoke%2Bcottage","Professor's Research (Professor Elm)")</f>
        <v>Professor's Research (Professor Elm)</v>
      </c>
      <c r="D381" s="5" t="s">
        <v>8</v>
      </c>
      <c r="E381" s="5" t="s">
        <v>12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141</v>
      </c>
      <c r="C382" s="6" t="str">
        <f aca="false">HYPERLINK("https://partner.tcgplayer.com/c/6278691/1780961/21018?u=https%3A%2F%2Fwww.tcgplayer.com%2Fproduct%2F610479%3Futm_source%3Dimpact%26utm_medium%3Daffiliate%26utm_campaign%3Dpoke%2Bcottage","Professor's Research (Professor Rowan)")</f>
        <v>Professor's Research (Professor Rowan)</v>
      </c>
      <c r="D382" s="5" t="s">
        <v>8</v>
      </c>
      <c r="E382" s="5" t="s">
        <v>9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141</v>
      </c>
      <c r="C383" s="6" t="str">
        <f aca="false">HYPERLINK("https://partner.tcgplayer.com/c/6278691/1780961/21018?u=https%3A%2F%2Fwww.tcgplayer.com%2Fproduct%2F610479%3Futm_source%3Dimpact%26utm_medium%3Daffiliate%26utm_campaign%3Dpoke%2Bcottage","Professor's Research (Professor Rowan)")</f>
        <v>Professor's Research (Professor Rowan)</v>
      </c>
      <c r="D383" s="5" t="s">
        <v>8</v>
      </c>
      <c r="E383" s="5" t="s">
        <v>11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141</v>
      </c>
      <c r="C384" s="6" t="str">
        <f aca="false">HYPERLINK("https://partner.tcgplayer.com/c/6278691/1780961/21018?u=https%3A%2F%2Fwww.tcgplayer.com%2Fproduct%2F610632%3Futm_source%3Dimpact%26utm_medium%3Daffiliate%26utm_campaign%3Dpoke%2Bcottage","Professor's Research (Professor Rowan)")</f>
        <v>Professor's Research (Professor Rowan)</v>
      </c>
      <c r="D384" s="5" t="s">
        <v>8</v>
      </c>
      <c r="E384" s="5" t="s">
        <v>12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142</v>
      </c>
      <c r="C385" s="6" t="str">
        <f aca="false">HYPERLINK("https://partner.tcgplayer.com/c/6278691/1780961/21018?u=https%3A%2F%2Fwww.tcgplayer.com%2Fproduct%2F610480%3Futm_source%3Dimpact%26utm_medium%3Daffiliate%26utm_campaign%3Dpoke%2Bcottage","Professor's Research (Professor Sycamore)")</f>
        <v>Professor's Research (Professor Sycamore)</v>
      </c>
      <c r="D385" s="5" t="s">
        <v>8</v>
      </c>
      <c r="E385" s="5" t="s">
        <v>9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142</v>
      </c>
      <c r="C386" s="6" t="str">
        <f aca="false">HYPERLINK("https://partner.tcgplayer.com/c/6278691/1780961/21018?u=https%3A%2F%2Fwww.tcgplayer.com%2Fproduct%2F610480%3Futm_source%3Dimpact%26utm_medium%3Daffiliate%26utm_campaign%3Dpoke%2Bcottage","Professor's Research (Professor Sycamore)")</f>
        <v>Professor's Research (Professor Sycamore)</v>
      </c>
      <c r="D386" s="5" t="s">
        <v>8</v>
      </c>
      <c r="E386" s="5" t="s">
        <v>11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142</v>
      </c>
      <c r="C387" s="6" t="str">
        <f aca="false">HYPERLINK("https://partner.tcgplayer.com/c/6278691/1780961/21018?u=https%3A%2F%2Fwww.tcgplayer.com%2Fproduct%2F610633%3Futm_source%3Dimpact%26utm_medium%3Daffiliate%26utm_campaign%3Dpoke%2Bcottage","Professor's Research (Professor Sycamore)")</f>
        <v>Professor's Research (Professor Sycamore)</v>
      </c>
      <c r="D387" s="5" t="s">
        <v>8</v>
      </c>
      <c r="E387" s="5" t="s">
        <v>12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143</v>
      </c>
      <c r="C388" s="6" t="str">
        <f aca="false">HYPERLINK("https://partner.tcgplayer.com/c/6278691/1780961/21018?u=https%3A%2F%2Fwww.tcgplayer.com%2Fproduct%2F610481%3Futm_source%3Dimpact%26utm_medium%3Daffiliate%26utm_campaign%3Dpoke%2Bcottage","Rescue Board")</f>
        <v>Rescue Board</v>
      </c>
      <c r="D388" s="5" t="s">
        <v>15</v>
      </c>
      <c r="E388" s="5" t="s">
        <v>9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143</v>
      </c>
      <c r="C389" s="6" t="str">
        <f aca="false">HYPERLINK("https://partner.tcgplayer.com/c/6278691/1780961/21018?u=https%3A%2F%2Fwww.tcgplayer.com%2Fproduct%2F610481%3Futm_source%3Dimpact%26utm_medium%3Daffiliate%26utm_campaign%3Dpoke%2Bcottage","Rescue Board")</f>
        <v>Rescue Board</v>
      </c>
      <c r="D389" s="5" t="s">
        <v>15</v>
      </c>
      <c r="E389" s="5" t="s">
        <v>11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143</v>
      </c>
      <c r="C390" s="6" t="str">
        <f aca="false">HYPERLINK("https://partner.tcgplayer.com/c/6278691/1780961/21018?u=https%3A%2F%2Fwww.tcgplayer.com%2Fproduct%2F610634%3Futm_source%3Dimpact%26utm_medium%3Daffiliate%26utm_campaign%3Dpoke%2Bcottage","Rescue Board")</f>
        <v>Rescue Board</v>
      </c>
      <c r="D390" s="5" t="s">
        <v>15</v>
      </c>
      <c r="E390" s="5" t="s">
        <v>12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144</v>
      </c>
      <c r="C391" s="6" t="str">
        <f aca="false">HYPERLINK("https://partner.tcgplayer.com/c/6278691/1780961/21018?u=https%3A%2F%2Fwww.tcgplayer.com%2Fproduct%2F610482%3Futm_source%3Dimpact%26utm_medium%3Daffiliate%26utm_campaign%3Dpoke%2Bcottage","Roto-Stick")</f>
        <v>Roto-Stick</v>
      </c>
      <c r="D391" s="5" t="s">
        <v>8</v>
      </c>
      <c r="E391" s="5" t="s">
        <v>9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144</v>
      </c>
      <c r="C392" s="6" t="str">
        <f aca="false">HYPERLINK("https://partner.tcgplayer.com/c/6278691/1780961/21018?u=https%3A%2F%2Fwww.tcgplayer.com%2Fproduct%2F610482%3Futm_source%3Dimpact%26utm_medium%3Daffiliate%26utm_campaign%3Dpoke%2Bcottage","Roto-Stick")</f>
        <v>Roto-Stick</v>
      </c>
      <c r="D392" s="5" t="s">
        <v>8</v>
      </c>
      <c r="E392" s="5" t="s">
        <v>11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144</v>
      </c>
      <c r="C393" s="6" t="str">
        <f aca="false">HYPERLINK("https://partner.tcgplayer.com/c/6278691/1780961/21018?u=https%3A%2F%2Fwww.tcgplayer.com%2Fproduct%2F610635%3Futm_source%3Dimpact%26utm_medium%3Daffiliate%26utm_campaign%3Dpoke%2Bcottage","Roto-Stick")</f>
        <v>Roto-Stick</v>
      </c>
      <c r="D393" s="5" t="s">
        <v>8</v>
      </c>
      <c r="E393" s="5" t="s">
        <v>12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145</v>
      </c>
      <c r="C394" s="6" t="str">
        <f aca="false">HYPERLINK("https://partner.tcgplayer.com/c/6278691/1780961/21018?u=https%3A%2F%2Fwww.tcgplayer.com%2Fproduct%2F610483%3Futm_source%3Dimpact%26utm_medium%3Daffiliate%26utm_campaign%3Dpoke%2Bcottage","Scoop Up Cyclone")</f>
        <v>Scoop Up Cyclone</v>
      </c>
      <c r="D394" s="5" t="s">
        <v>133</v>
      </c>
      <c r="E394" s="5" t="s">
        <v>20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146</v>
      </c>
      <c r="C395" s="6" t="str">
        <f aca="false">HYPERLINK("https://partner.tcgplayer.com/c/6278691/1780961/21018?u=https%3A%2F%2Fwww.tcgplayer.com%2Fproduct%2F610484%3Futm_source%3Dimpact%26utm_medium%3Daffiliate%26utm_campaign%3Dpoke%2Bcottage","Sparkling Crystal")</f>
        <v>Sparkling Crystal</v>
      </c>
      <c r="D395" s="5" t="s">
        <v>133</v>
      </c>
      <c r="E395" s="5" t="s">
        <v>20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147</v>
      </c>
      <c r="C396" s="6" t="str">
        <f aca="false">HYPERLINK("https://partner.tcgplayer.com/c/6278691/1780961/21018?u=https%3A%2F%2Fwww.tcgplayer.com%2Fproduct%2F610485%3Futm_source%3Dimpact%26utm_medium%3Daffiliate%26utm_campaign%3Dpoke%2Bcottage","Techno Radar")</f>
        <v>Techno Radar</v>
      </c>
      <c r="D396" s="5" t="s">
        <v>15</v>
      </c>
      <c r="E396" s="5" t="s">
        <v>9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147</v>
      </c>
      <c r="C397" s="6" t="str">
        <f aca="false">HYPERLINK("https://partner.tcgplayer.com/c/6278691/1780961/21018?u=https%3A%2F%2Fwww.tcgplayer.com%2Fproduct%2F610485%3Futm_source%3Dimpact%26utm_medium%3Daffiliate%26utm_campaign%3Dpoke%2Bcottage","Techno Radar")</f>
        <v>Techno Radar</v>
      </c>
      <c r="D397" s="5" t="s">
        <v>15</v>
      </c>
      <c r="E397" s="5" t="s">
        <v>11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147</v>
      </c>
      <c r="C398" s="6" t="str">
        <f aca="false">HYPERLINK("https://partner.tcgplayer.com/c/6278691/1780961/21018?u=https%3A%2F%2Fwww.tcgplayer.com%2Fproduct%2F610636%3Futm_source%3Dimpact%26utm_medium%3Daffiliate%26utm_campaign%3Dpoke%2Bcottage","Techno Radar")</f>
        <v>Techno Radar</v>
      </c>
      <c r="D398" s="5" t="s">
        <v>15</v>
      </c>
      <c r="E398" s="5" t="s">
        <v>12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148</v>
      </c>
      <c r="C399" s="6" t="str">
        <f aca="false">HYPERLINK("https://partner.tcgplayer.com/c/6278691/1780961/21018?u=https%3A%2F%2Fwww.tcgplayer.com%2Fproduct%2F610486%3Futm_source%3Dimpact%26utm_medium%3Daffiliate%26utm_campaign%3Dpoke%2Bcottage","Treasure Tracker")</f>
        <v>Treasure Tracker</v>
      </c>
      <c r="D399" s="5" t="s">
        <v>133</v>
      </c>
      <c r="E399" s="5" t="s">
        <v>20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149</v>
      </c>
      <c r="C400" s="6" t="str">
        <f aca="false">HYPERLINK("https://partner.tcgplayer.com/c/6278691/1780961/21018?u=https%3A%2F%2Fwww.tcgplayer.com%2Fproduct%2F610487%3Futm_source%3Dimpact%26utm_medium%3Daffiliate%26utm_campaign%3Dpoke%2Bcottage","Amarys")</f>
        <v>Amarys</v>
      </c>
      <c r="D400" s="5" t="s">
        <v>150</v>
      </c>
      <c r="E400" s="5" t="s">
        <v>20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151</v>
      </c>
      <c r="C401" s="6" t="str">
        <f aca="false">HYPERLINK("https://partner.tcgplayer.com/c/6278691/1780961/21018?u=https%3A%2F%2Fwww.tcgplayer.com%2Fproduct%2F610488%3Futm_source%3Dimpact%26utm_medium%3Daffiliate%26utm_campaign%3Dpoke%2Bcottage","Atticus")</f>
        <v>Atticus</v>
      </c>
      <c r="D401" s="5" t="s">
        <v>150</v>
      </c>
      <c r="E401" s="5" t="s">
        <v>20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152</v>
      </c>
      <c r="C402" s="6" t="str">
        <f aca="false">HYPERLINK("https://partner.tcgplayer.com/c/6278691/1780961/21018?u=https%3A%2F%2Fwww.tcgplayer.com%2Fproduct%2F610489%3Futm_source%3Dimpact%26utm_medium%3Daffiliate%26utm_campaign%3Dpoke%2Bcottage","Atticus")</f>
        <v>Atticus</v>
      </c>
      <c r="D402" s="5" t="s">
        <v>150</v>
      </c>
      <c r="E402" s="5" t="s">
        <v>20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153</v>
      </c>
      <c r="C403" s="6" t="str">
        <f aca="false">HYPERLINK("https://partner.tcgplayer.com/c/6278691/1780961/21018?u=https%3A%2F%2Fwww.tcgplayer.com%2Fproduct%2F610490%3Futm_source%3Dimpact%26utm_medium%3Daffiliate%26utm_campaign%3Dpoke%2Bcottage","Brassius")</f>
        <v>Brassius</v>
      </c>
      <c r="D403" s="5" t="s">
        <v>150</v>
      </c>
      <c r="E403" s="5" t="s">
        <v>20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154</v>
      </c>
      <c r="C404" s="6" t="str">
        <f aca="false">HYPERLINK("https://partner.tcgplayer.com/c/6278691/1780961/21018?u=https%3A%2F%2Fwww.tcgplayer.com%2Fproduct%2F610491%3Futm_source%3Dimpact%26utm_medium%3Daffiliate%26utm_campaign%3Dpoke%2Bcottage","Eri")</f>
        <v>Eri</v>
      </c>
      <c r="D404" s="5" t="s">
        <v>150</v>
      </c>
      <c r="E404" s="5" t="s">
        <v>20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155</v>
      </c>
      <c r="C405" s="6" t="str">
        <f aca="false">HYPERLINK("https://partner.tcgplayer.com/c/6278691/1780961/21018?u=https%3A%2F%2Fwww.tcgplayer.com%2Fproduct%2F610492%3Futm_source%3Dimpact%26utm_medium%3Daffiliate%26utm_campaign%3Dpoke%2Bcottage","Friends in Paldea")</f>
        <v>Friends in Paldea</v>
      </c>
      <c r="D405" s="5" t="s">
        <v>150</v>
      </c>
      <c r="E405" s="5" t="s">
        <v>20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156</v>
      </c>
      <c r="C406" s="6" t="str">
        <f aca="false">HYPERLINK("https://partner.tcgplayer.com/c/6278691/1780961/21018?u=https%3A%2F%2Fwww.tcgplayer.com%2Fproduct%2F610493%3Futm_source%3Dimpact%26utm_medium%3Daffiliate%26utm_campaign%3Dpoke%2Bcottage","Giacomo")</f>
        <v>Giacomo</v>
      </c>
      <c r="D406" s="5" t="s">
        <v>150</v>
      </c>
      <c r="E406" s="5" t="s">
        <v>20</v>
      </c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157</v>
      </c>
      <c r="C407" s="6" t="str">
        <f aca="false">HYPERLINK("https://partner.tcgplayer.com/c/6278691/1780961/21018?u=https%3A%2F%2Fwww.tcgplayer.com%2Fproduct%2F610494%3Futm_source%3Dimpact%26utm_medium%3Daffiliate%26utm_campaign%3Dpoke%2Bcottage","Larry's Skill")</f>
        <v>Larry's Skill</v>
      </c>
      <c r="D407" s="5" t="s">
        <v>150</v>
      </c>
      <c r="E407" s="5" t="s">
        <v>20</v>
      </c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158</v>
      </c>
      <c r="C408" s="6" t="str">
        <f aca="false">HYPERLINK("https://partner.tcgplayer.com/c/6278691/1780961/21018?u=https%3A%2F%2Fwww.tcgplayer.com%2Fproduct%2F610495%3Futm_source%3Dimpact%26utm_medium%3Daffiliate%26utm_campaign%3Dpoke%2Bcottage","Mela")</f>
        <v>Mela</v>
      </c>
      <c r="D408" s="5" t="s">
        <v>150</v>
      </c>
      <c r="E408" s="5" t="s">
        <v>20</v>
      </c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159</v>
      </c>
      <c r="C409" s="6" t="str">
        <f aca="false">HYPERLINK("https://partner.tcgplayer.com/c/6278691/1780961/21018?u=https%3A%2F%2Fwww.tcgplayer.com%2Fproduct%2F610496%3Futm_source%3Dimpact%26utm_medium%3Daffiliate%26utm_campaign%3Dpoke%2Bcottage","Ortega")</f>
        <v>Ortega</v>
      </c>
      <c r="D409" s="5" t="s">
        <v>150</v>
      </c>
      <c r="E409" s="5" t="s">
        <v>20</v>
      </c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160</v>
      </c>
      <c r="C410" s="6" t="str">
        <f aca="false">HYPERLINK("https://partner.tcgplayer.com/c/6278691/1780961/21018?u=https%3A%2F%2Fwww.tcgplayer.com%2Fproduct%2F610497%3Futm_source%3Dimpact%26utm_medium%3Daffiliate%26utm_campaign%3Dpoke%2Bcottage","Raifort")</f>
        <v>Raifort</v>
      </c>
      <c r="D410" s="5" t="s">
        <v>150</v>
      </c>
      <c r="E410" s="5" t="s">
        <v>20</v>
      </c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161</v>
      </c>
      <c r="C411" s="6" t="str">
        <f aca="false">HYPERLINK("https://partner.tcgplayer.com/c/6278691/1780961/21018?u=https%3A%2F%2Fwww.tcgplayer.com%2Fproduct%2F610498%3Futm_source%3Dimpact%26utm_medium%3Daffiliate%26utm_campaign%3Dpoke%2Bcottage","Tyme")</f>
        <v>Tyme</v>
      </c>
      <c r="D411" s="5" t="s">
        <v>150</v>
      </c>
      <c r="E411" s="5" t="s">
        <v>20</v>
      </c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162</v>
      </c>
      <c r="C412" s="6" t="str">
        <f aca="false">HYPERLINK("https://partner.tcgplayer.com/c/6278691/1780961/21018?u=https%3A%2F%2Fwww.tcgplayer.com%2Fproduct%2F610499%3Futm_source%3Dimpact%26utm_medium%3Daffiliate%26utm_campaign%3Dpoke%2Bcottage","Leafeon ex")</f>
        <v>Leafeon ex</v>
      </c>
      <c r="D412" s="5" t="s">
        <v>163</v>
      </c>
      <c r="E412" s="5" t="s">
        <v>20</v>
      </c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164</v>
      </c>
      <c r="C413" s="6" t="str">
        <f aca="false">HYPERLINK("https://partner.tcgplayer.com/c/6278691/1780961/21018?u=https%3A%2F%2Fwww.tcgplayer.com%2Fproduct%2F610500%3Futm_source%3Dimpact%26utm_medium%3Daffiliate%26utm_campaign%3Dpoke%2Bcottage","Teal Mask Ogerpon ex")</f>
        <v>Teal Mask Ogerpon ex</v>
      </c>
      <c r="D413" s="5" t="s">
        <v>163</v>
      </c>
      <c r="E413" s="5" t="s">
        <v>20</v>
      </c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165</v>
      </c>
      <c r="C414" s="6" t="str">
        <f aca="false">HYPERLINK("https://partner.tcgplayer.com/c/6278691/1780961/21018?u=https%3A%2F%2Fwww.tcgplayer.com%2Fproduct%2F610501%3Futm_source%3Dimpact%26utm_medium%3Daffiliate%26utm_campaign%3Dpoke%2Bcottage","Flareon ex")</f>
        <v>Flareon ex</v>
      </c>
      <c r="D414" s="5" t="s">
        <v>163</v>
      </c>
      <c r="E414" s="5" t="s">
        <v>20</v>
      </c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166</v>
      </c>
      <c r="C415" s="6" t="str">
        <f aca="false">HYPERLINK("https://partner.tcgplayer.com/c/6278691/1780961/21018?u=https%3A%2F%2Fwww.tcgplayer.com%2Fproduct%2F610502%3Futm_source%3Dimpact%26utm_medium%3Daffiliate%26utm_campaign%3Dpoke%2Bcottage","Ceruledge ex")</f>
        <v>Ceruledge ex</v>
      </c>
      <c r="D415" s="5" t="s">
        <v>163</v>
      </c>
      <c r="E415" s="5" t="s">
        <v>20</v>
      </c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167</v>
      </c>
      <c r="C416" s="6" t="str">
        <f aca="false">HYPERLINK("https://partner.tcgplayer.com/c/6278691/1780961/21018?u=https%3A%2F%2Fwww.tcgplayer.com%2Fproduct%2F610503%3Futm_source%3Dimpact%26utm_medium%3Daffiliate%26utm_campaign%3Dpoke%2Bcottage","Hearthflame Mask Ogerpon ex")</f>
        <v>Hearthflame Mask Ogerpon ex</v>
      </c>
      <c r="D416" s="5" t="s">
        <v>163</v>
      </c>
      <c r="E416" s="5" t="s">
        <v>20</v>
      </c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168</v>
      </c>
      <c r="C417" s="6" t="str">
        <f aca="false">HYPERLINK("https://partner.tcgplayer.com/c/6278691/1780961/21018?u=https%3A%2F%2Fwww.tcgplayer.com%2Fproduct%2F610504%3Futm_source%3Dimpact%26utm_medium%3Daffiliate%26utm_campaign%3Dpoke%2Bcottage","Vaporeon ex")</f>
        <v>Vaporeon ex</v>
      </c>
      <c r="D417" s="5" t="s">
        <v>163</v>
      </c>
      <c r="E417" s="5" t="s">
        <v>20</v>
      </c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169</v>
      </c>
      <c r="C418" s="6" t="str">
        <f aca="false">HYPERLINK("https://partner.tcgplayer.com/c/6278691/1780961/21018?u=https%3A%2F%2Fwww.tcgplayer.com%2Fproduct%2F610505%3Futm_source%3Dimpact%26utm_medium%3Daffiliate%26utm_campaign%3Dpoke%2Bcottage","Glaceon ex")</f>
        <v>Glaceon ex</v>
      </c>
      <c r="D418" s="5" t="s">
        <v>163</v>
      </c>
      <c r="E418" s="5" t="s">
        <v>20</v>
      </c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170</v>
      </c>
      <c r="C419" s="6" t="str">
        <f aca="false">HYPERLINK("https://partner.tcgplayer.com/c/6278691/1780961/21018?u=https%3A%2F%2Fwww.tcgplayer.com%2Fproduct%2F610506%3Futm_source%3Dimpact%26utm_medium%3Daffiliate%26utm_campaign%3Dpoke%2Bcottage","Palafin ex")</f>
        <v>Palafin ex</v>
      </c>
      <c r="D419" s="5" t="s">
        <v>163</v>
      </c>
      <c r="E419" s="5" t="s">
        <v>20</v>
      </c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171</v>
      </c>
      <c r="C420" s="6" t="str">
        <f aca="false">HYPERLINK("https://partner.tcgplayer.com/c/6278691/1780961/21018?u=https%3A%2F%2Fwww.tcgplayer.com%2Fproduct%2F610507%3Futm_source%3Dimpact%26utm_medium%3Daffiliate%26utm_campaign%3Dpoke%2Bcottage","Wellspring Mask Ogerpon ex")</f>
        <v>Wellspring Mask Ogerpon ex</v>
      </c>
      <c r="D420" s="5" t="s">
        <v>163</v>
      </c>
      <c r="E420" s="5" t="s">
        <v>20</v>
      </c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172</v>
      </c>
      <c r="C421" s="6" t="str">
        <f aca="false">HYPERLINK("https://partner.tcgplayer.com/c/6278691/1780961/21018?u=https%3A%2F%2Fwww.tcgplayer.com%2Fproduct%2F610508%3Futm_source%3Dimpact%26utm_medium%3Daffiliate%26utm_campaign%3Dpoke%2Bcottage","Jolteon ex")</f>
        <v>Jolteon ex</v>
      </c>
      <c r="D421" s="5" t="s">
        <v>163</v>
      </c>
      <c r="E421" s="5" t="s">
        <v>20</v>
      </c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173</v>
      </c>
      <c r="C422" s="6" t="str">
        <f aca="false">HYPERLINK("https://partner.tcgplayer.com/c/6278691/1780961/21018?u=https%3A%2F%2Fwww.tcgplayer.com%2Fproduct%2F610509%3Futm_source%3Dimpact%26utm_medium%3Daffiliate%26utm_campaign%3Dpoke%2Bcottage","Iron Hands ex")</f>
        <v>Iron Hands ex</v>
      </c>
      <c r="D422" s="5" t="s">
        <v>163</v>
      </c>
      <c r="E422" s="5" t="s">
        <v>20</v>
      </c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174</v>
      </c>
      <c r="C423" s="6" t="str">
        <f aca="false">HYPERLINK("https://partner.tcgplayer.com/c/6278691/1780961/21018?u=https%3A%2F%2Fwww.tcgplayer.com%2Fproduct%2F610510%3Futm_source%3Dimpact%26utm_medium%3Daffiliate%26utm_campaign%3Dpoke%2Bcottage","Espeon ex")</f>
        <v>Espeon ex</v>
      </c>
      <c r="D423" s="5" t="s">
        <v>163</v>
      </c>
      <c r="E423" s="5" t="s">
        <v>20</v>
      </c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175</v>
      </c>
      <c r="C424" s="6" t="str">
        <f aca="false">HYPERLINK("https://partner.tcgplayer.com/c/6278691/1780961/21018?u=https%3A%2F%2Fwww.tcgplayer.com%2Fproduct%2F610511%3Futm_source%3Dimpact%26utm_medium%3Daffiliate%26utm_campaign%3Dpoke%2Bcottage","Sylveon ex")</f>
        <v>Sylveon ex</v>
      </c>
      <c r="D424" s="5" t="s">
        <v>163</v>
      </c>
      <c r="E424" s="5" t="s">
        <v>20</v>
      </c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176</v>
      </c>
      <c r="C425" s="6" t="str">
        <f aca="false">HYPERLINK("https://partner.tcgplayer.com/c/6278691/1780961/21018?u=https%3A%2F%2Fwww.tcgplayer.com%2Fproduct%2F610512%3Futm_source%3Dimpact%26utm_medium%3Daffiliate%26utm_campaign%3Dpoke%2Bcottage","Iron Valiant ex")</f>
        <v>Iron Valiant ex</v>
      </c>
      <c r="D425" s="5" t="s">
        <v>163</v>
      </c>
      <c r="E425" s="5" t="s">
        <v>20</v>
      </c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177</v>
      </c>
      <c r="C426" s="6" t="str">
        <f aca="false">HYPERLINK("https://partner.tcgplayer.com/c/6278691/1780961/21018?u=https%3A%2F%2Fwww.tcgplayer.com%2Fproduct%2F610513%3Futm_source%3Dimpact%26utm_medium%3Daffiliate%26utm_campaign%3Dpoke%2Bcottage","Iron Crown ex")</f>
        <v>Iron Crown ex</v>
      </c>
      <c r="D426" s="5" t="s">
        <v>163</v>
      </c>
      <c r="E426" s="5" t="s">
        <v>20</v>
      </c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178</v>
      </c>
      <c r="C427" s="6" t="str">
        <f aca="false">HYPERLINK("https://partner.tcgplayer.com/c/6278691/1780961/21018?u=https%3A%2F%2Fwww.tcgplayer.com%2Fproduct%2F610514%3Futm_source%3Dimpact%26utm_medium%3Daffiliate%26utm_campaign%3Dpoke%2Bcottage","Sandy Shocks ex")</f>
        <v>Sandy Shocks ex</v>
      </c>
      <c r="D427" s="5" t="s">
        <v>163</v>
      </c>
      <c r="E427" s="5" t="s">
        <v>20</v>
      </c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179</v>
      </c>
      <c r="C428" s="6" t="str">
        <f aca="false">HYPERLINK("https://partner.tcgplayer.com/c/6278691/1780961/21018?u=https%3A%2F%2Fwww.tcgplayer.com%2Fproduct%2F610515%3Futm_source%3Dimpact%26utm_medium%3Daffiliate%26utm_campaign%3Dpoke%2Bcottage","Cornerstone Mask Ogerpon ex")</f>
        <v>Cornerstone Mask Ogerpon ex</v>
      </c>
      <c r="D428" s="5" t="s">
        <v>163</v>
      </c>
      <c r="E428" s="5" t="s">
        <v>20</v>
      </c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180</v>
      </c>
      <c r="C429" s="6" t="str">
        <f aca="false">HYPERLINK("https://partner.tcgplayer.com/c/6278691/1780961/21018?u=https%3A%2F%2Fwww.tcgplayer.com%2Fproduct%2F610516%3Futm_source%3Dimpact%26utm_medium%3Daffiliate%26utm_campaign%3Dpoke%2Bcottage","Umbreon ex")</f>
        <v>Umbreon ex</v>
      </c>
      <c r="D429" s="5" t="s">
        <v>163</v>
      </c>
      <c r="E429" s="5" t="s">
        <v>20</v>
      </c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181</v>
      </c>
      <c r="C430" s="6" t="str">
        <f aca="false">HYPERLINK("https://partner.tcgplayer.com/c/6278691/1780961/21018?u=https%3A%2F%2Fwww.tcgplayer.com%2Fproduct%2F610517%3Futm_source%3Dimpact%26utm_medium%3Daffiliate%26utm_campaign%3Dpoke%2Bcottage","Roaring Moon ex")</f>
        <v>Roaring Moon ex</v>
      </c>
      <c r="D430" s="5" t="s">
        <v>163</v>
      </c>
      <c r="E430" s="5" t="s">
        <v>20</v>
      </c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182</v>
      </c>
      <c r="C431" s="6" t="str">
        <f aca="false">HYPERLINK("https://partner.tcgplayer.com/c/6278691/1780961/21018?u=https%3A%2F%2Fwww.tcgplayer.com%2Fproduct%2F610518%3Futm_source%3Dimpact%26utm_medium%3Daffiliate%26utm_campaign%3Dpoke%2Bcottage","Pecharunt ex")</f>
        <v>Pecharunt ex</v>
      </c>
      <c r="D431" s="5" t="s">
        <v>163</v>
      </c>
      <c r="E431" s="5" t="s">
        <v>20</v>
      </c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183</v>
      </c>
      <c r="C432" s="6" t="str">
        <f aca="false">HYPERLINK("https://partner.tcgplayer.com/c/6278691/1780961/21018?u=https%3A%2F%2Fwww.tcgplayer.com%2Fproduct%2F610519%3Futm_source%3Dimpact%26utm_medium%3Daffiliate%26utm_campaign%3Dpoke%2Bcottage","Gholdengo ex")</f>
        <v>Gholdengo ex</v>
      </c>
      <c r="D432" s="5" t="s">
        <v>163</v>
      </c>
      <c r="E432" s="5" t="s">
        <v>20</v>
      </c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184</v>
      </c>
      <c r="C433" s="6" t="str">
        <f aca="false">HYPERLINK("https://partner.tcgplayer.com/c/6278691/1780961/21018?u=https%3A%2F%2Fwww.tcgplayer.com%2Fproduct%2F610520%3Futm_source%3Dimpact%26utm_medium%3Daffiliate%26utm_campaign%3Dpoke%2Bcottage","Dragapult ex")</f>
        <v>Dragapult ex</v>
      </c>
      <c r="D433" s="5" t="s">
        <v>163</v>
      </c>
      <c r="E433" s="5" t="s">
        <v>20</v>
      </c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185</v>
      </c>
      <c r="C434" s="6" t="str">
        <f aca="false">HYPERLINK("https://partner.tcgplayer.com/c/6278691/1780961/21018?u=https%3A%2F%2Fwww.tcgplayer.com%2Fproduct%2F610521%3Futm_source%3Dimpact%26utm_medium%3Daffiliate%26utm_campaign%3Dpoke%2Bcottage","Raging Bolt ex")</f>
        <v>Raging Bolt ex</v>
      </c>
      <c r="D434" s="5" t="s">
        <v>163</v>
      </c>
      <c r="E434" s="5" t="s">
        <v>20</v>
      </c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186</v>
      </c>
      <c r="C435" s="6" t="str">
        <f aca="false">HYPERLINK("https://partner.tcgplayer.com/c/6278691/1780961/21018?u=https%3A%2F%2Fwww.tcgplayer.com%2Fproduct%2F610522%3Futm_source%3Dimpact%26utm_medium%3Daffiliate%26utm_campaign%3Dpoke%2Bcottage","Eevee ex")</f>
        <v>Eevee ex</v>
      </c>
      <c r="D435" s="5" t="s">
        <v>163</v>
      </c>
      <c r="E435" s="5" t="s">
        <v>20</v>
      </c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187</v>
      </c>
      <c r="C436" s="6" t="str">
        <f aca="false">HYPERLINK("https://partner.tcgplayer.com/c/6278691/1780961/21018?u=https%3A%2F%2Fwww.tcgplayer.com%2Fproduct%2F610523%3Futm_source%3Dimpact%26utm_medium%3Daffiliate%26utm_campaign%3Dpoke%2Bcottage","Bloodmoon Ursaluna ex")</f>
        <v>Bloodmoon Ursaluna ex</v>
      </c>
      <c r="D436" s="5" t="s">
        <v>163</v>
      </c>
      <c r="E436" s="5" t="s">
        <v>20</v>
      </c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188</v>
      </c>
      <c r="C437" s="6" t="str">
        <f aca="false">HYPERLINK("https://partner.tcgplayer.com/c/6278691/1780961/21018?u=https%3A%2F%2Fwww.tcgplayer.com%2Fproduct%2F610524%3Futm_source%3Dimpact%26utm_medium%3Daffiliate%26utm_campaign%3Dpoke%2Bcottage","Terapagos ex")</f>
        <v>Terapagos ex</v>
      </c>
      <c r="D437" s="5" t="s">
        <v>163</v>
      </c>
      <c r="E437" s="5" t="s">
        <v>20</v>
      </c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189</v>
      </c>
      <c r="C438" s="6" t="str">
        <f aca="false">HYPERLINK("https://partner.tcgplayer.com/c/6278691/1780961/21018?u=https%3A%2F%2Fwww.tcgplayer.com%2Fproduct%2F610525%3Futm_source%3Dimpact%26utm_medium%3Daffiliate%26utm_campaign%3Dpoke%2Bcottage","Amarys")</f>
        <v>Amarys</v>
      </c>
      <c r="D438" s="5" t="s">
        <v>163</v>
      </c>
      <c r="E438" s="5" t="s">
        <v>20</v>
      </c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190</v>
      </c>
      <c r="C439" s="6" t="str">
        <f aca="false">HYPERLINK("https://partner.tcgplayer.com/c/6278691/1780961/21018?u=https%3A%2F%2Fwww.tcgplayer.com%2Fproduct%2F610526%3Futm_source%3Dimpact%26utm_medium%3Daffiliate%26utm_campaign%3Dpoke%2Bcottage","Crispin")</f>
        <v>Crispin</v>
      </c>
      <c r="D439" s="5" t="s">
        <v>163</v>
      </c>
      <c r="E439" s="5" t="s">
        <v>20</v>
      </c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191</v>
      </c>
      <c r="C440" s="6" t="str">
        <f aca="false">HYPERLINK("https://partner.tcgplayer.com/c/6278691/1780961/21018?u=https%3A%2F%2Fwww.tcgplayer.com%2Fproduct%2F610527%3Futm_source%3Dimpact%26utm_medium%3Daffiliate%26utm_campaign%3Dpoke%2Bcottage","Drayton")</f>
        <v>Drayton</v>
      </c>
      <c r="D440" s="5" t="s">
        <v>163</v>
      </c>
      <c r="E440" s="5" t="s">
        <v>20</v>
      </c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192</v>
      </c>
      <c r="C441" s="6" t="str">
        <f aca="false">HYPERLINK("https://partner.tcgplayer.com/c/6278691/1780961/21018?u=https%3A%2F%2Fwww.tcgplayer.com%2Fproduct%2F610528%3Futm_source%3Dimpact%26utm_medium%3Daffiliate%26utm_campaign%3Dpoke%2Bcottage","Janine's Secret Art")</f>
        <v>Janine's Secret Art</v>
      </c>
      <c r="D441" s="5" t="s">
        <v>163</v>
      </c>
      <c r="E441" s="5" t="s">
        <v>20</v>
      </c>
      <c r="F441" s="5"/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193</v>
      </c>
      <c r="C442" s="6" t="str">
        <f aca="false">HYPERLINK("https://partner.tcgplayer.com/c/6278691/1780961/21018?u=https%3A%2F%2Fwww.tcgplayer.com%2Fproduct%2F610529%3Futm_source%3Dimpact%26utm_medium%3Daffiliate%26utm_campaign%3Dpoke%2Bcottage","Kieran")</f>
        <v>Kieran</v>
      </c>
      <c r="D442" s="5" t="s">
        <v>163</v>
      </c>
      <c r="E442" s="5" t="s">
        <v>20</v>
      </c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194</v>
      </c>
      <c r="C443" s="6" t="str">
        <f aca="false">HYPERLINK("https://partner.tcgplayer.com/c/6278691/1780961/21018?u=https%3A%2F%2Fwww.tcgplayer.com%2Fproduct%2F610530%3Futm_source%3Dimpact%26utm_medium%3Daffiliate%26utm_campaign%3Dpoke%2Bcottage","Lacey")</f>
        <v>Lacey</v>
      </c>
      <c r="D443" s="5" t="s">
        <v>163</v>
      </c>
      <c r="E443" s="5" t="s">
        <v>20</v>
      </c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195</v>
      </c>
      <c r="C444" s="6" t="str">
        <f aca="false">HYPERLINK("https://partner.tcgplayer.com/c/6278691/1780961/21018?u=https%3A%2F%2Fwww.tcgplayer.com%2Fproduct%2F610531%3Futm_source%3Dimpact%26utm_medium%3Daffiliate%26utm_campaign%3Dpoke%2Bcottage","Iron Leaves ex")</f>
        <v>Iron Leaves ex</v>
      </c>
      <c r="D444" s="5" t="s">
        <v>196</v>
      </c>
      <c r="E444" s="5" t="s">
        <v>20</v>
      </c>
      <c r="F444" s="5"/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197</v>
      </c>
      <c r="C445" s="6" t="str">
        <f aca="false">HYPERLINK("https://partner.tcgplayer.com/c/6278691/1780961/21018?u=https%3A%2F%2Fwww.tcgplayer.com%2Fproduct%2F610532%3Futm_source%3Dimpact%26utm_medium%3Daffiliate%26utm_campaign%3Dpoke%2Bcottage","Teal Mask Ogerpon ex")</f>
        <v>Teal Mask Ogerpon ex</v>
      </c>
      <c r="D445" s="5" t="s">
        <v>196</v>
      </c>
      <c r="E445" s="5" t="s">
        <v>20</v>
      </c>
      <c r="F445" s="5"/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198</v>
      </c>
      <c r="C446" s="6" t="str">
        <f aca="false">HYPERLINK("https://partner.tcgplayer.com/c/6278691/1780961/21018?u=https%3A%2F%2Fwww.tcgplayer.com%2Fproduct%2F610533%3Futm_source%3Dimpact%26utm_medium%3Daffiliate%26utm_campaign%3Dpoke%2Bcottage","Walking Wake ex")</f>
        <v>Walking Wake ex</v>
      </c>
      <c r="D446" s="5" t="s">
        <v>196</v>
      </c>
      <c r="E446" s="5" t="s">
        <v>20</v>
      </c>
      <c r="F446" s="5"/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199</v>
      </c>
      <c r="C447" s="6" t="str">
        <f aca="false">HYPERLINK("https://partner.tcgplayer.com/c/6278691/1780961/21018?u=https%3A%2F%2Fwww.tcgplayer.com%2Fproduct%2F610534%3Futm_source%3Dimpact%26utm_medium%3Daffiliate%26utm_campaign%3Dpoke%2Bcottage","Pikachu ex")</f>
        <v>Pikachu ex</v>
      </c>
      <c r="D447" s="5" t="s">
        <v>196</v>
      </c>
      <c r="E447" s="5" t="s">
        <v>20</v>
      </c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200</v>
      </c>
      <c r="C448" s="6" t="str">
        <f aca="false">HYPERLINK("https://partner.tcgplayer.com/c/6278691/1780961/21018?u=https%3A%2F%2Fwww.tcgplayer.com%2Fproduct%2F610535%3Futm_source%3Dimpact%26utm_medium%3Daffiliate%26utm_campaign%3Dpoke%2Bcottage","Terapagos ex")</f>
        <v>Terapagos ex</v>
      </c>
      <c r="D448" s="5" t="s">
        <v>196</v>
      </c>
      <c r="E448" s="5" t="s">
        <v>20</v>
      </c>
      <c r="F448" s="5"/>
      <c r="G448" s="5"/>
      <c r="H448" s="7"/>
    </row>
    <row r="449" customFormat="false" ht="32" hidden="false" customHeight="true" outlineLevel="0" collapsed="false">
      <c r="A449" s="1" t="s">
        <v>201</v>
      </c>
      <c r="B449" s="1"/>
      <c r="C449" s="1"/>
      <c r="D449" s="1"/>
      <c r="E449" s="1"/>
      <c r="F449" s="1"/>
      <c r="G449" s="1"/>
      <c r="H449" s="1"/>
    </row>
    <row r="450" customFormat="false" ht="30" hidden="false" customHeight="true" outlineLevel="0" collapsed="false">
      <c r="A450" s="4" t="s">
        <v>6</v>
      </c>
      <c r="B450" s="5" t="s">
        <v>202</v>
      </c>
      <c r="C450" s="6" t="str">
        <f aca="false">HYPERLINK("https://partner.tcgplayer.com/c/6278691/1780961/21018?u=https%3A%2F%2Fwww.tcgplayer.com%2Fproduct%2F611826%3Futm_source%3Dimpact%26utm_medium%3Daffiliate%26utm_campaign%3Dpoke%2Bcottage","Flareon")</f>
        <v>Flareon</v>
      </c>
      <c r="D450" s="5" t="s">
        <v>203</v>
      </c>
      <c r="E450" s="5"/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204</v>
      </c>
      <c r="C451" s="6" t="str">
        <f aca="false">HYPERLINK("https://partner.tcgplayer.com/c/6278691/1780961/21018?u=https%3A%2F%2Fwww.tcgplayer.com%2Fproduct%2F611827%3Futm_source%3Dimpact%26utm_medium%3Daffiliate%26utm_campaign%3Dpoke%2Bcottage","Vaporeon")</f>
        <v>Vaporeon</v>
      </c>
      <c r="D451" s="5" t="s">
        <v>203</v>
      </c>
      <c r="E451" s="5"/>
      <c r="F451" s="5"/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205</v>
      </c>
      <c r="C452" s="6" t="str">
        <f aca="false">HYPERLINK("https://partner.tcgplayer.com/c/6278691/1780961/21018?u=https%3A%2F%2Fwww.tcgplayer.com%2Fproduct%2F653353%3Futm_source%3Dimpact%26utm_medium%3Daffiliate%26utm_campaign%3Dpoke%2Bcottage","Jolteon")</f>
        <v>Jolteon</v>
      </c>
      <c r="D452" s="5" t="s">
        <v>203</v>
      </c>
      <c r="E452" s="5"/>
      <c r="F452" s="5"/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206</v>
      </c>
      <c r="C453" s="6" t="str">
        <f aca="false">HYPERLINK("https://partner.tcgplayer.com/c/6278691/1780961/21018?u=https%3A%2F%2Fwww.tcgplayer.com%2Fproduct%2F611829%3Futm_source%3Dimpact%26utm_medium%3Daffiliate%26utm_campaign%3Dpoke%2Bcottage","Leafeon")</f>
        <v>Leafeon</v>
      </c>
      <c r="D453" s="5" t="s">
        <v>207</v>
      </c>
      <c r="E453" s="5"/>
      <c r="F453" s="5"/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208</v>
      </c>
      <c r="C454" s="6" t="str">
        <f aca="false">HYPERLINK("https://partner.tcgplayer.com/c/6278691/1780961/21018?u=https%3A%2F%2Fwww.tcgplayer.com%2Fproduct%2F611830%3Futm_source%3Dimpact%26utm_medium%3Daffiliate%26utm_campaign%3Dpoke%2Bcottage","Glaceon")</f>
        <v>Glaceon</v>
      </c>
      <c r="D454" s="5" t="s">
        <v>207</v>
      </c>
      <c r="E454" s="5"/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209</v>
      </c>
      <c r="C455" s="6" t="str">
        <f aca="false">HYPERLINK("https://partner.tcgplayer.com/c/6278691/1780961/21018?u=https%3A%2F%2Fwww.tcgplayer.com%2Fproduct%2F611831%3Futm_source%3Dimpact%26utm_medium%3Daffiliate%26utm_campaign%3Dpoke%2Bcottage","Sylveon")</f>
        <v>Sylveon</v>
      </c>
      <c r="D455" s="5" t="s">
        <v>207</v>
      </c>
      <c r="E455" s="5"/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210</v>
      </c>
      <c r="C456" s="6" t="str">
        <f aca="false">HYPERLINK("https://partner.tcgplayer.com/c/6278691/1780961/21018?u=https%3A%2F%2Fwww.tcgplayer.com%2Fproduct%2F610758%3Futm_source%3Dimpact%26utm_medium%3Daffiliate%26utm_campaign%3Dpoke%2Bcottage","Eevee")</f>
        <v>Eevee</v>
      </c>
      <c r="D456" s="5" t="s">
        <v>211</v>
      </c>
      <c r="E456" s="5"/>
      <c r="F456" s="5"/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210</v>
      </c>
      <c r="C457" s="6" t="str">
        <f aca="false">HYPERLINK("https://partner.tcgplayer.com/c/6278691/1780961/21018?u=https%3A%2F%2Fwww.tcgplayer.com%2Fproduct%2F610757%3Futm_source%3Dimpact%26utm_medium%3Daffiliate%26utm_campaign%3Dpoke%2Bcottage","Eevee - Pokemon Center Stamp")</f>
        <v>Eevee - Pokemon Center Stamp</v>
      </c>
      <c r="D457" s="5" t="s">
        <v>212</v>
      </c>
      <c r="E457" s="5"/>
      <c r="F457" s="5"/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213</v>
      </c>
      <c r="C458" s="6" t="str">
        <f aca="false">HYPERLINK("https://partner.tcgplayer.com/c/6278691/1780961/21018?u=https%3A%2F%2Fwww.tcgplayer.com%2Fproduct%2F632083%3Futm_source%3Dimpact%26utm_medium%3Daffiliate%26utm_campaign%3Dpoke%2Bcottage","Eevee ex")</f>
        <v>Eevee ex</v>
      </c>
      <c r="D458" s="5" t="s">
        <v>214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215</v>
      </c>
      <c r="C459" s="6" t="str">
        <f aca="false">HYPERLINK("https://partner.tcgplayer.com/c/6278691/1780961/21018?u=https%3A%2F%2Fwww.tcgplayer.com%2Fproduct%2F655095%3Futm_source%3Dimpact%26utm_medium%3Daffiliate%26utm_campaign%3Dpoke%2Bcottage","Espeon ex")</f>
        <v>Espeon ex</v>
      </c>
      <c r="D459" s="5" t="s">
        <v>216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217</v>
      </c>
      <c r="C460" s="6" t="str">
        <f aca="false">HYPERLINK("https://partner.tcgplayer.com/c/6278691/1780961/21018?u=https%3A%2F%2Fwww.tcgplayer.com%2Fproduct%2F655094%3Futm_source%3Dimpact%26utm_medium%3Daffiliate%26utm_campaign%3Dpoke%2Bcottage","Umbreon ex")</f>
        <v>Umbreon ex</v>
      </c>
      <c r="D460" s="5" t="s">
        <v>216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17</v>
      </c>
      <c r="C461" s="5" t="s">
        <v>218</v>
      </c>
      <c r="D461" s="5" t="s">
        <v>219</v>
      </c>
      <c r="E461" s="5"/>
      <c r="F461" s="5" t="str">
        <f aca="false">HYPERLINK("https://www.ebay.com/sch/i.html?_nkw=Budew+Play%21+Pokemon+Cosmos+Holo+Prismatic+Evolutions+4+pokemon+card&amp;_sacat=0&amp;_from=R40&amp;_trksid=p4624852.m570.l1313&amp;mkcid=1&amp;mkrid=711-53200-19255-0&amp;siteid=0&amp;campid=5339158445&amp;customid=pokecottage&amp;toolid=10001&amp;mkevt=1","FIND ON EBAY")</f>
        <v>FIND ON EBAY</v>
      </c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17</v>
      </c>
      <c r="C462" s="5" t="s">
        <v>218</v>
      </c>
      <c r="D462" s="5" t="s">
        <v>220</v>
      </c>
      <c r="E462" s="5"/>
      <c r="F462" s="5" t="str">
        <f aca="false">HYPERLINK("https://www.ebay.com/sch/i.html?_nkw=Budew+Play%21+Pokemon+Prismatic+Evolutions+4+pokemon+card&amp;_sacat=0&amp;_from=R40&amp;_trksid=p4624852.m570.l1313&amp;mkcid=1&amp;mkrid=711-53200-19255-0&amp;siteid=0&amp;campid=5339158445&amp;customid=pokecottage&amp;toolid=10001&amp;mkevt=1","FIND ON EBAY")</f>
        <v>FIND ON EBAY</v>
      </c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17</v>
      </c>
      <c r="C463" s="5" t="s">
        <v>218</v>
      </c>
      <c r="D463" s="5" t="s">
        <v>221</v>
      </c>
      <c r="E463" s="5"/>
      <c r="F463" s="5" t="str">
        <f aca="false">HYPERLINK("https://www.ebay.com/sch/i.html?_nkw=Budew+Pokemon+TCG+Gym+Prismatic+Evolutions+4+pokemon+card&amp;_sacat=0&amp;_from=R40&amp;_trksid=p4624852.m570.l1313&amp;mkcid=1&amp;mkrid=711-53200-19255-0&amp;siteid=0&amp;campid=5339158445&amp;customid=pokecottage&amp;toolid=10001&amp;mkevt=1","FIND ON EBAY")</f>
        <v>FIND ON EBAY</v>
      </c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17</v>
      </c>
      <c r="C464" s="5" t="s">
        <v>218</v>
      </c>
      <c r="D464" s="5" t="s">
        <v>222</v>
      </c>
      <c r="E464" s="5"/>
      <c r="F464" s="5" t="str">
        <f aca="false">HYPERLINK("https://www.ebay.com/sch/i.html?_nkw=Budew+Premier+Ball+League+Prismatic+Evolutions+4+pokemon+card&amp;_sacat=0&amp;_from=R40&amp;_trksid=p4624852.m570.l1313&amp;mkcid=1&amp;mkrid=711-53200-19255-0&amp;siteid=0&amp;campid=5339158445&amp;customid=pokecottage&amp;toolid=10001&amp;mkevt=1","FIND ON EBAY")</f>
        <v>FIND ON EBAY</v>
      </c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17</v>
      </c>
      <c r="C465" s="5" t="s">
        <v>218</v>
      </c>
      <c r="D465" s="5" t="s">
        <v>223</v>
      </c>
      <c r="E465" s="5"/>
      <c r="F465" s="5" t="str">
        <f aca="false">HYPERLINK("https://www.ebay.com/sch/i.html?_nkw=Budew+Premier+Ball+League+Judge+Prismatic+Evolutions+4+pokemon+card&amp;_sacat=0&amp;_from=R40&amp;_trksid=p4624852.m570.l1313&amp;mkcid=1&amp;mkrid=711-53200-19255-0&amp;siteid=0&amp;campid=5339158445&amp;customid=pokecottage&amp;toolid=10001&amp;mkevt=1","FIND ON EBAY")</f>
        <v>FIND ON EBAY</v>
      </c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17</v>
      </c>
      <c r="C466" s="5" t="s">
        <v>218</v>
      </c>
      <c r="D466" s="5" t="s">
        <v>224</v>
      </c>
      <c r="E466" s="5"/>
      <c r="F466" s="5" t="str">
        <f aca="false">HYPERLINK("https://www.ebay.com/sch/i.html?_nkw=Budew+World+Championships+Deck+2025+Pult+Bomb+by+Jose+Cruz+Galindo-Resendiz+Prismatic+Evolutions+4+pokemon+card&amp;_sacat=0&amp;_from=R40&amp;_trksid=p4624852.m570.l1313&amp;mkcid=1&amp;mkrid=711-53200-19255-0&amp;siteid=0&amp;campid=5339158445&amp;customid=pokecottage&amp;toolid=10001&amp;mkevt=1","FIND ON EBAY")</f>
        <v>FIND ON EBAY</v>
      </c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18</v>
      </c>
      <c r="C467" s="6" t="str">
        <f aca="false">HYPERLINK("https://partner.tcgplayer.com/c/6278691/1780961/21018?u=https%3A%2F%2Fwww.tcgplayer.com%2Fproduct%2F654704%3Futm_source%3Dimpact%26utm_medium%3Daffiliate%26utm_campaign%3Dpoke%2Bcottage","Leafeon")</f>
        <v>Leafeon</v>
      </c>
      <c r="D467" s="5" t="s">
        <v>225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21</v>
      </c>
      <c r="C468" s="6" t="str">
        <f aca="false">HYPERLINK("https://partner.tcgplayer.com/c/6278691/1780961/21018?u=https%3A%2F%2Fwww.tcgplayer.com%2Fproduct%2F618107%3Futm_source%3Dimpact%26utm_medium%3Daffiliate%26utm_campaign%3Dpoke%2Bcottage","Leafeon ex")</f>
        <v>Leafeon ex</v>
      </c>
      <c r="D468" s="5" t="s">
        <v>226</v>
      </c>
      <c r="E468" s="5"/>
      <c r="F468" s="5"/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21</v>
      </c>
      <c r="C469" s="6" t="str">
        <f aca="false">HYPERLINK("https://partner.tcgplayer.com/c/6278691/1780961/21018?u=https%3A%2F%2Fwww.tcgplayer.com%2Fproduct%2F618107%3Futm_source%3Dimpact%26utm_medium%3Daffiliate%26utm_campaign%3Dpoke%2Bcottage","Leafeon ex")</f>
        <v>Leafeon ex</v>
      </c>
      <c r="D469" s="5" t="s">
        <v>220</v>
      </c>
      <c r="E469" s="5"/>
      <c r="F469" s="5"/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29</v>
      </c>
      <c r="C470" s="6" t="str">
        <f aca="false">HYPERLINK("https://partner.tcgplayer.com/c/6278691/1780961/21018?u=https%3A%2F%2Fwww.tcgplayer.com%2Fproduct%2F654775%3Futm_source%3Dimpact%26utm_medium%3Daffiliate%26utm_campaign%3Dpoke%2Bcottage","Flareon")</f>
        <v>Flareon</v>
      </c>
      <c r="D470" s="5" t="s">
        <v>225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30</v>
      </c>
      <c r="C471" s="6" t="str">
        <f aca="false">HYPERLINK("https://partner.tcgplayer.com/c/6278691/1780961/21018?u=https%3A%2F%2Fwww.tcgplayer.com%2Fproduct%2F618090%3Futm_source%3Dimpact%26utm_medium%3Daffiliate%26utm_campaign%3Dpoke%2Bcottage","Flareon ex")</f>
        <v>Flareon ex</v>
      </c>
      <c r="D471" s="5" t="s">
        <v>226</v>
      </c>
      <c r="E471" s="5"/>
      <c r="F471" s="5"/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30</v>
      </c>
      <c r="C472" s="6" t="str">
        <f aca="false">HYPERLINK("https://partner.tcgplayer.com/c/6278691/1780961/21018?u=https%3A%2F%2Fwww.tcgplayer.com%2Fproduct%2F618090%3Futm_source%3Dimpact%26utm_medium%3Daffiliate%26utm_campaign%3Dpoke%2Bcottage","Flareon ex")</f>
        <v>Flareon ex</v>
      </c>
      <c r="D472" s="5" t="s">
        <v>220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38</v>
      </c>
      <c r="C473" s="6" t="str">
        <f aca="false">HYPERLINK("https://partner.tcgplayer.com/c/6278691/1780961/21018?u=https%3A%2F%2Fwww.tcgplayer.com%2Fproduct%2F654776%3Futm_source%3Dimpact%26utm_medium%3Daffiliate%26utm_campaign%3Dpoke%2Bcottage","Vaporeon")</f>
        <v>Vaporeon</v>
      </c>
      <c r="D473" s="5" t="s">
        <v>225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39</v>
      </c>
      <c r="C474" s="6" t="str">
        <f aca="false">HYPERLINK("https://partner.tcgplayer.com/c/6278691/1780961/21018?u=https%3A%2F%2Fwww.tcgplayer.com%2Fproduct%2F618093%3Futm_source%3Dimpact%26utm_medium%3Daffiliate%26utm_campaign%3Dpoke%2Bcottage","Vaporeon ex")</f>
        <v>Vaporeon ex</v>
      </c>
      <c r="D474" s="5" t="s">
        <v>226</v>
      </c>
      <c r="E474" s="5"/>
      <c r="F474" s="5"/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39</v>
      </c>
      <c r="C475" s="6" t="str">
        <f aca="false">HYPERLINK("https://partner.tcgplayer.com/c/6278691/1780961/21018?u=https%3A%2F%2Fwww.tcgplayer.com%2Fproduct%2F618093%3Futm_source%3Dimpact%26utm_medium%3Daffiliate%26utm_campaign%3Dpoke%2Bcottage","Vaporeon ex")</f>
        <v>Vaporeon ex</v>
      </c>
      <c r="D475" s="5" t="s">
        <v>220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41</v>
      </c>
      <c r="C476" s="6" t="str">
        <f aca="false">HYPERLINK("https://partner.tcgplayer.com/c/6278691/1780961/21018?u=https%3A%2F%2Fwww.tcgplayer.com%2Fproduct%2F654644%3Futm_source%3Dimpact%26utm_medium%3Daffiliate%26utm_campaign%3Dpoke%2Bcottage","Glaceon")</f>
        <v>Glaceon</v>
      </c>
      <c r="D476" s="5" t="s">
        <v>225</v>
      </c>
      <c r="E476" s="5"/>
      <c r="F476" s="5"/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42</v>
      </c>
      <c r="C477" s="6" t="str">
        <f aca="false">HYPERLINK("https://partner.tcgplayer.com/c/6278691/1780961/21018?u=https%3A%2F%2Fwww.tcgplayer.com%2Fproduct%2F618108%3Futm_source%3Dimpact%26utm_medium%3Daffiliate%26utm_campaign%3Dpoke%2Bcottage","Glaceon ex")</f>
        <v>Glaceon ex</v>
      </c>
      <c r="D477" s="5" t="s">
        <v>226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42</v>
      </c>
      <c r="C478" s="6" t="str">
        <f aca="false">HYPERLINK("https://partner.tcgplayer.com/c/6278691/1780961/21018?u=https%3A%2F%2Fwww.tcgplayer.com%2Fproduct%2F650960%3Futm_source%3Dimpact%26utm_medium%3Daffiliate%26utm_campaign%3Dpoke%2Bcottage","Glaceon ex")</f>
        <v>Glaceon ex</v>
      </c>
      <c r="D478" s="5" t="s">
        <v>227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42</v>
      </c>
      <c r="C479" s="6" t="str">
        <f aca="false">HYPERLINK("https://partner.tcgplayer.com/c/6278691/1780961/21018?u=https%3A%2F%2Fwww.tcgplayer.com%2Fproduct%2F618108%3Futm_source%3Dimpact%26utm_medium%3Daffiliate%26utm_campaign%3Dpoke%2Bcottage","Glaceon ex")</f>
        <v>Glaceon ex</v>
      </c>
      <c r="D479" s="5" t="s">
        <v>220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45</v>
      </c>
      <c r="C480" s="6" t="str">
        <f aca="false">HYPERLINK("https://partner.tcgplayer.com/c/6278691/1780961/21018?u=https%3A%2F%2Fwww.tcgplayer.com%2Fproduct%2F654646%3Futm_source%3Dimpact%26utm_medium%3Daffiliate%26utm_campaign%3Dpoke%2Bcottage","Jolteon")</f>
        <v>Jolteon</v>
      </c>
      <c r="D480" s="5" t="s">
        <v>225</v>
      </c>
      <c r="E480" s="5"/>
      <c r="F480" s="5"/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46</v>
      </c>
      <c r="C481" s="6" t="str">
        <f aca="false">HYPERLINK("https://partner.tcgplayer.com/c/6278691/1780961/21018?u=https%3A%2F%2Fwww.tcgplayer.com%2Fproduct%2F618095%3Futm_source%3Dimpact%26utm_medium%3Daffiliate%26utm_campaign%3Dpoke%2Bcottage","Jolteon ex")</f>
        <v>Jolteon ex</v>
      </c>
      <c r="D481" s="5" t="s">
        <v>226</v>
      </c>
      <c r="E481" s="5"/>
      <c r="F481" s="5"/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46</v>
      </c>
      <c r="C482" s="6" t="str">
        <f aca="false">HYPERLINK("https://partner.tcgplayer.com/c/6278691/1780961/21018?u=https%3A%2F%2Fwww.tcgplayer.com%2Fproduct%2F618095%3Futm_source%3Dimpact%26utm_medium%3Daffiliate%26utm_campaign%3Dpoke%2Bcottage","Jolteon ex")</f>
        <v>Jolteon ex</v>
      </c>
      <c r="D482" s="5" t="s">
        <v>220</v>
      </c>
      <c r="E482" s="5"/>
      <c r="F482" s="5"/>
      <c r="G482" s="5"/>
      <c r="H482" s="7"/>
    </row>
    <row r="483" customFormat="false" ht="30" hidden="false" customHeight="true" outlineLevel="0" collapsed="false">
      <c r="A483" s="4" t="s">
        <v>6</v>
      </c>
      <c r="B483" s="5" t="s">
        <v>49</v>
      </c>
      <c r="C483" s="6" t="str">
        <f aca="false">HYPERLINK("https://partner.tcgplayer.com/c/6278691/1780961/21018?u=https%3A%2F%2Fwww.tcgplayer.com%2Fproduct%2F654639%3Futm_source%3Dimpact%26utm_medium%3Daffiliate%26utm_campaign%3Dpoke%2Bcottage","Espeon")</f>
        <v>Espeon</v>
      </c>
      <c r="D483" s="5" t="s">
        <v>225</v>
      </c>
      <c r="E483" s="5"/>
      <c r="F483" s="5"/>
      <c r="G483" s="5"/>
      <c r="H483" s="7"/>
    </row>
    <row r="484" customFormat="false" ht="30" hidden="false" customHeight="true" outlineLevel="0" collapsed="false">
      <c r="A484" s="4" t="s">
        <v>6</v>
      </c>
      <c r="B484" s="5" t="s">
        <v>50</v>
      </c>
      <c r="C484" s="6" t="str">
        <f aca="false">HYPERLINK("https://partner.tcgplayer.com/c/6278691/1780961/21018?u=https%3A%2F%2Fwww.tcgplayer.com%2Fproduct%2F618101%3Futm_source%3Dimpact%26utm_medium%3Daffiliate%26utm_campaign%3Dpoke%2Bcottage","Espeon ex")</f>
        <v>Espeon ex</v>
      </c>
      <c r="D484" s="5" t="s">
        <v>226</v>
      </c>
      <c r="E484" s="5"/>
      <c r="F484" s="5"/>
      <c r="G484" s="5"/>
      <c r="H484" s="7"/>
    </row>
    <row r="485" customFormat="false" ht="30" hidden="false" customHeight="true" outlineLevel="0" collapsed="false">
      <c r="A485" s="4" t="s">
        <v>6</v>
      </c>
      <c r="B485" s="5" t="s">
        <v>50</v>
      </c>
      <c r="C485" s="6" t="str">
        <f aca="false">HYPERLINK("https://partner.tcgplayer.com/c/6278691/1780961/21018?u=https%3A%2F%2Fwww.tcgplayer.com%2Fproduct%2F618101%3Futm_source%3Dimpact%26utm_medium%3Daffiliate%26utm_campaign%3Dpoke%2Bcottage","Espeon ex")</f>
        <v>Espeon ex</v>
      </c>
      <c r="D485" s="5" t="s">
        <v>220</v>
      </c>
      <c r="E485" s="5"/>
      <c r="F485" s="5"/>
      <c r="G485" s="5"/>
      <c r="H485" s="7"/>
    </row>
    <row r="486" customFormat="false" ht="30" hidden="false" customHeight="true" outlineLevel="0" collapsed="false">
      <c r="A486" s="4" t="s">
        <v>6</v>
      </c>
      <c r="B486" s="5" t="s">
        <v>56</v>
      </c>
      <c r="C486" s="6" t="str">
        <f aca="false">HYPERLINK("https://partner.tcgplayer.com/c/6278691/1780961/21018?u=https%3A%2F%2Fwww.tcgplayer.com%2Fproduct%2F654647%3Futm_source%3Dimpact%26utm_medium%3Daffiliate%26utm_campaign%3Dpoke%2Bcottage","Sylveon")</f>
        <v>Sylveon</v>
      </c>
      <c r="D486" s="5" t="s">
        <v>225</v>
      </c>
      <c r="E486" s="5"/>
      <c r="F486" s="5"/>
      <c r="G486" s="5"/>
      <c r="H486" s="7"/>
    </row>
    <row r="487" customFormat="false" ht="30" hidden="false" customHeight="true" outlineLevel="0" collapsed="false">
      <c r="A487" s="4" t="s">
        <v>6</v>
      </c>
      <c r="B487" s="5" t="s">
        <v>56</v>
      </c>
      <c r="C487" s="6" t="str">
        <f aca="false">HYPERLINK("https://partner.tcgplayer.com/c/6278691/1780961/21018?u=https%3A%2F%2Fwww.tcgplayer.com%2Fproduct%2F621114%3Futm_source%3Dimpact%26utm_medium%3Daffiliate%26utm_campaign%3Dpoke%2Bcottage","Sylveon")</f>
        <v>Sylveon</v>
      </c>
      <c r="D487" s="5" t="s">
        <v>228</v>
      </c>
      <c r="E487" s="5"/>
      <c r="F487" s="5"/>
      <c r="G487" s="5"/>
      <c r="H487" s="7"/>
    </row>
    <row r="488" customFormat="false" ht="30" hidden="false" customHeight="true" outlineLevel="0" collapsed="false">
      <c r="A488" s="4" t="s">
        <v>6</v>
      </c>
      <c r="B488" s="5" t="s">
        <v>57</v>
      </c>
      <c r="C488" s="6" t="str">
        <f aca="false">HYPERLINK("https://partner.tcgplayer.com/c/6278691/1780961/21018?u=https%3A%2F%2Fwww.tcgplayer.com%2Fproduct%2F618119%3Futm_source%3Dimpact%26utm_medium%3Daffiliate%26utm_campaign%3Dpoke%2Bcottage","Sylveon ex")</f>
        <v>Sylveon ex</v>
      </c>
      <c r="D488" s="5" t="s">
        <v>226</v>
      </c>
      <c r="E488" s="5"/>
      <c r="F488" s="5"/>
      <c r="G488" s="5"/>
      <c r="H488" s="7"/>
    </row>
    <row r="489" customFormat="false" ht="30" hidden="false" customHeight="true" outlineLevel="0" collapsed="false">
      <c r="A489" s="4" t="s">
        <v>6</v>
      </c>
      <c r="B489" s="5" t="s">
        <v>67</v>
      </c>
      <c r="C489" s="6" t="str">
        <f aca="false">HYPERLINK("https://partner.tcgplayer.com/c/6278691/1780961/21018?u=https%3A%2F%2Fwww.tcgplayer.com%2Fproduct%2F652715%3Futm_source%3Dimpact%26utm_medium%3Daffiliate%26utm_campaign%3Dpoke%2Bcottage","Lucario ex")</f>
        <v>Lucario ex</v>
      </c>
      <c r="D489" s="5" t="s">
        <v>226</v>
      </c>
      <c r="E489" s="5"/>
      <c r="F489" s="5"/>
      <c r="G489" s="5"/>
      <c r="H489" s="7"/>
    </row>
    <row r="490" customFormat="false" ht="30" hidden="false" customHeight="true" outlineLevel="0" collapsed="false">
      <c r="A490" s="4" t="s">
        <v>6</v>
      </c>
      <c r="B490" s="5" t="s">
        <v>67</v>
      </c>
      <c r="C490" s="6" t="str">
        <f aca="false">HYPERLINK("https://partner.tcgplayer.com/c/6278691/1780961/21018?u=https%3A%2F%2Fwww.tcgplayer.com%2Fproduct%2F654780%3Futm_source%3Dimpact%26utm_medium%3Daffiliate%26utm_campaign%3Dpoke%2Bcottage","Lucario ex")</f>
        <v>Lucario ex</v>
      </c>
      <c r="D490" s="5" t="s">
        <v>229</v>
      </c>
      <c r="E490" s="5"/>
      <c r="F490" s="5"/>
      <c r="G490" s="5"/>
      <c r="H490" s="7"/>
    </row>
    <row r="491" customFormat="false" ht="30" hidden="false" customHeight="true" outlineLevel="0" collapsed="false">
      <c r="A491" s="4" t="s">
        <v>6</v>
      </c>
      <c r="B491" s="5" t="s">
        <v>75</v>
      </c>
      <c r="C491" s="6" t="str">
        <f aca="false">HYPERLINK("https://partner.tcgplayer.com/c/6278691/1780961/21018?u=https%3A%2F%2Fwww.tcgplayer.com%2Fproduct%2F654638%3Futm_source%3Dimpact%26utm_medium%3Daffiliate%26utm_campaign%3Dpoke%2Bcottage","Umbreon")</f>
        <v>Umbreon</v>
      </c>
      <c r="D491" s="5" t="s">
        <v>225</v>
      </c>
      <c r="E491" s="5"/>
      <c r="F491" s="5"/>
      <c r="G491" s="5"/>
      <c r="H491" s="7"/>
    </row>
    <row r="492" customFormat="false" ht="30" hidden="false" customHeight="true" outlineLevel="0" collapsed="false">
      <c r="A492" s="4" t="s">
        <v>6</v>
      </c>
      <c r="B492" s="5" t="s">
        <v>76</v>
      </c>
      <c r="C492" s="6" t="str">
        <f aca="false">HYPERLINK("https://partner.tcgplayer.com/c/6278691/1780961/21018?u=https%3A%2F%2Fwww.tcgplayer.com%2Fproduct%2F618104%3Futm_source%3Dimpact%26utm_medium%3Daffiliate%26utm_campaign%3Dpoke%2Bcottage","Umbreon ex")</f>
        <v>Umbreon ex</v>
      </c>
      <c r="D492" s="5" t="s">
        <v>226</v>
      </c>
      <c r="E492" s="5"/>
      <c r="F492" s="5"/>
      <c r="G492" s="5"/>
      <c r="H492" s="7"/>
    </row>
    <row r="493" customFormat="false" ht="30" hidden="false" customHeight="true" outlineLevel="0" collapsed="false">
      <c r="A493" s="4" t="s">
        <v>6</v>
      </c>
      <c r="B493" s="5" t="s">
        <v>76</v>
      </c>
      <c r="C493" s="6" t="str">
        <f aca="false">HYPERLINK("https://partner.tcgplayer.com/c/6278691/1780961/21018?u=https%3A%2F%2Fwww.tcgplayer.com%2Fproduct%2F618104%3Futm_source%3Dimpact%26utm_medium%3Daffiliate%26utm_campaign%3Dpoke%2Bcottage","Umbreon ex")</f>
        <v>Umbreon ex</v>
      </c>
      <c r="D493" s="5" t="s">
        <v>220</v>
      </c>
      <c r="E493" s="5"/>
      <c r="F493" s="5"/>
      <c r="G493" s="5"/>
      <c r="H493" s="7"/>
    </row>
    <row r="494" customFormat="false" ht="30" hidden="false" customHeight="true" outlineLevel="0" collapsed="false">
      <c r="A494" s="4" t="s">
        <v>6</v>
      </c>
      <c r="B494" s="5" t="s">
        <v>80</v>
      </c>
      <c r="C494" s="6" t="str">
        <f aca="false">HYPERLINK("https://partner.tcgplayer.com/c/6278691/1780961/21018?u=https%3A%2F%2Fwww.tcgplayer.com%2Fproduct%2F652713%3Futm_source%3Dimpact%26utm_medium%3Daffiliate%26utm_campaign%3Dpoke%2Bcottage","Tyranitar ex")</f>
        <v>Tyranitar ex</v>
      </c>
      <c r="D494" s="5" t="s">
        <v>226</v>
      </c>
      <c r="E494" s="5"/>
      <c r="F494" s="5"/>
      <c r="G494" s="5"/>
      <c r="H494" s="7"/>
    </row>
    <row r="495" customFormat="false" ht="30" hidden="false" customHeight="true" outlineLevel="0" collapsed="false">
      <c r="A495" s="4" t="s">
        <v>6</v>
      </c>
      <c r="B495" s="5" t="s">
        <v>89</v>
      </c>
      <c r="C495" s="6" t="str">
        <f aca="false">HYPERLINK("https://partner.tcgplayer.com/c/6278691/1780961/21018?u=https%3A%2F%2Fwww.tcgplayer.com%2Fproduct%2F664901%3Futm_source%3Dimpact%26utm_medium%3Daffiliate%26utm_campaign%3Dpoke%2Bcottage","Dragapult ex")</f>
        <v>Dragapult ex</v>
      </c>
      <c r="D495" s="5" t="s">
        <v>230</v>
      </c>
      <c r="E495" s="5"/>
      <c r="F495" s="5"/>
      <c r="G495" s="5"/>
      <c r="H495" s="7"/>
    </row>
    <row r="496" customFormat="false" ht="30" hidden="false" customHeight="true" outlineLevel="0" collapsed="false">
      <c r="A496" s="4" t="s">
        <v>6</v>
      </c>
      <c r="B496" s="5" t="s">
        <v>90</v>
      </c>
      <c r="C496" s="6" t="str">
        <f aca="false">HYPERLINK("https://partner.tcgplayer.com/c/6278691/1780961/21018?u=https%3A%2F%2Fwww.tcgplayer.com%2Fproduct%2F619725%3Futm_source%3Dimpact%26utm_medium%3Daffiliate%26utm_campaign%3Dpoke%2Bcottage","Eevee")</f>
        <v>Eevee</v>
      </c>
      <c r="D496" s="5" t="s">
        <v>228</v>
      </c>
      <c r="E496" s="5"/>
      <c r="F496" s="5"/>
      <c r="G496" s="5"/>
      <c r="H496" s="7"/>
    </row>
    <row r="497" customFormat="false" ht="30" hidden="false" customHeight="true" outlineLevel="0" collapsed="false">
      <c r="A497" s="4" t="s">
        <v>6</v>
      </c>
      <c r="B497" s="5" t="s">
        <v>91</v>
      </c>
      <c r="C497" s="6" t="str">
        <f aca="false">HYPERLINK("https://partner.tcgplayer.com/c/6278691/1780961/21018?u=https%3A%2F%2Fwww.tcgplayer.com%2Fproduct%2F618089%3Futm_source%3Dimpact%26utm_medium%3Daffiliate%26utm_campaign%3Dpoke%2Bcottage","Eevee ex")</f>
        <v>Eevee ex</v>
      </c>
      <c r="D497" s="5" t="s">
        <v>226</v>
      </c>
      <c r="E497" s="5"/>
      <c r="F497" s="5"/>
      <c r="G497" s="5"/>
      <c r="H497" s="7"/>
    </row>
    <row r="498" customFormat="false" ht="30" hidden="false" customHeight="true" outlineLevel="0" collapsed="false">
      <c r="A498" s="4" t="s">
        <v>6</v>
      </c>
      <c r="B498" s="5" t="s">
        <v>91</v>
      </c>
      <c r="C498" s="6" t="str">
        <f aca="false">HYPERLINK("https://partner.tcgplayer.com/c/6278691/1780961/21018?u=https%3A%2F%2Fwww.tcgplayer.com%2Fproduct%2F618089%3Futm_source%3Dimpact%26utm_medium%3Daffiliate%26utm_campaign%3Dpoke%2Bcottage","Eevee ex")</f>
        <v>Eevee ex</v>
      </c>
      <c r="D498" s="5" t="s">
        <v>220</v>
      </c>
      <c r="E498" s="5"/>
      <c r="F498" s="5"/>
      <c r="G498" s="5"/>
      <c r="H498" s="7"/>
    </row>
    <row r="499" customFormat="false" ht="30" hidden="false" customHeight="true" outlineLevel="0" collapsed="false">
      <c r="A499" s="4" t="s">
        <v>6</v>
      </c>
      <c r="B499" s="5" t="s">
        <v>92</v>
      </c>
      <c r="C499" s="6" t="str">
        <f aca="false">HYPERLINK("https://partner.tcgplayer.com/c/6278691/1780961/21018?u=https%3A%2F%2Fwww.tcgplayer.com%2Fproduct%2F663405%3Futm_source%3Dimpact%26utm_medium%3Daffiliate%26utm_campaign%3Dpoke%2Bcottage","Snorlax ex")</f>
        <v>Snorlax ex</v>
      </c>
      <c r="D499" s="5" t="s">
        <v>226</v>
      </c>
      <c r="E499" s="5"/>
      <c r="F499" s="5"/>
      <c r="G499" s="5"/>
      <c r="H499" s="7"/>
    </row>
    <row r="500" customFormat="false" ht="30" hidden="false" customHeight="true" outlineLevel="0" collapsed="false">
      <c r="A500" s="4" t="s">
        <v>6</v>
      </c>
      <c r="B500" s="5" t="s">
        <v>92</v>
      </c>
      <c r="C500" s="6" t="str">
        <f aca="false">HYPERLINK("https://partner.tcgplayer.com/c/6278691/1780961/21018?u=https%3A%2F%2Fwww.tcgplayer.com%2Fproduct%2F663406%3Futm_source%3Dimpact%26utm_medium%3Daffiliate%26utm_campaign%3Dpoke%2Bcottage","Snorlax ex")</f>
        <v>Snorlax ex</v>
      </c>
      <c r="D500" s="5" t="s">
        <v>229</v>
      </c>
      <c r="E500" s="5"/>
      <c r="F500" s="5"/>
      <c r="G500" s="5"/>
      <c r="H500" s="7"/>
    </row>
    <row r="501" customFormat="false" ht="30" hidden="false" customHeight="true" outlineLevel="0" collapsed="false">
      <c r="A501" s="4" t="s">
        <v>6</v>
      </c>
      <c r="B501" s="5" t="s">
        <v>98</v>
      </c>
      <c r="C501" s="6" t="str">
        <f aca="false">HYPERLINK("https://partner.tcgplayer.com/c/6278691/1780961/21018?u=https%3A%2F%2Fwww.tcgplayer.com%2Fproduct%2F657882%3Futm_source%3Dimpact%26utm_medium%3Daffiliate%26utm_campaign%3Dpoke%2Bcottage","Lugia ex")</f>
        <v>Lugia ex</v>
      </c>
      <c r="D501" s="5" t="s">
        <v>226</v>
      </c>
      <c r="E501" s="5"/>
      <c r="F501" s="5"/>
      <c r="G501" s="5"/>
      <c r="H501" s="7"/>
    </row>
    <row r="502" customFormat="false" ht="30" hidden="false" customHeight="true" outlineLevel="0" collapsed="false">
      <c r="A502" s="4" t="s">
        <v>6</v>
      </c>
      <c r="B502" s="5" t="s">
        <v>98</v>
      </c>
      <c r="C502" s="5" t="s">
        <v>231</v>
      </c>
      <c r="D502" s="5" t="s">
        <v>232</v>
      </c>
      <c r="E502" s="5"/>
      <c r="F502" s="5" t="str">
        <f aca="false">HYPERLINK("https://www.ebay.com/sch/i.html?_nkw=Lugia+ex+Expansion+Stamp+Alternate+Placement+Prismatic+Evolutions+82+pokemon+card&amp;_sacat=0&amp;_from=R40&amp;_trksid=p4624852.m570.l1313&amp;mkcid=1&amp;mkrid=711-53200-19255-0&amp;siteid=0&amp;campid=5339158445&amp;customid=pokecottage&amp;toolid=10001&amp;mkevt=1","FIND ON EBAY")</f>
        <v>FIND ON EBAY</v>
      </c>
      <c r="G502" s="5"/>
      <c r="H502" s="7"/>
    </row>
    <row r="503" customFormat="false" ht="30" hidden="false" customHeight="true" outlineLevel="0" collapsed="false">
      <c r="A503" s="4" t="s">
        <v>6</v>
      </c>
      <c r="B503" s="5" t="s">
        <v>98</v>
      </c>
      <c r="C503" s="5" t="s">
        <v>231</v>
      </c>
      <c r="D503" s="5" t="s">
        <v>233</v>
      </c>
      <c r="E503" s="5"/>
      <c r="F503" s="5" t="str">
        <f aca="false">HYPERLINK("https://www.ebay.com/sch/i.html?_nkw=Lugia+ex+Jumbo+Expansion+Stamp%2C+Alternate+Placement+Prismatic+Evolutions+82+pokemon+card&amp;_sacat=0&amp;_from=R40&amp;_trksid=p4624852.m570.l1313&amp;mkcid=1&amp;mkrid=711-53200-19255-0&amp;siteid=0&amp;campid=5339158445&amp;customid=pokecottage&amp;toolid=10001&amp;mkevt=1","FIND ON EBAY")</f>
        <v>FIND ON EBAY</v>
      </c>
      <c r="G503" s="5"/>
      <c r="H503" s="7"/>
    </row>
    <row r="504" customFormat="false" ht="30" hidden="false" customHeight="true" outlineLevel="0" collapsed="false">
      <c r="A504" s="4" t="s">
        <v>6</v>
      </c>
      <c r="B504" s="5" t="s">
        <v>98</v>
      </c>
      <c r="C504" s="5" t="s">
        <v>231</v>
      </c>
      <c r="D504" s="5" t="s">
        <v>229</v>
      </c>
      <c r="E504" s="5"/>
      <c r="F504" s="5" t="str">
        <f aca="false">HYPERLINK("https://www.ebay.com/sch/i.html?_nkw=Lugia+ex+Jumbo+Expansion+Stamp+Prismatic+Evolutions+82+pokemon+card&amp;_sacat=0&amp;_from=R40&amp;_trksid=p4624852.m570.l1313&amp;mkcid=1&amp;mkrid=711-53200-19255-0&amp;siteid=0&amp;campid=5339158445&amp;customid=pokecottage&amp;toolid=10001&amp;mkevt=1","FIND ON EBAY")</f>
        <v>FIND ON EBAY</v>
      </c>
      <c r="G504" s="5"/>
      <c r="H504" s="7"/>
    </row>
    <row r="505" customFormat="false" ht="30" hidden="false" customHeight="true" outlineLevel="0" collapsed="false">
      <c r="A505" s="4" t="s">
        <v>6</v>
      </c>
      <c r="B505" s="5" t="s">
        <v>102</v>
      </c>
      <c r="C505" s="6" t="str">
        <f aca="false">HYPERLINK("https://partner.tcgplayer.com/c/6278691/1780961/21018?u=https%3A%2F%2Fwww.tcgplayer.com%2Fproduct%2F648706%3Futm_source%3Dimpact%26utm_medium%3Daffiliate%26utm_campaign%3Dpoke%2Bcottage","Regigigas")</f>
        <v>Regigigas</v>
      </c>
      <c r="D505" s="5" t="s">
        <v>220</v>
      </c>
      <c r="E505" s="5"/>
      <c r="F505" s="5"/>
      <c r="G505" s="5"/>
      <c r="H505" s="7"/>
    </row>
    <row r="506" customFormat="false" ht="30" hidden="false" customHeight="true" outlineLevel="0" collapsed="false">
      <c r="A506" s="4" t="s">
        <v>6</v>
      </c>
      <c r="B506" s="5" t="s">
        <v>102</v>
      </c>
      <c r="C506" s="5" t="s">
        <v>234</v>
      </c>
      <c r="D506" s="5" t="s">
        <v>221</v>
      </c>
      <c r="E506" s="5"/>
      <c r="F506" s="5" t="str">
        <f aca="false">HYPERLINK("https://www.ebay.com/sch/i.html?_nkw=Regigigas+Pokemon+TCG+Gym+Prismatic+Evolutions+86+pokemon+card&amp;_sacat=0&amp;_from=R40&amp;_trksid=p4624852.m570.l1313&amp;mkcid=1&amp;mkrid=711-53200-19255-0&amp;siteid=0&amp;campid=5339158445&amp;customid=pokecottage&amp;toolid=10001&amp;mkevt=1","FIND ON EBAY")</f>
        <v>FIND ON EBAY</v>
      </c>
      <c r="G506" s="5"/>
      <c r="H506" s="7"/>
    </row>
    <row r="507" customFormat="false" ht="30" hidden="false" customHeight="true" outlineLevel="0" collapsed="false">
      <c r="A507" s="4" t="s">
        <v>6</v>
      </c>
      <c r="B507" s="5" t="s">
        <v>125</v>
      </c>
      <c r="C507" s="6" t="str">
        <f aca="false">HYPERLINK("https://partner.tcgplayer.com/c/6278691/1780961/21018?u=https%3A%2F%2Fwww.tcgplayer.com%2Fproduct%2F670606%3Futm_source%3Dimpact%26utm_medium%3Daffiliate%26utm_campaign%3Dpoke%2Bcottage","Friends in Paldea")</f>
        <v>Friends in Paldea</v>
      </c>
      <c r="D507" s="5" t="s">
        <v>235</v>
      </c>
      <c r="E507" s="5"/>
      <c r="F507" s="5"/>
      <c r="G507" s="5"/>
      <c r="H507" s="7"/>
    </row>
    <row r="508" customFormat="false" ht="30" hidden="false" customHeight="true" outlineLevel="0" collapsed="false">
      <c r="A508" s="4" t="s">
        <v>6</v>
      </c>
      <c r="B508" s="5" t="s">
        <v>125</v>
      </c>
      <c r="C508" s="5" t="s">
        <v>236</v>
      </c>
      <c r="D508" s="5" t="s">
        <v>237</v>
      </c>
      <c r="E508" s="5"/>
      <c r="F508" s="5" t="str">
        <f aca="false">HYPERLINK("https://www.ebay.com/sch/i.html?_nkw=Friends+in+Paldea+Professor+Program+Champion+Prismatic+Evolutions+109+pokemon+card&amp;_sacat=0&amp;_from=R40&amp;_trksid=p4624852.m570.l1313&amp;mkcid=1&amp;mkrid=711-53200-19255-0&amp;siteid=0&amp;campid=5339158445&amp;customid=pokecottage&amp;toolid=10001&amp;mkevt=1","FIND ON EBAY")</f>
        <v>FIND ON EBAY</v>
      </c>
      <c r="G508" s="5"/>
      <c r="H508" s="7"/>
    </row>
    <row r="509" customFormat="false" ht="30" hidden="false" customHeight="true" outlineLevel="0" collapsed="false">
      <c r="A509" s="4" t="s">
        <v>6</v>
      </c>
      <c r="B509" s="5" t="s">
        <v>125</v>
      </c>
      <c r="C509" s="5" t="s">
        <v>236</v>
      </c>
      <c r="D509" s="5" t="s">
        <v>238</v>
      </c>
      <c r="E509" s="5"/>
      <c r="F509" s="5" t="str">
        <f aca="false">HYPERLINK("https://www.ebay.com/sch/i.html?_nkw=Friends+in+Paldea+Professor+Program+Finalist+Prismatic+Evolutions+109+pokemon+card&amp;_sacat=0&amp;_from=R40&amp;_trksid=p4624852.m570.l1313&amp;mkcid=1&amp;mkrid=711-53200-19255-0&amp;siteid=0&amp;campid=5339158445&amp;customid=pokecottage&amp;toolid=10001&amp;mkevt=1","FIND ON EBAY")</f>
        <v>FIND ON EBAY</v>
      </c>
      <c r="G509" s="5"/>
      <c r="H509" s="7"/>
    </row>
    <row r="510" customFormat="false" ht="30" hidden="false" customHeight="true" outlineLevel="0" collapsed="false">
      <c r="A510" s="4" t="s">
        <v>6</v>
      </c>
      <c r="B510" s="5" t="s">
        <v>125</v>
      </c>
      <c r="C510" s="5" t="s">
        <v>236</v>
      </c>
      <c r="D510" s="5" t="s">
        <v>239</v>
      </c>
      <c r="E510" s="5"/>
      <c r="F510" s="5" t="str">
        <f aca="false">HYPERLINK("https://www.ebay.com/sch/i.html?_nkw=Friends+in+Paldea+Professor+Program+Staff+Prismatic+Evolutions+109+pokemon+card&amp;_sacat=0&amp;_from=R40&amp;_trksid=p4624852.m570.l1313&amp;mkcid=1&amp;mkrid=711-53200-19255-0&amp;siteid=0&amp;campid=5339158445&amp;customid=pokecottage&amp;toolid=10001&amp;mkevt=1","FIND ON EBAY")</f>
        <v>FIND ON EBAY</v>
      </c>
      <c r="G510" s="5"/>
      <c r="H510" s="7"/>
    </row>
    <row r="511" customFormat="false" ht="30" hidden="false" customHeight="true" outlineLevel="0" collapsed="false">
      <c r="A511" s="4" t="s">
        <v>6</v>
      </c>
      <c r="B511" s="5" t="s">
        <v>125</v>
      </c>
      <c r="C511" s="5" t="s">
        <v>236</v>
      </c>
      <c r="D511" s="5" t="s">
        <v>240</v>
      </c>
      <c r="E511" s="5"/>
      <c r="F511" s="5" t="str">
        <f aca="false">HYPERLINK("https://www.ebay.com/sch/i.html?_nkw=Friends+in+Paldea+Professor+Program+Top+4+Prismatic+Evolutions+109+pokemon+card&amp;_sacat=0&amp;_from=R40&amp;_trksid=p4624852.m570.l1313&amp;mkcid=1&amp;mkrid=711-53200-19255-0&amp;siteid=0&amp;campid=5339158445&amp;customid=pokecottage&amp;toolid=10001&amp;mkevt=1","FIND ON EBAY")</f>
        <v>FIND ON EBAY</v>
      </c>
      <c r="G511" s="5"/>
      <c r="H511" s="7"/>
    </row>
    <row r="512" customFormat="false" ht="30" hidden="false" customHeight="true" outlineLevel="0" collapsed="false">
      <c r="A512" s="4" t="s">
        <v>6</v>
      </c>
      <c r="B512" s="5" t="s">
        <v>125</v>
      </c>
      <c r="C512" s="5" t="s">
        <v>236</v>
      </c>
      <c r="D512" s="5" t="s">
        <v>241</v>
      </c>
      <c r="E512" s="5"/>
      <c r="F512" s="5" t="str">
        <f aca="false">HYPERLINK("https://www.ebay.com/sch/i.html?_nkw=Friends+in+Paldea+Professor+Program+Top+8+Prismatic+Evolutions+109+pokemon+card&amp;_sacat=0&amp;_from=R40&amp;_trksid=p4624852.m570.l1313&amp;mkcid=1&amp;mkrid=711-53200-19255-0&amp;siteid=0&amp;campid=5339158445&amp;customid=pokecottage&amp;toolid=10001&amp;mkevt=1","FIND ON EBAY")</f>
        <v>FIND ON EBAY</v>
      </c>
      <c r="G512" s="5"/>
      <c r="H512" s="7"/>
    </row>
    <row r="513" customFormat="false" ht="30" hidden="false" customHeight="true" outlineLevel="0" collapsed="false">
      <c r="A513" s="4" t="s">
        <v>6</v>
      </c>
      <c r="B513" s="5" t="s">
        <v>132</v>
      </c>
      <c r="C513" s="6" t="str">
        <f aca="false">HYPERLINK("https://partner.tcgplayer.com/c/6278691/1780961/21018?u=https%3A%2F%2Fwww.tcgplayer.com%2Fproduct%2F649180%3Futm_source%3Dimpact%26utm_medium%3Daffiliate%26utm_campaign%3Dpoke%2Bcottage","Max Rod")</f>
        <v>Max Rod</v>
      </c>
      <c r="D513" s="5" t="s">
        <v>220</v>
      </c>
      <c r="E513" s="5"/>
      <c r="F513" s="5"/>
      <c r="G513" s="5"/>
      <c r="H513" s="7"/>
    </row>
    <row r="514" customFormat="false" ht="30" hidden="false" customHeight="true" outlineLevel="0" collapsed="false">
      <c r="A514" s="4" t="s">
        <v>6</v>
      </c>
      <c r="B514" s="5" t="s">
        <v>139</v>
      </c>
      <c r="C514" s="5" t="s">
        <v>242</v>
      </c>
      <c r="D514" s="5" t="s">
        <v>235</v>
      </c>
      <c r="E514" s="5"/>
      <c r="F514" s="5" t="str">
        <f aca="false">HYPERLINK("https://www.ebay.com/sch/i.html?_nkw=Professor+s+Research+Professor+Oak+Professor+Program+Prismatic+Evolutions+122+pokemon+card&amp;_sacat=0&amp;_from=R40&amp;_trksid=p4624852.m570.l1313&amp;mkcid=1&amp;mkrid=711-53200-19255-0&amp;siteid=0&amp;campid=5339158445&amp;customid=pokecottage&amp;toolid=10001&amp;mkevt=1","FIND ON EBAY")</f>
        <v>FIND ON EBAY</v>
      </c>
      <c r="G514" s="5"/>
      <c r="H514" s="7"/>
    </row>
    <row r="515" customFormat="false" ht="30" hidden="false" customHeight="true" outlineLevel="0" collapsed="false">
      <c r="A515" s="4" t="s">
        <v>6</v>
      </c>
      <c r="B515" s="5" t="s">
        <v>140</v>
      </c>
      <c r="C515" s="5" t="s">
        <v>243</v>
      </c>
      <c r="D515" s="5" t="s">
        <v>235</v>
      </c>
      <c r="E515" s="5"/>
      <c r="F515" s="5" t="str">
        <f aca="false">HYPERLINK("https://www.ebay.com/sch/i.html?_nkw=Professor+s+Research+Professor+Elm+Professor+Program+Prismatic+Evolutions+123+pokemon+card&amp;_sacat=0&amp;_from=R40&amp;_trksid=p4624852.m570.l1313&amp;mkcid=1&amp;mkrid=711-53200-19255-0&amp;siteid=0&amp;campid=5339158445&amp;customid=pokecottage&amp;toolid=10001&amp;mkevt=1","FIND ON EBAY")</f>
        <v>FIND ON EBAY</v>
      </c>
      <c r="G515" s="5"/>
      <c r="H515" s="7"/>
    </row>
    <row r="516" customFormat="false" ht="30" hidden="false" customHeight="true" outlineLevel="0" collapsed="false">
      <c r="A516" s="4" t="s">
        <v>6</v>
      </c>
      <c r="B516" s="5" t="s">
        <v>141</v>
      </c>
      <c r="C516" s="5" t="s">
        <v>244</v>
      </c>
      <c r="D516" s="5" t="s">
        <v>235</v>
      </c>
      <c r="E516" s="5"/>
      <c r="F516" s="5" t="str">
        <f aca="false">HYPERLINK("https://www.ebay.com/sch/i.html?_nkw=Professor+s+Research+Professor+Rowan+Professor+Program+Prismatic+Evolutions+124+pokemon+card&amp;_sacat=0&amp;_from=R40&amp;_trksid=p4624852.m570.l1313&amp;mkcid=1&amp;mkrid=711-53200-19255-0&amp;siteid=0&amp;campid=5339158445&amp;customid=pokecottage&amp;toolid=10001&amp;mkevt=1","FIND ON EBAY")</f>
        <v>FIND ON EBAY</v>
      </c>
      <c r="G516" s="5"/>
      <c r="H516" s="7"/>
    </row>
    <row r="517" customFormat="false" ht="30" hidden="false" customHeight="true" outlineLevel="0" collapsed="false">
      <c r="A517" s="4" t="s">
        <v>6</v>
      </c>
      <c r="B517" s="5" t="s">
        <v>142</v>
      </c>
      <c r="C517" s="5" t="s">
        <v>245</v>
      </c>
      <c r="D517" s="5" t="s">
        <v>235</v>
      </c>
      <c r="E517" s="5"/>
      <c r="F517" s="5" t="str">
        <f aca="false">HYPERLINK("https://www.ebay.com/sch/i.html?_nkw=Professor+s+Research+Professor+Sycamore+Professor+Program+Prismatic+Evolutions+125+pokemon+card&amp;_sacat=0&amp;_from=R40&amp;_trksid=p4624852.m570.l1313&amp;mkcid=1&amp;mkrid=711-53200-19255-0&amp;siteid=0&amp;campid=5339158445&amp;customid=pokecottage&amp;toolid=10001&amp;mkevt=1","FIND ON EBAY")</f>
        <v>FIND ON EBAY</v>
      </c>
      <c r="G517" s="5"/>
      <c r="H517" s="7"/>
    </row>
    <row r="518" customFormat="false" ht="30" hidden="false" customHeight="true" outlineLevel="0" collapsed="false">
      <c r="A518" s="4" t="s">
        <v>6</v>
      </c>
      <c r="B518" s="5" t="s">
        <v>146</v>
      </c>
      <c r="C518" s="6" t="str">
        <f aca="false">HYPERLINK("https://partner.tcgplayer.com/c/6278691/1780961/21018?u=https%3A%2F%2Fwww.tcgplayer.com%2Fproduct%2F677397%3Futm_source%3Dimpact%26utm_medium%3Daffiliate%26utm_campaign%3Dpoke%2Bcottage","Sparkling Crystal")</f>
        <v>Sparkling Crystal</v>
      </c>
      <c r="D518" s="5" t="s">
        <v>220</v>
      </c>
      <c r="E518" s="5"/>
      <c r="F518" s="5"/>
      <c r="G518" s="5"/>
      <c r="H518" s="7"/>
    </row>
    <row r="519" customFormat="false" ht="30" hidden="false" customHeight="true" outlineLevel="0" collapsed="false">
      <c r="A519" s="4" t="s">
        <v>6</v>
      </c>
      <c r="B519" s="5" t="s">
        <v>153</v>
      </c>
      <c r="C519" s="5" t="s">
        <v>246</v>
      </c>
      <c r="D519" s="5" t="s">
        <v>235</v>
      </c>
      <c r="E519" s="5"/>
      <c r="F519" s="5" t="str">
        <f aca="false">HYPERLINK("https://www.ebay.com/sch/i.html?_nkw=Brassius+Professor+Program+Prismatic+Evolutions+135+pokemon+card&amp;_sacat=0&amp;_from=R40&amp;_trksid=p4624852.m570.l1313&amp;mkcid=1&amp;mkrid=711-53200-19255-0&amp;siteid=0&amp;campid=5339158445&amp;customid=pokecottage&amp;toolid=10001&amp;mkevt=1","FIND ON EBAY")</f>
        <v>FIND ON EBAY</v>
      </c>
      <c r="G519" s="5"/>
      <c r="H519" s="7"/>
    </row>
    <row r="520" customFormat="false" ht="30" hidden="false" customHeight="true" outlineLevel="0" collapsed="false">
      <c r="A520" s="4" t="s">
        <v>6</v>
      </c>
      <c r="B520" s="5" t="s">
        <v>247</v>
      </c>
      <c r="C520" s="6" t="str">
        <f aca="false">HYPERLINK("https://partner.tcgplayer.com/c/6278691/1780961/21018?u=https%3A%2F%2Fwww.tcgplayer.com%2Fproduct%2F578864%3Futm_source%3Dimpact%26utm_medium%3Daffiliate%26utm_campaign%3Dpoke%2Bcottage","Basic Grass Energy")</f>
        <v>Basic Grass Energy</v>
      </c>
      <c r="D520" s="5" t="s">
        <v>248</v>
      </c>
      <c r="E520" s="5"/>
      <c r="F520" s="5"/>
      <c r="G520" s="5"/>
      <c r="H520" s="7"/>
    </row>
    <row r="521" customFormat="false" ht="30" hidden="false" customHeight="true" outlineLevel="0" collapsed="false">
      <c r="A521" s="4" t="s">
        <v>6</v>
      </c>
      <c r="B521" s="5" t="s">
        <v>249</v>
      </c>
      <c r="C521" s="6" t="str">
        <f aca="false">HYPERLINK("https://partner.tcgplayer.com/c/6278691/1780961/21018?u=https%3A%2F%2Fwww.tcgplayer.com%2Fproduct%2F578863%3Futm_source%3Dimpact%26utm_medium%3Daffiliate%26utm_campaign%3Dpoke%2Bcottage","Basic Fire Energy")</f>
        <v>Basic Fire Energy</v>
      </c>
      <c r="D521" s="5" t="s">
        <v>248</v>
      </c>
      <c r="E521" s="5"/>
      <c r="F521" s="5"/>
      <c r="G521" s="5"/>
      <c r="H521" s="7"/>
    </row>
    <row r="522" customFormat="false" ht="30" hidden="false" customHeight="true" outlineLevel="0" collapsed="false">
      <c r="A522" s="4" t="s">
        <v>6</v>
      </c>
      <c r="B522" s="5" t="s">
        <v>250</v>
      </c>
      <c r="C522" s="6" t="str">
        <f aca="false">HYPERLINK("https://partner.tcgplayer.com/c/6278691/1780961/21018?u=https%3A%2F%2Fwww.tcgplayer.com%2Fproduct%2F578862%3Futm_source%3Dimpact%26utm_medium%3Daffiliate%26utm_campaign%3Dpoke%2Bcottage","Basic Water Energy")</f>
        <v>Basic Water Energy</v>
      </c>
      <c r="D522" s="5" t="s">
        <v>248</v>
      </c>
      <c r="E522" s="5"/>
      <c r="F522" s="5"/>
      <c r="G522" s="5"/>
      <c r="H522" s="7"/>
    </row>
    <row r="523" customFormat="false" ht="30" hidden="false" customHeight="true" outlineLevel="0" collapsed="false">
      <c r="A523" s="4" t="s">
        <v>6</v>
      </c>
      <c r="B523" s="5" t="s">
        <v>251</v>
      </c>
      <c r="C523" s="6" t="str">
        <f aca="false">HYPERLINK("https://partner.tcgplayer.com/c/6278691/1780961/21018?u=https%3A%2F%2Fwww.tcgplayer.com%2Fproduct%2F578866%3Futm_source%3Dimpact%26utm_medium%3Daffiliate%26utm_campaign%3Dpoke%2Bcottage","Basic Lightning Energy")</f>
        <v>Basic Lightning Energy</v>
      </c>
      <c r="D523" s="5" t="s">
        <v>248</v>
      </c>
      <c r="E523" s="5"/>
      <c r="F523" s="5"/>
      <c r="G523" s="5"/>
      <c r="H523" s="7"/>
    </row>
    <row r="524" customFormat="false" ht="30" hidden="false" customHeight="true" outlineLevel="0" collapsed="false">
      <c r="A524" s="4" t="s">
        <v>6</v>
      </c>
      <c r="B524" s="5" t="s">
        <v>252</v>
      </c>
      <c r="C524" s="6" t="str">
        <f aca="false">HYPERLINK("https://partner.tcgplayer.com/c/6278691/1780961/21018?u=https%3A%2F%2Fwww.tcgplayer.com%2Fproduct%2F578865%3Futm_source%3Dimpact%26utm_medium%3Daffiliate%26utm_campaign%3Dpoke%2Bcottage","Basic Psychic Energy")</f>
        <v>Basic Psychic Energy</v>
      </c>
      <c r="D524" s="5" t="s">
        <v>248</v>
      </c>
      <c r="E524" s="5"/>
      <c r="F524" s="5"/>
      <c r="G524" s="5"/>
      <c r="H524" s="7"/>
    </row>
    <row r="525" customFormat="false" ht="30" hidden="false" customHeight="true" outlineLevel="0" collapsed="false">
      <c r="A525" s="4" t="s">
        <v>6</v>
      </c>
      <c r="B525" s="5" t="s">
        <v>253</v>
      </c>
      <c r="C525" s="6" t="str">
        <f aca="false">HYPERLINK("https://partner.tcgplayer.com/c/6278691/1780961/21018?u=https%3A%2F%2Fwww.tcgplayer.com%2Fproduct%2F578867%3Futm_source%3Dimpact%26utm_medium%3Daffiliate%26utm_campaign%3Dpoke%2Bcottage","Basic Fighting Energy")</f>
        <v>Basic Fighting Energy</v>
      </c>
      <c r="D525" s="5" t="s">
        <v>248</v>
      </c>
      <c r="E525" s="5"/>
      <c r="F525" s="5"/>
      <c r="G525" s="5"/>
      <c r="H525" s="7"/>
    </row>
    <row r="526" customFormat="false" ht="30" hidden="false" customHeight="true" outlineLevel="0" collapsed="false">
      <c r="A526" s="4" t="s">
        <v>6</v>
      </c>
      <c r="B526" s="5" t="s">
        <v>254</v>
      </c>
      <c r="C526" s="6" t="str">
        <f aca="false">HYPERLINK("https://partner.tcgplayer.com/c/6278691/1780961/21018?u=https%3A%2F%2Fwww.tcgplayer.com%2Fproduct%2F578868%3Futm_source%3Dimpact%26utm_medium%3Daffiliate%26utm_campaign%3Dpoke%2Bcottage","Basic Darkness Energy")</f>
        <v>Basic Darkness Energy</v>
      </c>
      <c r="D526" s="5" t="s">
        <v>248</v>
      </c>
      <c r="E526" s="5"/>
      <c r="F526" s="5"/>
      <c r="G526" s="5"/>
      <c r="H526" s="7"/>
    </row>
    <row r="527" customFormat="false" ht="30" hidden="false" customHeight="true" outlineLevel="0" collapsed="false">
      <c r="A527" s="4" t="s">
        <v>6</v>
      </c>
      <c r="B527" s="5" t="s">
        <v>255</v>
      </c>
      <c r="C527" s="6" t="str">
        <f aca="false">HYPERLINK("https://partner.tcgplayer.com/c/6278691/1780961/21018?u=https%3A%2F%2Fwww.tcgplayer.com%2Fproduct%2F578869%3Futm_source%3Dimpact%26utm_medium%3Daffiliate%26utm_campaign%3Dpoke%2Bcottage","Basic Metal Energy")</f>
        <v>Basic Metal Energy</v>
      </c>
      <c r="D527" s="5" t="s">
        <v>248</v>
      </c>
      <c r="E527" s="5"/>
      <c r="F527" s="5"/>
      <c r="G527" s="5"/>
      <c r="H527" s="7"/>
    </row>
    <row r="529" customFormat="false" ht="24" hidden="false" customHeight="true" outlineLevel="0" collapsed="false">
      <c r="A529" s="8" t="s">
        <v>256</v>
      </c>
      <c r="B529" s="8"/>
      <c r="C529" s="8"/>
      <c r="D529" s="8"/>
      <c r="E529" s="8"/>
      <c r="F529" s="8"/>
      <c r="G529" s="8"/>
      <c r="H529" s="8"/>
    </row>
    <row r="530" customFormat="false" ht="24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</row>
  </sheetData>
  <mergeCells count="2">
    <mergeCell ref="A449:H449"/>
    <mergeCell ref="A529:H530"/>
  </mergeCells>
  <dataValidations count="1">
    <dataValidation allowBlank="false" errorStyle="stop" operator="between" showDropDown="false" showErrorMessage="false" showInputMessage="false" sqref="A2:A527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257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HYPERLINK("https://pokecottage.com/prismatic-evolutions-master-set-guide","Download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258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259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260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258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259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