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ldea Evolved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<sst xmlns="http://schemas.openxmlformats.org/spreadsheetml/2006/main" count="2482" uniqueCount="424">
  <si>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</si>
  <si>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</si>
  <si>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</si>
  <si>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</si>
  <si>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</si>
  <si>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</si>
  <si>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</si>
  <si>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001/193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</si>
  <si>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</si>
  <si>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</si>
  <si>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</si>
  <si>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</si>
  <si>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002/193</t>
  </si>
  <si>
    <t xml:space="preserve">Uncommon</t>
  </si>
  <si>
    <t xml:space="preserve">003/193</t>
  </si>
  <si>
    <t xml:space="preserve">Rare</t>
  </si>
  <si>
    <t xml:space="preserve">Holo</t>
  </si>
  <si>
    <t xml:space="preserve">004/193</t>
  </si>
  <si>
    <t xml:space="preserve">005/193</t>
  </si>
  <si>
    <t xml:space="preserve">Double Rare</t>
  </si>
  <si>
    <t xml:space="preserve">006/193</t>
  </si>
  <si>
    <t xml:space="preserve">007/193</t>
  </si>
  <si>
    <t xml:space="preserve">008/193</t>
  </si>
  <si>
    <t xml:space="preserve">009/193</t>
  </si>
  <si>
    <t xml:space="preserve">010/193</t>
  </si>
  <si>
    <t xml:space="preserve">011/193</t>
  </si>
  <si>
    <t xml:space="preserve">012/193</t>
  </si>
  <si>
    <t xml:space="preserve">013/193</t>
  </si>
  <si>
    <t xml:space="preserve">014/193</t>
  </si>
  <si>
    <t xml:space="preserve">015/193</t>
  </si>
  <si>
    <t xml:space="preserve">016/193</t>
  </si>
  <si>
    <t xml:space="preserve">017/193</t>
  </si>
  <si>
    <t xml:space="preserve">018/193</t>
  </si>
  <si>
    <t xml:space="preserve">019/193</t>
  </si>
  <si>
    <t xml:space="preserve">020/193</t>
  </si>
  <si>
    <t xml:space="preserve">021/193</t>
  </si>
  <si>
    <t xml:space="preserve">022/193</t>
  </si>
  <si>
    <t xml:space="preserve">023/193</t>
  </si>
  <si>
    <t xml:space="preserve">024/193</t>
  </si>
  <si>
    <t xml:space="preserve">025/193</t>
  </si>
  <si>
    <t xml:space="preserve">026/193</t>
  </si>
  <si>
    <t xml:space="preserve">027/193</t>
  </si>
  <si>
    <t xml:space="preserve">028/193</t>
  </si>
  <si>
    <t xml:space="preserve">029/193</t>
  </si>
  <si>
    <t xml:space="preserve">030/193</t>
  </si>
  <si>
    <t xml:space="preserve">031/193</t>
  </si>
  <si>
    <t xml:space="preserve">032/193</t>
  </si>
  <si>
    <t xml:space="preserve">033/193</t>
  </si>
  <si>
    <t xml:space="preserve">034/193</t>
  </si>
  <si>
    <t xml:space="preserve">035/193</t>
  </si>
  <si>
    <t xml:space="preserve">036/193</t>
  </si>
  <si>
    <t xml:space="preserve">037/193</t>
  </si>
  <si>
    <t xml:space="preserve">038/193</t>
  </si>
  <si>
    <t xml:space="preserve">039/193</t>
  </si>
  <si>
    <t xml:space="preserve">040/193</t>
  </si>
  <si>
    <t xml:space="preserve">041/193</t>
  </si>
  <si>
    <t xml:space="preserve">042/193</t>
  </si>
  <si>
    <t xml:space="preserve">043/193</t>
  </si>
  <si>
    <t xml:space="preserve">044/193</t>
  </si>
  <si>
    <t xml:space="preserve">045/193</t>
  </si>
  <si>
    <t xml:space="preserve">046/193</t>
  </si>
  <si>
    <t xml:space="preserve">047/193</t>
  </si>
  <si>
    <t xml:space="preserve">048/193</t>
  </si>
  <si>
    <t xml:space="preserve">049/193</t>
  </si>
  <si>
    <t xml:space="preserve">050/193</t>
  </si>
  <si>
    <t xml:space="preserve">051/193</t>
  </si>
  <si>
    <t xml:space="preserve">052/193</t>
  </si>
  <si>
    <t xml:space="preserve">053/193</t>
  </si>
  <si>
    <t xml:space="preserve">054/193</t>
  </si>
  <si>
    <t xml:space="preserve">055/193</t>
  </si>
  <si>
    <t xml:space="preserve">056/193</t>
  </si>
  <si>
    <t xml:space="preserve">057/193</t>
  </si>
  <si>
    <t xml:space="preserve">058/193</t>
  </si>
  <si>
    <t xml:space="preserve">059/193</t>
  </si>
  <si>
    <t xml:space="preserve">060/193</t>
  </si>
  <si>
    <t xml:space="preserve">061/193</t>
  </si>
  <si>
    <t xml:space="preserve">062/193</t>
  </si>
  <si>
    <t xml:space="preserve">063/193</t>
  </si>
  <si>
    <t xml:space="preserve">064/193</t>
  </si>
  <si>
    <t xml:space="preserve">065/193</t>
  </si>
  <si>
    <t xml:space="preserve">066/193</t>
  </si>
  <si>
    <t xml:space="preserve">067/193</t>
  </si>
  <si>
    <t xml:space="preserve">068/193</t>
  </si>
  <si>
    <t xml:space="preserve">069/193</t>
  </si>
  <si>
    <t xml:space="preserve">070/193</t>
  </si>
  <si>
    <t xml:space="preserve">071/193</t>
  </si>
  <si>
    <t xml:space="preserve">072/193</t>
  </si>
  <si>
    <t xml:space="preserve">073/193</t>
  </si>
  <si>
    <t xml:space="preserve">074/193</t>
  </si>
  <si>
    <t xml:space="preserve">075/193</t>
  </si>
  <si>
    <t xml:space="preserve">076/193</t>
  </si>
  <si>
    <t xml:space="preserve">077/193</t>
  </si>
  <si>
    <t xml:space="preserve">078/193</t>
  </si>
  <si>
    <t xml:space="preserve">079/193</t>
  </si>
  <si>
    <t xml:space="preserve">080/193</t>
  </si>
  <si>
    <t xml:space="preserve">081/193</t>
  </si>
  <si>
    <t xml:space="preserve">082/193</t>
  </si>
  <si>
    <t xml:space="preserve">083/193</t>
  </si>
  <si>
    <t xml:space="preserve">084/193</t>
  </si>
  <si>
    <t xml:space="preserve">085/193</t>
  </si>
  <si>
    <t xml:space="preserve">086/193</t>
  </si>
  <si>
    <t xml:space="preserve">087/193</t>
  </si>
  <si>
    <t xml:space="preserve">088/193</t>
  </si>
  <si>
    <t xml:space="preserve">089/193</t>
  </si>
  <si>
    <t xml:space="preserve">090/193</t>
  </si>
  <si>
    <t xml:space="preserve">091/193</t>
  </si>
  <si>
    <t xml:space="preserve">092/193</t>
  </si>
  <si>
    <t xml:space="preserve">093/193</t>
  </si>
  <si>
    <t xml:space="preserve">094/193</t>
  </si>
  <si>
    <t xml:space="preserve">095/193</t>
  </si>
  <si>
    <t xml:space="preserve">096/193</t>
  </si>
  <si>
    <t xml:space="preserve">097/193</t>
  </si>
  <si>
    <t xml:space="preserve">098/193</t>
  </si>
  <si>
    <t xml:space="preserve">099/193</t>
  </si>
  <si>
    <t xml:space="preserve">100/193</t>
  </si>
  <si>
    <t xml:space="preserve">101/193</t>
  </si>
  <si>
    <t xml:space="preserve">102/193</t>
  </si>
  <si>
    <t xml:space="preserve">103/193</t>
  </si>
  <si>
    <t xml:space="preserve">104/193</t>
  </si>
  <si>
    <t xml:space="preserve">105/193</t>
  </si>
  <si>
    <t xml:space="preserve">106/193</t>
  </si>
  <si>
    <t xml:space="preserve">107/193</t>
  </si>
  <si>
    <t xml:space="preserve">108/193</t>
  </si>
  <si>
    <t xml:space="preserve">109/193</t>
  </si>
  <si>
    <t xml:space="preserve">110/193</t>
  </si>
  <si>
    <t xml:space="preserve">111/193</t>
  </si>
  <si>
    <t xml:space="preserve">112/193</t>
  </si>
  <si>
    <t xml:space="preserve">113/193</t>
  </si>
  <si>
    <t xml:space="preserve">114/193</t>
  </si>
  <si>
    <t xml:space="preserve">115/193</t>
  </si>
  <si>
    <t xml:space="preserve">116/193</t>
  </si>
  <si>
    <t xml:space="preserve">117/193</t>
  </si>
  <si>
    <t xml:space="preserve">118/193</t>
  </si>
  <si>
    <t xml:space="preserve">119/193</t>
  </si>
  <si>
    <t xml:space="preserve">120/193</t>
  </si>
  <si>
    <t xml:space="preserve">121/193</t>
  </si>
  <si>
    <t xml:space="preserve">122/193</t>
  </si>
  <si>
    <t xml:space="preserve">123/193</t>
  </si>
  <si>
    <t xml:space="preserve">124/193</t>
  </si>
  <si>
    <t xml:space="preserve">125/193</t>
  </si>
  <si>
    <t xml:space="preserve">126/193</t>
  </si>
  <si>
    <t xml:space="preserve">127/193</t>
  </si>
  <si>
    <t xml:space="preserve">128/193</t>
  </si>
  <si>
    <t xml:space="preserve">129/193</t>
  </si>
  <si>
    <t xml:space="preserve">130/193</t>
  </si>
  <si>
    <t xml:space="preserve">131/193</t>
  </si>
  <si>
    <t xml:space="preserve">132/193</t>
  </si>
  <si>
    <t xml:space="preserve">133/193</t>
  </si>
  <si>
    <t xml:space="preserve">134/193</t>
  </si>
  <si>
    <t xml:space="preserve">135/193</t>
  </si>
  <si>
    <t xml:space="preserve">136/193</t>
  </si>
  <si>
    <t xml:space="preserve">137/193</t>
  </si>
  <si>
    <t xml:space="preserve">138/193</t>
  </si>
  <si>
    <t xml:space="preserve">139/193</t>
  </si>
  <si>
    <t xml:space="preserve">140/193</t>
  </si>
  <si>
    <t xml:space="preserve">141/193</t>
  </si>
  <si>
    <t xml:space="preserve">142/193</t>
  </si>
  <si>
    <t xml:space="preserve">143/193</t>
  </si>
  <si>
    <t xml:space="preserve">144/193</t>
  </si>
  <si>
    <t xml:space="preserve">145/193</t>
  </si>
  <si>
    <t xml:space="preserve">146/193</t>
  </si>
  <si>
    <t xml:space="preserve">147/193</t>
  </si>
  <si>
    <t xml:space="preserve">148/193</t>
  </si>
  <si>
    <t xml:space="preserve">149/193</t>
  </si>
  <si>
    <t xml:space="preserve">150/193</t>
  </si>
  <si>
    <t xml:space="preserve">151/193</t>
  </si>
  <si>
    <t xml:space="preserve">152/193</t>
  </si>
  <si>
    <t xml:space="preserve">153/193</t>
  </si>
  <si>
    <t xml:space="preserve">154/193</t>
  </si>
  <si>
    <t xml:space="preserve">155/193</t>
  </si>
  <si>
    <t xml:space="preserve">156/193</t>
  </si>
  <si>
    <t xml:space="preserve">157/193</t>
  </si>
  <si>
    <t xml:space="preserve">158/193</t>
  </si>
  <si>
    <t xml:space="preserve">159/193</t>
  </si>
  <si>
    <t xml:space="preserve">160/193</t>
  </si>
  <si>
    <t xml:space="preserve">161/193</t>
  </si>
  <si>
    <t xml:space="preserve">162/193</t>
  </si>
  <si>
    <t xml:space="preserve">163/193</t>
  </si>
  <si>
    <t xml:space="preserve">164/193</t>
  </si>
  <si>
    <t xml:space="preserve">165/193</t>
  </si>
  <si>
    <t xml:space="preserve">166/193</t>
  </si>
  <si>
    <t xml:space="preserve">167/193</t>
  </si>
  <si>
    <t xml:space="preserve">168/193</t>
  </si>
  <si>
    <t xml:space="preserve">169/193</t>
  </si>
  <si>
    <t xml:space="preserve">170/193</t>
  </si>
  <si>
    <t xml:space="preserve">171/193</t>
  </si>
  <si>
    <t xml:space="preserve">172/193</t>
  </si>
  <si>
    <t xml:space="preserve">173/193</t>
  </si>
  <si>
    <t xml:space="preserve">174/193</t>
  </si>
  <si>
    <t xml:space="preserve">175/193</t>
  </si>
  <si>
    <t xml:space="preserve">176/193</t>
  </si>
  <si>
    <t xml:space="preserve">177/193</t>
  </si>
  <si>
    <t xml:space="preserve">178/193</t>
  </si>
  <si>
    <t xml:space="preserve">179/193</t>
  </si>
  <si>
    <t xml:space="preserve">180/193</t>
  </si>
  <si>
    <t xml:space="preserve">181/193</t>
  </si>
  <si>
    <t xml:space="preserve">182/193</t>
  </si>
  <si>
    <t xml:space="preserve">183/193</t>
  </si>
  <si>
    <t xml:space="preserve">184/193</t>
  </si>
  <si>
    <t xml:space="preserve">185/193</t>
  </si>
  <si>
    <t xml:space="preserve">186/193</t>
  </si>
  <si>
    <t xml:space="preserve">187/193</t>
  </si>
  <si>
    <t xml:space="preserve">188/193</t>
  </si>
  <si>
    <t xml:space="preserve">189/193</t>
  </si>
  <si>
    <t xml:space="preserve">190/193</t>
  </si>
  <si>
    <t xml:space="preserve">191/193</t>
  </si>
  <si>
    <t xml:space="preserve">192/193</t>
  </si>
  <si>
    <t xml:space="preserve">193/193</t>
  </si>
  <si>
    <t xml:space="preserve">194/193</t>
  </si>
  <si>
    <t xml:space="preserve">Illustration Rare</t>
  </si>
  <si>
    <t xml:space="preserve">195/193</t>
  </si>
  <si>
    <t xml:space="preserve">196/193</t>
  </si>
  <si>
    <t xml:space="preserve">197/193</t>
  </si>
  <si>
    <t xml:space="preserve">198/193</t>
  </si>
  <si>
    <t xml:space="preserve">199/193</t>
  </si>
  <si>
    <t xml:space="preserve">200/193</t>
  </si>
  <si>
    <t xml:space="preserve">201/193</t>
  </si>
  <si>
    <t xml:space="preserve">202/193</t>
  </si>
  <si>
    <t xml:space="preserve">203/193</t>
  </si>
  <si>
    <t xml:space="preserve">204/193</t>
  </si>
  <si>
    <t xml:space="preserve">205/193</t>
  </si>
  <si>
    <t xml:space="preserve">206/193</t>
  </si>
  <si>
    <t xml:space="preserve">207/193</t>
  </si>
  <si>
    <t xml:space="preserve">208/193</t>
  </si>
  <si>
    <t xml:space="preserve">209/193</t>
  </si>
  <si>
    <t xml:space="preserve">210/193</t>
  </si>
  <si>
    <t xml:space="preserve">211/193</t>
  </si>
  <si>
    <t xml:space="preserve">212/193</t>
  </si>
  <si>
    <t xml:space="preserve">213/193</t>
  </si>
  <si>
    <t xml:space="preserve">214/193</t>
  </si>
  <si>
    <t xml:space="preserve">215/193</t>
  </si>
  <si>
    <t xml:space="preserve">216/193</t>
  </si>
  <si>
    <t xml:space="preserve">217/193</t>
  </si>
  <si>
    <t xml:space="preserve">218/193</t>
  </si>
  <si>
    <t xml:space="preserve">219/193</t>
  </si>
  <si>
    <t xml:space="preserve">220/193</t>
  </si>
  <si>
    <t xml:space="preserve">221/193</t>
  </si>
  <si>
    <t xml:space="preserve">222/193</t>
  </si>
  <si>
    <t xml:space="preserve">223/193</t>
  </si>
  <si>
    <t xml:space="preserve">224/193</t>
  </si>
  <si>
    <t xml:space="preserve">225/193</t>
  </si>
  <si>
    <t xml:space="preserve">226/193</t>
  </si>
  <si>
    <t xml:space="preserve">227/193</t>
  </si>
  <si>
    <t xml:space="preserve">228/193</t>
  </si>
  <si>
    <t xml:space="preserve">229/193</t>
  </si>
  <si>
    <t xml:space="preserve">230/193</t>
  </si>
  <si>
    <t xml:space="preserve">Ultra Rare</t>
  </si>
  <si>
    <t xml:space="preserve">231/193</t>
  </si>
  <si>
    <t xml:space="preserve">232/193</t>
  </si>
  <si>
    <t xml:space="preserve">233/193</t>
  </si>
  <si>
    <t xml:space="preserve">234/193</t>
  </si>
  <si>
    <t xml:space="preserve">235/193</t>
  </si>
  <si>
    <t xml:space="preserve">236/193</t>
  </si>
  <si>
    <t xml:space="preserve">237/193</t>
  </si>
  <si>
    <t xml:space="preserve">238/193</t>
  </si>
  <si>
    <t xml:space="preserve">239/193</t>
  </si>
  <si>
    <t xml:space="preserve">240/193</t>
  </si>
  <si>
    <t xml:space="preserve">241/193</t>
  </si>
  <si>
    <t xml:space="preserve">242/193</t>
  </si>
  <si>
    <t xml:space="preserve">243/193</t>
  </si>
  <si>
    <t xml:space="preserve">244/193</t>
  </si>
  <si>
    <t xml:space="preserve">245/193</t>
  </si>
  <si>
    <t xml:space="preserve">246/193</t>
  </si>
  <si>
    <t xml:space="preserve">247/193</t>
  </si>
  <si>
    <t xml:space="preserve">248/193</t>
  </si>
  <si>
    <t xml:space="preserve">249/193</t>
  </si>
  <si>
    <t xml:space="preserve">250/193</t>
  </si>
  <si>
    <t xml:space="preserve">251/193</t>
  </si>
  <si>
    <t xml:space="preserve">252/193</t>
  </si>
  <si>
    <t xml:space="preserve">253/193</t>
  </si>
  <si>
    <t xml:space="preserve">254/193</t>
  </si>
  <si>
    <t xml:space="preserve">255/193</t>
  </si>
  <si>
    <t xml:space="preserve">256/193</t>
  </si>
  <si>
    <t xml:space="preserve">Special Illustration Rare</t>
  </si>
  <si>
    <t xml:space="preserve">257/193</t>
  </si>
  <si>
    <t xml:space="preserve">258/193</t>
  </si>
  <si>
    <t xml:space="preserve">259/193</t>
  </si>
  <si>
    <t xml:space="preserve">260/193</t>
  </si>
  <si>
    <t xml:space="preserve">261/193</t>
  </si>
  <si>
    <t xml:space="preserve">262/193</t>
  </si>
  <si>
    <t xml:space="preserve">263/193</t>
  </si>
  <si>
    <t xml:space="preserve">264/193</t>
  </si>
  <si>
    <t xml:space="preserve">265/193</t>
  </si>
  <si>
    <t xml:space="preserve">266/193</t>
  </si>
  <si>
    <t xml:space="preserve">267/193</t>
  </si>
  <si>
    <t xml:space="preserve">268/193</t>
  </si>
  <si>
    <t xml:space="preserve">269/193</t>
  </si>
  <si>
    <t xml:space="preserve">270/193</t>
  </si>
  <si>
    <t xml:space="preserve">271/193</t>
  </si>
  <si>
    <t xml:space="preserve">Hyper Rare</t>
  </si>
  <si>
    <t xml:space="preserve">272/193</t>
  </si>
  <si>
    <t xml:space="preserve">273/193</t>
  </si>
  <si>
    <t xml:space="preserve">274/193</t>
  </si>
  <si>
    <t xml:space="preserve">275/193</t>
  </si>
  <si>
    <t xml:space="preserve">276/193</t>
  </si>
  <si>
    <t xml:space="preserve">277/193</t>
  </si>
  <si>
    <t xml:space="preserve">278/193</t>
  </si>
  <si>
    <t xml:space="preserve">279/193</t>
  </si>
  <si>
    <t xml:space="preserve">Promos &amp; Variants - Optional</t>
  </si>
  <si>
    <t xml:space="preserve">SVP 19</t>
  </si>
  <si>
    <t xml:space="preserve">Build &amp; Battle Deck Promo</t>
  </si>
  <si>
    <t xml:space="preserve">Staff Stamped</t>
  </si>
  <si>
    <t xml:space="preserve">SVP 20</t>
  </si>
  <si>
    <t xml:space="preserve">SVP 21</t>
  </si>
  <si>
    <t xml:space="preserve">SVP 22</t>
  </si>
  <si>
    <t xml:space="preserve">SVP 23</t>
  </si>
  <si>
    <t xml:space="preserve">Single Pack Blister</t>
  </si>
  <si>
    <t xml:space="preserve">SVP 24</t>
  </si>
  <si>
    <t xml:space="preserve">SVP 25</t>
  </si>
  <si>
    <t xml:space="preserve">3-Pack Blister</t>
  </si>
  <si>
    <t xml:space="preserve">SVP 26</t>
  </si>
  <si>
    <t xml:space="preserve">SVP 27</t>
  </si>
  <si>
    <t xml:space="preserve">Elite Trainer Box Promo</t>
  </si>
  <si>
    <t xml:space="preserve">Pokemon Center ETB Promo</t>
  </si>
  <si>
    <t xml:space="preserve">SVP 28</t>
  </si>
  <si>
    <t xml:space="preserve">Paldea Legends Tin</t>
  </si>
  <si>
    <t xml:space="preserve">SVP 29</t>
  </si>
  <si>
    <t xml:space="preserve">SVP 30</t>
  </si>
  <si>
    <t xml:space="preserve">Chien-Pao ex League Battle Deck</t>
  </si>
  <si>
    <t xml:space="preserve">SVP 31</t>
  </si>
  <si>
    <t xml:space="preserve">Tinkaton ex League Battle Deck</t>
  </si>
  <si>
    <t xml:space="preserve">SVP 32</t>
  </si>
  <si>
    <t xml:space="preserve">Annihilape ex Box</t>
  </si>
  <si>
    <t xml:space="preserve">SVP 33</t>
  </si>
  <si>
    <t xml:space="preserve">Paldea Partners Tin</t>
  </si>
  <si>
    <t xml:space="preserve">SVP 34</t>
  </si>
  <si>
    <t xml:space="preserve">SVP 35</t>
  </si>
  <si>
    <t xml:space="preserve">Play! Pokémon</t>
  </si>
  <si>
    <t xml:space="preserve">Pokémon Horizons</t>
  </si>
  <si>
    <t xml:space="preserve">Trick or Trade 2024</t>
  </si>
  <si>
    <t xml:space="preserve">Non-Holo</t>
  </si>
  <si>
    <t xml:space="preserve">Battle Academy 2024: Armarouge Deck Stamp 15</t>
  </si>
  <si>
    <t xml:space="preserve">Battle Academy 2024: Armarouge Deck Stamp 30</t>
  </si>
  <si>
    <t xml:space="preserve">Battle Academy 2024: Armarouge Deck Stamp 51</t>
  </si>
  <si>
    <t xml:space="preserve">Battle Academy 2024: Armarouge Deck Stamp 13</t>
  </si>
  <si>
    <t xml:space="preserve">Battle Academy 2024: Armarouge Deck Stamp 19</t>
  </si>
  <si>
    <t xml:space="preserve">Battle Academy 2024: Armarouge Deck Stamp 56</t>
  </si>
  <si>
    <t xml:space="preserve">Gyarados</t>
  </si>
  <si>
    <t xml:space="preserve">Cosmos Holo</t>
  </si>
  <si>
    <t xml:space="preserve">Holiday Calendar 2025</t>
  </si>
  <si>
    <t xml:space="preserve">Holiday Calendar 2024</t>
  </si>
  <si>
    <t xml:space="preserve">Build &amp; Battle Exclusive (Non-Holo)</t>
  </si>
  <si>
    <t xml:space="preserve">Baxcalibur</t>
  </si>
  <si>
    <t xml:space="preserve">Pokémon TCG Gym</t>
  </si>
  <si>
    <t xml:space="preserve">Chien-Pao ex</t>
  </si>
  <si>
    <t xml:space="preserve">Hong Kong National Championships</t>
  </si>
  <si>
    <t xml:space="preserve">Hong Kong Regional League</t>
  </si>
  <si>
    <t xml:space="preserve">Jumbo (Expansion Stamp)</t>
  </si>
  <si>
    <t xml:space="preserve">Malaysia National Championships</t>
  </si>
  <si>
    <t xml:space="preserve">Malaysia Regional League</t>
  </si>
  <si>
    <t xml:space="preserve">Philippines National Championships</t>
  </si>
  <si>
    <t xml:space="preserve">Philippines Regional League</t>
  </si>
  <si>
    <t xml:space="preserve">Singapore National Championships</t>
  </si>
  <si>
    <t xml:space="preserve">Singapore Regional League</t>
  </si>
  <si>
    <t xml:space="preserve">NBA Rain City Showcase</t>
  </si>
  <si>
    <t xml:space="preserve">Trick or Trade 2023</t>
  </si>
  <si>
    <t xml:space="preserve">Professor Program</t>
  </si>
  <si>
    <t xml:space="preserve">Battle Academy 2024: Pikachu Deck Stamp 1</t>
  </si>
  <si>
    <t xml:space="preserve">Battle Academy 2024: Pikachu Deck Stamp 30</t>
  </si>
  <si>
    <t xml:space="preserve">Battle Academy 2024: Pikachu Deck Stamp 34</t>
  </si>
  <si>
    <t xml:space="preserve">Battle Academy 2024: Pikachu Deck Stamp 55</t>
  </si>
  <si>
    <t xml:space="preserve">Battle Academy 2024: Pikachu Deck Stamp 25</t>
  </si>
  <si>
    <t xml:space="preserve">Electrode</t>
  </si>
  <si>
    <t xml:space="preserve">Battle Academy 2024: Pikachu Deck Stamp 56</t>
  </si>
  <si>
    <t xml:space="preserve">Battle Academy 2024: Pikachu Deck Stamp 6</t>
  </si>
  <si>
    <t xml:space="preserve">Luxray</t>
  </si>
  <si>
    <t xml:space="preserve">Play! Pokémon (Non-Holo)</t>
  </si>
  <si>
    <t xml:space="preserve">Kilowattrel</t>
  </si>
  <si>
    <t xml:space="preserve">Battle Academy 2024: Pikachu Deck</t>
  </si>
  <si>
    <t xml:space="preserve">Play! Pokémon (Cosmos Holo)</t>
  </si>
  <si>
    <t xml:space="preserve">Mimikyu</t>
  </si>
  <si>
    <t xml:space="preserve">Tinkaton</t>
  </si>
  <si>
    <t xml:space="preserve">Expansion Stamp</t>
  </si>
  <si>
    <t xml:space="preserve">GameStop</t>
  </si>
  <si>
    <t xml:space="preserve">Lycanroc ex</t>
  </si>
  <si>
    <t xml:space="preserve">Jumbo</t>
  </si>
  <si>
    <t xml:space="preserve">Sableye</t>
  </si>
  <si>
    <t xml:space="preserve">Battle Academy 2024: Darkrai Deck</t>
  </si>
  <si>
    <t xml:space="preserve">Hydreigon</t>
  </si>
  <si>
    <t xml:space="preserve">Orthworm</t>
  </si>
  <si>
    <t xml:space="preserve">Melmetal ex Battle Deck</t>
  </si>
  <si>
    <t xml:space="preserve">World Championships Deck 2024: Regidrago VSTAR by Evan Pavelski</t>
  </si>
  <si>
    <t xml:space="preserve">World Championships Deck 2024: The 'Don by Jesse Parker</t>
  </si>
  <si>
    <t xml:space="preserve">Squawkabilly ex</t>
  </si>
  <si>
    <t xml:space="preserve">World Championships Deck 2025: JP Raging Bolt by Yuya Okita</t>
  </si>
  <si>
    <t xml:space="preserve">Artazon</t>
  </si>
  <si>
    <t xml:space="preserve">World Championships Deck 2023: Psychic Elegance by Tord Reklev</t>
  </si>
  <si>
    <t xml:space="preserve">World Championships Deck 2025: Flutter Devo Gardevoir by Riley McKay</t>
  </si>
  <si>
    <t xml:space="preserve">Boss's Orders (Ghetsis)</t>
  </si>
  <si>
    <t xml:space="preserve">Asia Championship Series</t>
  </si>
  <si>
    <t xml:space="preserve">World Championships Deck 2023: Colorless Lugia by Gabriel Fernandez</t>
  </si>
  <si>
    <t xml:space="preserve">World Championships Deck 2023: Mew's Revenge by Vance Kelley</t>
  </si>
  <si>
    <t xml:space="preserve">World Championships Deck 2024: Ancient Toolbox by Sakuya Ota</t>
  </si>
  <si>
    <t xml:space="preserve">World Championships Deck 2024: Crushing Thorn by Fernando Cifuentes</t>
  </si>
  <si>
    <t xml:space="preserve">World Championships Deck 2025: Joltdengo by Liao Fu Guan</t>
  </si>
  <si>
    <t xml:space="preserve">World Championships Deck 2025: Pult Bomb by Jose Cruz Galindo-Resendiz</t>
  </si>
  <si>
    <t xml:space="preserve">Bravery Charm</t>
  </si>
  <si>
    <t xml:space="preserve">Giacomo</t>
  </si>
  <si>
    <t xml:space="preserve">Battle Academy 2024: Armarouge Deck Stamp 33</t>
  </si>
  <si>
    <t xml:space="preserve">Battle Academy 2024: Armarouge Deck Stamp 43</t>
  </si>
  <si>
    <t xml:space="preserve">Battle Academy 2024: Armarouge Deck Stamp 48</t>
  </si>
  <si>
    <t xml:space="preserve">Battle Academy 2024: Armarouge Deck Stamp 55</t>
  </si>
  <si>
    <t xml:space="preserve">Battle Academy 2024: Pikachu Deck Stamp 29</t>
  </si>
  <si>
    <t xml:space="preserve">Battle Academy 2024: Pikachu Deck Stamp 38</t>
  </si>
  <si>
    <t xml:space="preserve">Battle Academy 2024: Pikachu Deck Stamp 49</t>
  </si>
  <si>
    <t xml:space="preserve">Battle Academy 2024: Pikachu Deck Stamp 57</t>
  </si>
  <si>
    <t xml:space="preserve">Regional Championships</t>
  </si>
  <si>
    <t xml:space="preserve">Regional Championships (Staff)</t>
  </si>
  <si>
    <t xml:space="preserve">Iono</t>
  </si>
  <si>
    <t xml:space="preserve">Iono Zone</t>
  </si>
  <si>
    <t xml:space="preserve">Play! Pokémon (Mirror Holo)</t>
  </si>
  <si>
    <t xml:space="preserve">Play! League Stamp</t>
  </si>
  <si>
    <t xml:space="preserve">Super Rod</t>
  </si>
  <si>
    <t xml:space="preserve">World Championships Deck 2023: Lost Box Kyogre by Shao Tong Yen</t>
  </si>
  <si>
    <t xml:space="preserve">Superior Energy Retrieval</t>
  </si>
  <si>
    <t xml:space="preserve">Jet Energy</t>
  </si>
  <si>
    <t xml:space="preserve">Luminous Energy</t>
  </si>
  <si>
    <t xml:space="preserve">30th Anniversary Classic Collection</t>
  </si>
  <si>
    <t xml:space="preserve">Grusha</t>
  </si>
  <si>
    <t xml:space="preserve">This checklist contains affiliate links for which I may be compensated.</t>
  </si>
  <si>
    <t xml:space="preserve">Want free Paldea Evolved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</si>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</sst>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IFERROR((COUNTIF(A2:A456,"☑"))/((COUNTIF(A2:A456,"☑"))+(COUNTIF(A2:A456,"☐"))),0)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HYPERLINK("https://partner.tcgplayer.com/c/6278691/1780961/21018?u=https%3A%2F%2Fwww.tcgplayer.com%2Fproduct%2F497412%3Futm_source%3Dimpact%26utm_medium%3Daffiliate%26utm_campaign%3Dpoke%2Bcottage","Hoppip")</f>
        <v>Hoppip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IFERROR(COUNTIF(A2:A659,"☑")/(COUNTIF(A2:A659,"☑")+COUNTIF(A2:A659,"☐")),0)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HYPERLINK("https://partner.tcgplayer.com/c/6278691/1780961/21018?u=https%3A%2F%2Fwww.tcgplayer.com%2Fproduct%2F497412%3Futm_source%3Dimpact%26utm_medium%3Daffiliate%26utm_campaign%3Dpoke%2Bcottage","Hoppip")</f>
        <v>Hoppip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HYPERLINK("https://partner.tcgplayer.com/c/6278691/1780961/21018?u=https%3A%2F%2Fwww.tcgplayer.com%2Fproduct%2F497413%3Futm_source%3Dimpact%26utm_medium%3Daffiliate%26utm_campaign%3Dpoke%2Bcottage","Skiploom")</f>
        <v>Skiploom</v>
      </c>
      <c r="D4" s="5" t="s">
        <v>13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HYPERLINK("https://partner.tcgplayer.com/c/6278691/1780961/21018?u=https%3A%2F%2Fwww.tcgplayer.com%2Fproduct%2F497413%3Futm_source%3Dimpact%26utm_medium%3Daffiliate%26utm_campaign%3Dpoke%2Bcottage","Skiploom")</f>
        <v>Skiploom</v>
      </c>
      <c r="D5" s="5" t="s">
        <v>13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HYPERLINK("https://partner.tcgplayer.com/c/6278691/1780961/21018?u=https%3A%2F%2Fwww.tcgplayer.com%2Fproduct%2F497414%3Futm_source%3Dimpact%26utm_medium%3Daffiliate%26utm_campaign%3Dpoke%2Bcottage","Jumpluff")</f>
        <v>Jumpluff</v>
      </c>
      <c r="D6" s="5" t="s">
        <v>15</v>
      </c>
      <c r="E6" s="5" t="s">
        <v>16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14</v>
      </c>
      <c r="C7" s="6" t="str">
        <f aca="false">HYPERLINK("https://partner.tcgplayer.com/c/6278691/1780961/21018?u=https%3A%2F%2Fwww.tcgplayer.com%2Fproduct%2F497414%3Futm_source%3Dimpact%26utm_medium%3Daffiliate%26utm_campaign%3Dpoke%2Bcottage","Jumpluff")</f>
        <v>Jumpluff</v>
      </c>
      <c r="D7" s="5" t="s">
        <v>15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17</v>
      </c>
      <c r="C8" s="6" t="str">
        <f aca="false">HYPERLINK("https://partner.tcgplayer.com/c/6278691/1780961/21018?u=https%3A%2F%2Fwww.tcgplayer.com%2Fproduct%2F497415%3Futm_source%3Dimpact%26utm_medium%3Daffiliate%26utm_campaign%3Dpoke%2Bcottage","Pineco")</f>
        <v>Pineco</v>
      </c>
      <c r="D8" s="5" t="s">
        <v>8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17</v>
      </c>
      <c r="C9" s="6" t="str">
        <f aca="false">HYPERLINK("https://partner.tcgplayer.com/c/6278691/1780961/21018?u=https%3A%2F%2Fwww.tcgplayer.com%2Fproduct%2F497415%3Futm_source%3Dimpact%26utm_medium%3Daffiliate%26utm_campaign%3Dpoke%2Bcottage","Pineco")</f>
        <v>Pineco</v>
      </c>
      <c r="D9" s="5" t="s">
        <v>8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18</v>
      </c>
      <c r="C10" s="6" t="str">
        <f aca="false">HYPERLINK("https://partner.tcgplayer.com/c/6278691/1780961/21018?u=https%3A%2F%2Fwww.tcgplayer.com%2Fproduct%2F497416%3Futm_source%3Dimpact%26utm_medium%3Daffiliate%26utm_campaign%3Dpoke%2Bcottage","Forretress ex")</f>
        <v>Forretress ex</v>
      </c>
      <c r="D10" s="5" t="s">
        <v>19</v>
      </c>
      <c r="E10" s="5" t="s">
        <v>16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20</v>
      </c>
      <c r="C11" s="6" t="str">
        <f aca="false">HYPERLINK("https://partner.tcgplayer.com/c/6278691/1780961/21018?u=https%3A%2F%2Fwww.tcgplayer.com%2Fproduct%2F497417%3Futm_source%3Dimpact%26utm_medium%3Daffiliate%26utm_campaign%3Dpoke%2Bcottage","Heracross")</f>
        <v>Heracross</v>
      </c>
      <c r="D11" s="5" t="s">
        <v>13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20</v>
      </c>
      <c r="C12" s="6" t="str">
        <f aca="false">HYPERLINK("https://partner.tcgplayer.com/c/6278691/1780961/21018?u=https%3A%2F%2Fwww.tcgplayer.com%2Fproduct%2F497417%3Futm_source%3Dimpact%26utm_medium%3Daffiliate%26utm_campaign%3Dpoke%2Bcottage","Heracross")</f>
        <v>Heracross</v>
      </c>
      <c r="D12" s="5" t="s">
        <v>13</v>
      </c>
      <c r="E12" s="5" t="s">
        <v>11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21</v>
      </c>
      <c r="C13" s="6" t="str">
        <f aca="false">HYPERLINK("https://partner.tcgplayer.com/c/6278691/1780961/21018?u=https%3A%2F%2Fwww.tcgplayer.com%2Fproduct%2F497418%3Futm_source%3Dimpact%26utm_medium%3Daffiliate%26utm_campaign%3Dpoke%2Bcottage","Tropius")</f>
        <v>Tropius</v>
      </c>
      <c r="D13" s="5" t="s">
        <v>8</v>
      </c>
      <c r="E13" s="5" t="s">
        <v>9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21</v>
      </c>
      <c r="C14" s="6" t="str">
        <f aca="false">HYPERLINK("https://partner.tcgplayer.com/c/6278691/1780961/21018?u=https%3A%2F%2Fwww.tcgplayer.com%2Fproduct%2F497418%3Futm_source%3Dimpact%26utm_medium%3Daffiliate%26utm_campaign%3Dpoke%2Bcottage","Tropius")</f>
        <v>Tropius</v>
      </c>
      <c r="D14" s="5" t="s">
        <v>8</v>
      </c>
      <c r="E14" s="5" t="s">
        <v>11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22</v>
      </c>
      <c r="C15" s="6" t="str">
        <f aca="false">HYPERLINK("https://partner.tcgplayer.com/c/6278691/1780961/21018?u=https%3A%2F%2Fwww.tcgplayer.com%2Fproduct%2F497419%3Futm_source%3Dimpact%26utm_medium%3Daffiliate%26utm_campaign%3Dpoke%2Bcottage","Combee")</f>
        <v>Combee</v>
      </c>
      <c r="D15" s="5" t="s">
        <v>8</v>
      </c>
      <c r="E15" s="5" t="s">
        <v>9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22</v>
      </c>
      <c r="C16" s="6" t="str">
        <f aca="false">HYPERLINK("https://partner.tcgplayer.com/c/6278691/1780961/21018?u=https%3A%2F%2Fwww.tcgplayer.com%2Fproduct%2F497419%3Futm_source%3Dimpact%26utm_medium%3Daffiliate%26utm_campaign%3Dpoke%2Bcottage","Combee")</f>
        <v>Combee</v>
      </c>
      <c r="D16" s="5" t="s">
        <v>8</v>
      </c>
      <c r="E16" s="5" t="s">
        <v>11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23</v>
      </c>
      <c r="C17" s="6" t="str">
        <f aca="false">HYPERLINK("https://partner.tcgplayer.com/c/6278691/1780961/21018?u=https%3A%2F%2Fwww.tcgplayer.com%2Fproduct%2F497420%3Futm_source%3Dimpact%26utm_medium%3Daffiliate%26utm_campaign%3Dpoke%2Bcottage","Vespiquen")</f>
        <v>Vespiquen</v>
      </c>
      <c r="D17" s="5" t="s">
        <v>13</v>
      </c>
      <c r="E17" s="5" t="s">
        <v>9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23</v>
      </c>
      <c r="C18" s="6" t="str">
        <f aca="false">HYPERLINK("https://partner.tcgplayer.com/c/6278691/1780961/21018?u=https%3A%2F%2Fwww.tcgplayer.com%2Fproduct%2F497420%3Futm_source%3Dimpact%26utm_medium%3Daffiliate%26utm_campaign%3Dpoke%2Bcottage","Vespiquen")</f>
        <v>Vespiquen</v>
      </c>
      <c r="D18" s="5" t="s">
        <v>13</v>
      </c>
      <c r="E18" s="5" t="s">
        <v>11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24</v>
      </c>
      <c r="C19" s="6" t="str">
        <f aca="false">HYPERLINK("https://partner.tcgplayer.com/c/6278691/1780961/21018?u=https%3A%2F%2Fwww.tcgplayer.com%2Fproduct%2F497421%3Futm_source%3Dimpact%26utm_medium%3Daffiliate%26utm_campaign%3Dpoke%2Bcottage","Snover")</f>
        <v>Snover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24</v>
      </c>
      <c r="C20" s="6" t="str">
        <f aca="false">HYPERLINK("https://partner.tcgplayer.com/c/6278691/1780961/21018?u=https%3A%2F%2Fwww.tcgplayer.com%2Fproduct%2F497421%3Futm_source%3Dimpact%26utm_medium%3Daffiliate%26utm_campaign%3Dpoke%2Bcottage","Snover")</f>
        <v>Snover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25</v>
      </c>
      <c r="C21" s="6" t="str">
        <f aca="false">HYPERLINK("https://partner.tcgplayer.com/c/6278691/1780961/21018?u=https%3A%2F%2Fwww.tcgplayer.com%2Fproduct%2F497422%3Futm_source%3Dimpact%26utm_medium%3Daffiliate%26utm_campaign%3Dpoke%2Bcottage","Abomasnow")</f>
        <v>Abomasnow</v>
      </c>
      <c r="D21" s="5" t="s">
        <v>15</v>
      </c>
      <c r="E21" s="5" t="s">
        <v>16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25</v>
      </c>
      <c r="C22" s="6" t="str">
        <f aca="false">HYPERLINK("https://partner.tcgplayer.com/c/6278691/1780961/21018?u=https%3A%2F%2Fwww.tcgplayer.com%2Fproduct%2F497422%3Futm_source%3Dimpact%26utm_medium%3Daffiliate%26utm_campaign%3Dpoke%2Bcottage","Abomasnow")</f>
        <v>Abomasnow</v>
      </c>
      <c r="D22" s="5" t="s">
        <v>15</v>
      </c>
      <c r="E22" s="5" t="s">
        <v>11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26</v>
      </c>
      <c r="C23" s="6" t="str">
        <f aca="false">HYPERLINK("https://partner.tcgplayer.com/c/6278691/1780961/21018?u=https%3A%2F%2Fwww.tcgplayer.com%2Fproduct%2F497423%3Futm_source%3Dimpact%26utm_medium%3Daffiliate%26utm_campaign%3Dpoke%2Bcottage","Sprigatito")</f>
        <v>Sprigatito</v>
      </c>
      <c r="D23" s="5" t="s">
        <v>8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26</v>
      </c>
      <c r="C24" s="6" t="str">
        <f aca="false">HYPERLINK("https://partner.tcgplayer.com/c/6278691/1780961/21018?u=https%3A%2F%2Fwww.tcgplayer.com%2Fproduct%2F497423%3Futm_source%3Dimpact%26utm_medium%3Daffiliate%26utm_campaign%3Dpoke%2Bcottage","Sprigatito")</f>
        <v>Sprigatito</v>
      </c>
      <c r="D24" s="5" t="s">
        <v>8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HYPERLINK("https://partner.tcgplayer.com/c/6278691/1780961/21018?u=https%3A%2F%2Fwww.tcgplayer.com%2Fproduct%2F497424%3Futm_source%3Dimpact%26utm_medium%3Daffiliate%26utm_campaign%3Dpoke%2Bcottage","Sprigatito")</f>
        <v>Sprigatito</v>
      </c>
      <c r="D25" s="5" t="s">
        <v>8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HYPERLINK("https://partner.tcgplayer.com/c/6278691/1780961/21018?u=https%3A%2F%2Fwww.tcgplayer.com%2Fproduct%2F497424%3Futm_source%3Dimpact%26utm_medium%3Daffiliate%26utm_campaign%3Dpoke%2Bcottage","Sprigatito")</f>
        <v>Sprigatito</v>
      </c>
      <c r="D26" s="5" t="s">
        <v>8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HYPERLINK("https://partner.tcgplayer.com/c/6278691/1780961/21018?u=https%3A%2F%2Fwww.tcgplayer.com%2Fproduct%2F497425%3Futm_source%3Dimpact%26utm_medium%3Daffiliate%26utm_campaign%3Dpoke%2Bcottage","Floragato")</f>
        <v>Floragato</v>
      </c>
      <c r="D27" s="5" t="s">
        <v>13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28</v>
      </c>
      <c r="C28" s="6" t="str">
        <f aca="false">HYPERLINK("https://partner.tcgplayer.com/c/6278691/1780961/21018?u=https%3A%2F%2Fwww.tcgplayer.com%2Fproduct%2F497425%3Futm_source%3Dimpact%26utm_medium%3Daffiliate%26utm_campaign%3Dpoke%2Bcottage","Floragato")</f>
        <v>Floragato</v>
      </c>
      <c r="D28" s="5" t="s">
        <v>13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29</v>
      </c>
      <c r="C29" s="6" t="str">
        <f aca="false">HYPERLINK("https://partner.tcgplayer.com/c/6278691/1780961/21018?u=https%3A%2F%2Fwww.tcgplayer.com%2Fproduct%2F497426%3Futm_source%3Dimpact%26utm_medium%3Daffiliate%26utm_campaign%3Dpoke%2Bcottage","Meowscarada ex")</f>
        <v>Meowscarada ex</v>
      </c>
      <c r="D29" s="5" t="s">
        <v>19</v>
      </c>
      <c r="E29" s="5" t="s">
        <v>16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30</v>
      </c>
      <c r="C30" s="6" t="str">
        <f aca="false">HYPERLINK("https://partner.tcgplayer.com/c/6278691/1780961/21018?u=https%3A%2F%2Fwww.tcgplayer.com%2Fproduct%2F497427%3Futm_source%3Dimpact%26utm_medium%3Daffiliate%26utm_campaign%3Dpoke%2Bcottage","Tarountula")</f>
        <v>Tarountula</v>
      </c>
      <c r="D30" s="5" t="s">
        <v>8</v>
      </c>
      <c r="E30" s="5" t="s">
        <v>9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HYPERLINK("https://partner.tcgplayer.com/c/6278691/1780961/21018?u=https%3A%2F%2Fwww.tcgplayer.com%2Fproduct%2F497427%3Futm_source%3Dimpact%26utm_medium%3Daffiliate%26utm_campaign%3Dpoke%2Bcottage","Tarountula")</f>
        <v>Tarountula</v>
      </c>
      <c r="D31" s="5" t="s">
        <v>8</v>
      </c>
      <c r="E31" s="5" t="s">
        <v>11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31</v>
      </c>
      <c r="C32" s="6" t="str">
        <f aca="false">HYPERLINK("https://partner.tcgplayer.com/c/6278691/1780961/21018?u=https%3A%2F%2Fwww.tcgplayer.com%2Fproduct%2F497428%3Futm_source%3Dimpact%26utm_medium%3Daffiliate%26utm_campaign%3Dpoke%2Bcottage","Tarountula")</f>
        <v>Tarountula</v>
      </c>
      <c r="D32" s="5" t="s">
        <v>8</v>
      </c>
      <c r="E32" s="5" t="s">
        <v>9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HYPERLINK("https://partner.tcgplayer.com/c/6278691/1780961/21018?u=https%3A%2F%2Fwww.tcgplayer.com%2Fproduct%2F497428%3Futm_source%3Dimpact%26utm_medium%3Daffiliate%26utm_campaign%3Dpoke%2Bcottage","Tarountula")</f>
        <v>Tarountula</v>
      </c>
      <c r="D33" s="5" t="s">
        <v>8</v>
      </c>
      <c r="E33" s="5" t="s">
        <v>11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32</v>
      </c>
      <c r="C34" s="6" t="str">
        <f aca="false">HYPERLINK("https://partner.tcgplayer.com/c/6278691/1780961/21018?u=https%3A%2F%2Fwww.tcgplayer.com%2Fproduct%2F497429%3Futm_source%3Dimpact%26utm_medium%3Daffiliate%26utm_campaign%3Dpoke%2Bcottage","Spidops")</f>
        <v>Spidops</v>
      </c>
      <c r="D34" s="5" t="s">
        <v>13</v>
      </c>
      <c r="E34" s="5" t="s">
        <v>9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HYPERLINK("https://partner.tcgplayer.com/c/6278691/1780961/21018?u=https%3A%2F%2Fwww.tcgplayer.com%2Fproduct%2F497429%3Futm_source%3Dimpact%26utm_medium%3Daffiliate%26utm_campaign%3Dpoke%2Bcottage","Spidops")</f>
        <v>Spidops</v>
      </c>
      <c r="D35" s="5" t="s">
        <v>13</v>
      </c>
      <c r="E35" s="5" t="s">
        <v>11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33</v>
      </c>
      <c r="C36" s="6" t="str">
        <f aca="false">HYPERLINK("https://partner.tcgplayer.com/c/6278691/1780961/21018?u=https%3A%2F%2Fwww.tcgplayer.com%2Fproduct%2F497430%3Futm_source%3Dimpact%26utm_medium%3Daffiliate%26utm_campaign%3Dpoke%2Bcottage","Nymble")</f>
        <v>Nymble</v>
      </c>
      <c r="D36" s="5" t="s">
        <v>8</v>
      </c>
      <c r="E36" s="5" t="s">
        <v>9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HYPERLINK("https://partner.tcgplayer.com/c/6278691/1780961/21018?u=https%3A%2F%2Fwww.tcgplayer.com%2Fproduct%2F497430%3Futm_source%3Dimpact%26utm_medium%3Daffiliate%26utm_campaign%3Dpoke%2Bcottage","Nymble")</f>
        <v>Nymble</v>
      </c>
      <c r="D37" s="5" t="s">
        <v>8</v>
      </c>
      <c r="E37" s="5" t="s">
        <v>11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34</v>
      </c>
      <c r="C38" s="6" t="str">
        <f aca="false">HYPERLINK("https://partner.tcgplayer.com/c/6278691/1780961/21018?u=https%3A%2F%2Fwww.tcgplayer.com%2Fproduct%2F497431%3Futm_source%3Dimpact%26utm_medium%3Daffiliate%26utm_campaign%3Dpoke%2Bcottage","Nymble")</f>
        <v>Nymble</v>
      </c>
      <c r="D38" s="5" t="s">
        <v>8</v>
      </c>
      <c r="E38" s="5" t="s">
        <v>9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HYPERLINK("https://partner.tcgplayer.com/c/6278691/1780961/21018?u=https%3A%2F%2Fwww.tcgplayer.com%2Fproduct%2F497431%3Futm_source%3Dimpact%26utm_medium%3Daffiliate%26utm_campaign%3Dpoke%2Bcottage","Nymble")</f>
        <v>Nymble</v>
      </c>
      <c r="D39" s="5" t="s">
        <v>8</v>
      </c>
      <c r="E39" s="5" t="s">
        <v>11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35</v>
      </c>
      <c r="C40" s="6" t="str">
        <f aca="false">HYPERLINK("https://partner.tcgplayer.com/c/6278691/1780961/21018?u=https%3A%2F%2Fwww.tcgplayer.com%2Fproduct%2F497432%3Futm_source%3Dimpact%26utm_medium%3Daffiliate%26utm_campaign%3Dpoke%2Bcottage","Lokix")</f>
        <v>Lokix</v>
      </c>
      <c r="D40" s="5" t="s">
        <v>15</v>
      </c>
      <c r="E40" s="5" t="s">
        <v>16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HYPERLINK("https://partner.tcgplayer.com/c/6278691/1780961/21018?u=https%3A%2F%2Fwww.tcgplayer.com%2Fproduct%2F497432%3Futm_source%3Dimpact%26utm_medium%3Daffiliate%26utm_campaign%3Dpoke%2Bcottage","Lokix")</f>
        <v>Lokix</v>
      </c>
      <c r="D41" s="5" t="s">
        <v>15</v>
      </c>
      <c r="E41" s="5" t="s">
        <v>11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36</v>
      </c>
      <c r="C42" s="6" t="str">
        <f aca="false">HYPERLINK("https://partner.tcgplayer.com/c/6278691/1780961/21018?u=https%3A%2F%2Fwww.tcgplayer.com%2Fproduct%2F497433%3Futm_source%3Dimpact%26utm_medium%3Daffiliate%26utm_campaign%3Dpoke%2Bcottage","Bramblin")</f>
        <v>Bramblin</v>
      </c>
      <c r="D42" s="5" t="s">
        <v>8</v>
      </c>
      <c r="E42" s="5" t="s">
        <v>9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HYPERLINK("https://partner.tcgplayer.com/c/6278691/1780961/21018?u=https%3A%2F%2Fwww.tcgplayer.com%2Fproduct%2F497433%3Futm_source%3Dimpact%26utm_medium%3Daffiliate%26utm_campaign%3Dpoke%2Bcottage","Bramblin")</f>
        <v>Bramblin</v>
      </c>
      <c r="D43" s="5" t="s">
        <v>8</v>
      </c>
      <c r="E43" s="5" t="s">
        <v>11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37</v>
      </c>
      <c r="C44" s="6" t="str">
        <f aca="false">HYPERLINK("https://partner.tcgplayer.com/c/6278691/1780961/21018?u=https%3A%2F%2Fwww.tcgplayer.com%2Fproduct%2F497434%3Futm_source%3Dimpact%26utm_medium%3Daffiliate%26utm_campaign%3Dpoke%2Bcottage","Bramblin")</f>
        <v>Bramblin</v>
      </c>
      <c r="D44" s="5" t="s">
        <v>8</v>
      </c>
      <c r="E44" s="5" t="s">
        <v>9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HYPERLINK("https://partner.tcgplayer.com/c/6278691/1780961/21018?u=https%3A%2F%2Fwww.tcgplayer.com%2Fproduct%2F497434%3Futm_source%3Dimpact%26utm_medium%3Daffiliate%26utm_campaign%3Dpoke%2Bcottage","Bramblin")</f>
        <v>Bramblin</v>
      </c>
      <c r="D45" s="5" t="s">
        <v>8</v>
      </c>
      <c r="E45" s="5" t="s">
        <v>11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38</v>
      </c>
      <c r="C46" s="6" t="str">
        <f aca="false">HYPERLINK("https://partner.tcgplayer.com/c/6278691/1780961/21018?u=https%3A%2F%2Fwww.tcgplayer.com%2Fproduct%2F497435%3Futm_source%3Dimpact%26utm_medium%3Daffiliate%26utm_campaign%3Dpoke%2Bcottage","Brambleghast")</f>
        <v>Brambleghast</v>
      </c>
      <c r="D46" s="5" t="s">
        <v>13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HYPERLINK("https://partner.tcgplayer.com/c/6278691/1780961/21018?u=https%3A%2F%2Fwww.tcgplayer.com%2Fproduct%2F497435%3Futm_source%3Dimpact%26utm_medium%3Daffiliate%26utm_campaign%3Dpoke%2Bcottage","Brambleghast")</f>
        <v>Brambleghast</v>
      </c>
      <c r="D47" s="5" t="s">
        <v>13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HYPERLINK("https://partner.tcgplayer.com/c/6278691/1780961/21018?u=https%3A%2F%2Fwww.tcgplayer.com%2Fproduct%2F497436%3Futm_source%3Dimpact%26utm_medium%3Daffiliate%26utm_campaign%3Dpoke%2Bcottage","Rellor")</f>
        <v>Rellor</v>
      </c>
      <c r="D48" s="5" t="s">
        <v>8</v>
      </c>
      <c r="E48" s="5" t="s">
        <v>9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HYPERLINK("https://partner.tcgplayer.com/c/6278691/1780961/21018?u=https%3A%2F%2Fwww.tcgplayer.com%2Fproduct%2F497436%3Futm_source%3Dimpact%26utm_medium%3Daffiliate%26utm_campaign%3Dpoke%2Bcottage","Rellor")</f>
        <v>Rellor</v>
      </c>
      <c r="D49" s="5" t="s">
        <v>8</v>
      </c>
      <c r="E49" s="5" t="s">
        <v>11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HYPERLINK("https://partner.tcgplayer.com/c/6278691/1780961/21018?u=https%3A%2F%2Fwww.tcgplayer.com%2Fproduct%2F497437%3Futm_source%3Dimpact%26utm_medium%3Daffiliate%26utm_campaign%3Dpoke%2Bcottage","Rellor")</f>
        <v>Rellor</v>
      </c>
      <c r="D50" s="5" t="s">
        <v>8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HYPERLINK("https://partner.tcgplayer.com/c/6278691/1780961/21018?u=https%3A%2F%2Fwww.tcgplayer.com%2Fproduct%2F497437%3Futm_source%3Dimpact%26utm_medium%3Daffiliate%26utm_campaign%3Dpoke%2Bcottage","Rellor")</f>
        <v>Rellor</v>
      </c>
      <c r="D51" s="5" t="s">
        <v>8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HYPERLINK("https://partner.tcgplayer.com/c/6278691/1780961/21018?u=https%3A%2F%2Fwww.tcgplayer.com%2Fproduct%2F497438%3Futm_source%3Dimpact%26utm_medium%3Daffiliate%26utm_campaign%3Dpoke%2Bcottage","Wo-Chien ex")</f>
        <v>Wo-Chien ex</v>
      </c>
      <c r="D52" s="5" t="s">
        <v>19</v>
      </c>
      <c r="E52" s="5" t="s">
        <v>16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42</v>
      </c>
      <c r="C53" s="6" t="str">
        <f aca="false">HYPERLINK("https://partner.tcgplayer.com/c/6278691/1780961/21018?u=https%3A%2F%2Fwww.tcgplayer.com%2Fproduct%2F497439%3Futm_source%3Dimpact%26utm_medium%3Daffiliate%26utm_campaign%3Dpoke%2Bcottage","Paldean Tauros")</f>
        <v>Paldean Tauros</v>
      </c>
      <c r="D53" s="5" t="s">
        <v>13</v>
      </c>
      <c r="E53" s="5" t="s">
        <v>9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HYPERLINK("https://partner.tcgplayer.com/c/6278691/1780961/21018?u=https%3A%2F%2Fwww.tcgplayer.com%2Fproduct%2F497439%3Futm_source%3Dimpact%26utm_medium%3Daffiliate%26utm_campaign%3Dpoke%2Bcottage","Paldean Tauros")</f>
        <v>Paldean Tauros</v>
      </c>
      <c r="D54" s="5" t="s">
        <v>13</v>
      </c>
      <c r="E54" s="5" t="s">
        <v>11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43</v>
      </c>
      <c r="C55" s="6" t="str">
        <f aca="false">HYPERLINK("https://partner.tcgplayer.com/c/6278691/1780961/21018?u=https%3A%2F%2Fwww.tcgplayer.com%2Fproduct%2F497440%3Futm_source%3Dimpact%26utm_medium%3Daffiliate%26utm_campaign%3Dpoke%2Bcottage","Fletchinder")</f>
        <v>Fletchinder</v>
      </c>
      <c r="D55" s="5" t="s">
        <v>13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HYPERLINK("https://partner.tcgplayer.com/c/6278691/1780961/21018?u=https%3A%2F%2Fwww.tcgplayer.com%2Fproduct%2F497440%3Futm_source%3Dimpact%26utm_medium%3Daffiliate%26utm_campaign%3Dpoke%2Bcottage","Fletchinder")</f>
        <v>Fletchinder</v>
      </c>
      <c r="D56" s="5" t="s">
        <v>13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HYPERLINK("https://partner.tcgplayer.com/c/6278691/1780961/21018?u=https%3A%2F%2Fwww.tcgplayer.com%2Fproduct%2F497442%3Futm_source%3Dimpact%26utm_medium%3Daffiliate%26utm_campaign%3Dpoke%2Bcottage","Talonflame")</f>
        <v>Talonflame</v>
      </c>
      <c r="D57" s="5" t="s">
        <v>13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HYPERLINK("https://partner.tcgplayer.com/c/6278691/1780961/21018?u=https%3A%2F%2Fwww.tcgplayer.com%2Fproduct%2F497442%3Futm_source%3Dimpact%26utm_medium%3Daffiliate%26utm_campaign%3Dpoke%2Bcottage","Talonflame")</f>
        <v>Talonflame</v>
      </c>
      <c r="D58" s="5" t="s">
        <v>13</v>
      </c>
      <c r="E58" s="5" t="s">
        <v>11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HYPERLINK("https://partner.tcgplayer.com/c/6278691/1780961/21018?u=https%3A%2F%2Fwww.tcgplayer.com%2Fproduct%2F498857%3Futm_source%3Dimpact%26utm_medium%3Daffiliate%26utm_campaign%3Dpoke%2Bcottage","Litleo")</f>
        <v>Litleo</v>
      </c>
      <c r="D59" s="5" t="s">
        <v>8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45</v>
      </c>
      <c r="C60" s="6" t="str">
        <f aca="false">HYPERLINK("https://partner.tcgplayer.com/c/6278691/1780961/21018?u=https%3A%2F%2Fwww.tcgplayer.com%2Fproduct%2F498857%3Futm_source%3Dimpact%26utm_medium%3Daffiliate%26utm_campaign%3Dpoke%2Bcottage","Litleo")</f>
        <v>Litleo</v>
      </c>
      <c r="D60" s="5" t="s">
        <v>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HYPERLINK("https://partner.tcgplayer.com/c/6278691/1780961/21018?u=https%3A%2F%2Fwww.tcgplayer.com%2Fproduct%2F497443%3Futm_source%3Dimpact%26utm_medium%3Daffiliate%26utm_campaign%3Dpoke%2Bcottage","Pyroar")</f>
        <v>Pyroar</v>
      </c>
      <c r="D61" s="5" t="s">
        <v>13</v>
      </c>
      <c r="E61" s="5" t="s">
        <v>9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46</v>
      </c>
      <c r="C62" s="6" t="str">
        <f aca="false">HYPERLINK("https://partner.tcgplayer.com/c/6278691/1780961/21018?u=https%3A%2F%2Fwww.tcgplayer.com%2Fproduct%2F497443%3Futm_source%3Dimpact%26utm_medium%3Daffiliate%26utm_campaign%3Dpoke%2Bcottage","Pyroar")</f>
        <v>Pyroar</v>
      </c>
      <c r="D62" s="5" t="s">
        <v>13</v>
      </c>
      <c r="E62" s="5" t="s">
        <v>11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HYPERLINK("https://partner.tcgplayer.com/c/6278691/1780961/21018?u=https%3A%2F%2Fwww.tcgplayer.com%2Fproduct%2F497444%3Futm_source%3Dimpact%26utm_medium%3Daffiliate%26utm_campaign%3Dpoke%2Bcottage","Oricorio")</f>
        <v>Oricorio</v>
      </c>
      <c r="D63" s="5" t="s">
        <v>15</v>
      </c>
      <c r="E63" s="5" t="s">
        <v>16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HYPERLINK("https://partner.tcgplayer.com/c/6278691/1780961/21018?u=https%3A%2F%2Fwww.tcgplayer.com%2Fproduct%2F497444%3Futm_source%3Dimpact%26utm_medium%3Daffiliate%26utm_campaign%3Dpoke%2Bcottage","Oricorio")</f>
        <v>Oricorio</v>
      </c>
      <c r="D64" s="5" t="s">
        <v>15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HYPERLINK("https://partner.tcgplayer.com/c/6278691/1780961/21018?u=https%3A%2F%2Fwww.tcgplayer.com%2Fproduct%2F497445%3Futm_source%3Dimpact%26utm_medium%3Daffiliate%26utm_campaign%3Dpoke%2Bcottage","Fuecoco")</f>
        <v>Fuecoco</v>
      </c>
      <c r="D65" s="5" t="s">
        <v>8</v>
      </c>
      <c r="E65" s="5" t="s">
        <v>9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48</v>
      </c>
      <c r="C66" s="6" t="str">
        <f aca="false">HYPERLINK("https://partner.tcgplayer.com/c/6278691/1780961/21018?u=https%3A%2F%2Fwww.tcgplayer.com%2Fproduct%2F497445%3Futm_source%3Dimpact%26utm_medium%3Daffiliate%26utm_campaign%3Dpoke%2Bcottage","Fuecoco")</f>
        <v>Fuecoco</v>
      </c>
      <c r="D66" s="5" t="s">
        <v>8</v>
      </c>
      <c r="E66" s="5" t="s">
        <v>11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HYPERLINK("https://partner.tcgplayer.com/c/6278691/1780961/21018?u=https%3A%2F%2Fwww.tcgplayer.com%2Fproduct%2F497446%3Futm_source%3Dimpact%26utm_medium%3Daffiliate%26utm_campaign%3Dpoke%2Bcottage","Fuecoco")</f>
        <v>Fuecoco</v>
      </c>
      <c r="D67" s="5" t="s">
        <v>8</v>
      </c>
      <c r="E67" s="5" t="s">
        <v>9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49</v>
      </c>
      <c r="C68" s="6" t="str">
        <f aca="false">HYPERLINK("https://partner.tcgplayer.com/c/6278691/1780961/21018?u=https%3A%2F%2Fwww.tcgplayer.com%2Fproduct%2F497446%3Futm_source%3Dimpact%26utm_medium%3Daffiliate%26utm_campaign%3Dpoke%2Bcottage","Fuecoco")</f>
        <v>Fuecoco</v>
      </c>
      <c r="D68" s="5" t="s">
        <v>8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HYPERLINK("https://partner.tcgplayer.com/c/6278691/1780961/21018?u=https%3A%2F%2Fwww.tcgplayer.com%2Fproduct%2F497447%3Futm_source%3Dimpact%26utm_medium%3Daffiliate%26utm_campaign%3Dpoke%2Bcottage","Crocalor")</f>
        <v>Crocalor</v>
      </c>
      <c r="D69" s="5" t="s">
        <v>13</v>
      </c>
      <c r="E69" s="5" t="s">
        <v>9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50</v>
      </c>
      <c r="C70" s="6" t="str">
        <f aca="false">HYPERLINK("https://partner.tcgplayer.com/c/6278691/1780961/21018?u=https%3A%2F%2Fwww.tcgplayer.com%2Fproduct%2F497447%3Futm_source%3Dimpact%26utm_medium%3Daffiliate%26utm_campaign%3Dpoke%2Bcottage","Crocalor")</f>
        <v>Crocalor</v>
      </c>
      <c r="D70" s="5" t="s">
        <v>13</v>
      </c>
      <c r="E70" s="5" t="s">
        <v>11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HYPERLINK("https://partner.tcgplayer.com/c/6278691/1780961/21018?u=https%3A%2F%2Fwww.tcgplayer.com%2Fproduct%2F497448%3Futm_source%3Dimpact%26utm_medium%3Daffiliate%26utm_campaign%3Dpoke%2Bcottage","Skeledirge ex")</f>
        <v>Skeledirge ex</v>
      </c>
      <c r="D71" s="5" t="s">
        <v>19</v>
      </c>
      <c r="E71" s="5" t="s">
        <v>16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HYPERLINK("https://partner.tcgplayer.com/c/6278691/1780961/21018?u=https%3A%2F%2Fwww.tcgplayer.com%2Fproduct%2F497449%3Futm_source%3Dimpact%26utm_medium%3Daffiliate%26utm_campaign%3Dpoke%2Bcottage","Charcadet")</f>
        <v>Charcadet</v>
      </c>
      <c r="D72" s="5" t="s">
        <v>8</v>
      </c>
      <c r="E72" s="5" t="s">
        <v>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HYPERLINK("https://partner.tcgplayer.com/c/6278691/1780961/21018?u=https%3A%2F%2Fwww.tcgplayer.com%2Fproduct%2F497449%3Futm_source%3Dimpact%26utm_medium%3Daffiliate%26utm_campaign%3Dpoke%2Bcottage","Charcadet")</f>
        <v>Charcadet</v>
      </c>
      <c r="D73" s="5" t="s">
        <v>8</v>
      </c>
      <c r="E73" s="5" t="s">
        <v>11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HYPERLINK("https://partner.tcgplayer.com/c/6278691/1780961/21018?u=https%3A%2F%2Fwww.tcgplayer.com%2Fproduct%2F497450%3Futm_source%3Dimpact%26utm_medium%3Daffiliate%26utm_campaign%3Dpoke%2Bcottage","Charcadet")</f>
        <v>Charcadet</v>
      </c>
      <c r="D74" s="5" t="s">
        <v>8</v>
      </c>
      <c r="E74" s="5" t="s">
        <v>9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HYPERLINK("https://partner.tcgplayer.com/c/6278691/1780961/21018?u=https%3A%2F%2Fwww.tcgplayer.com%2Fproduct%2F497450%3Futm_source%3Dimpact%26utm_medium%3Daffiliate%26utm_campaign%3Dpoke%2Bcottage","Charcadet")</f>
        <v>Charcadet</v>
      </c>
      <c r="D75" s="5" t="s">
        <v>8</v>
      </c>
      <c r="E75" s="5" t="s">
        <v>11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54</v>
      </c>
      <c r="C76" s="6" t="str">
        <f aca="false">HYPERLINK("https://partner.tcgplayer.com/c/6278691/1780961/21018?u=https%3A%2F%2Fwww.tcgplayer.com%2Fproduct%2F497451%3Futm_source%3Dimpact%26utm_medium%3Daffiliate%26utm_campaign%3Dpoke%2Bcottage","Chi-Yu ex")</f>
        <v>Chi-Yu ex</v>
      </c>
      <c r="D76" s="5" t="s">
        <v>19</v>
      </c>
      <c r="E76" s="5" t="s">
        <v>16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55</v>
      </c>
      <c r="C77" s="6" t="str">
        <f aca="false">HYPERLINK("https://partner.tcgplayer.com/c/6278691/1780961/21018?u=https%3A%2F%2Fwww.tcgplayer.com%2Fproduct%2F497452%3Futm_source%3Dimpact%26utm_medium%3Daffiliate%26utm_campaign%3Dpoke%2Bcottage","Paldean Tauros")</f>
        <v>Paldean Tauros</v>
      </c>
      <c r="D77" s="5" t="s">
        <v>13</v>
      </c>
      <c r="E77" s="5" t="s">
        <v>9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55</v>
      </c>
      <c r="C78" s="6" t="str">
        <f aca="false">HYPERLINK("https://partner.tcgplayer.com/c/6278691/1780961/21018?u=https%3A%2F%2Fwww.tcgplayer.com%2Fproduct%2F497452%3Futm_source%3Dimpact%26utm_medium%3Daffiliate%26utm_campaign%3Dpoke%2Bcottage","Paldean Tauros")</f>
        <v>Paldean Tauros</v>
      </c>
      <c r="D78" s="5" t="s">
        <v>13</v>
      </c>
      <c r="E78" s="5" t="s">
        <v>11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56</v>
      </c>
      <c r="C79" s="6" t="str">
        <f aca="false">HYPERLINK("https://partner.tcgplayer.com/c/6278691/1780961/21018?u=https%3A%2F%2Fwww.tcgplayer.com%2Fproduct%2F497453%3Futm_source%3Dimpact%26utm_medium%3Daffiliate%26utm_campaign%3Dpoke%2Bcottage","Magikarp")</f>
        <v>Magikarp</v>
      </c>
      <c r="D79" s="5" t="s">
        <v>8</v>
      </c>
      <c r="E79" s="5" t="s">
        <v>9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56</v>
      </c>
      <c r="C80" s="6" t="str">
        <f aca="false">HYPERLINK("https://partner.tcgplayer.com/c/6278691/1780961/21018?u=https%3A%2F%2Fwww.tcgplayer.com%2Fproduct%2F497453%3Futm_source%3Dimpact%26utm_medium%3Daffiliate%26utm_campaign%3Dpoke%2Bcottage","Magikarp")</f>
        <v>Magikarp</v>
      </c>
      <c r="D80" s="5" t="s">
        <v>8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57</v>
      </c>
      <c r="C81" s="6" t="str">
        <f aca="false">HYPERLINK("https://partner.tcgplayer.com/c/6278691/1780961/21018?u=https%3A%2F%2Fwww.tcgplayer.com%2Fproduct%2F497454%3Futm_source%3Dimpact%26utm_medium%3Daffiliate%26utm_campaign%3Dpoke%2Bcottage","Gyarados")</f>
        <v>Gyarados</v>
      </c>
      <c r="D81" s="5" t="s">
        <v>15</v>
      </c>
      <c r="E81" s="5" t="s">
        <v>16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HYPERLINK("https://partner.tcgplayer.com/c/6278691/1780961/21018?u=https%3A%2F%2Fwww.tcgplayer.com%2Fproduct%2F497454%3Futm_source%3Dimpact%26utm_medium%3Daffiliate%26utm_campaign%3Dpoke%2Bcottage","Gyarados")</f>
        <v>Gyarados</v>
      </c>
      <c r="D82" s="5" t="s">
        <v>15</v>
      </c>
      <c r="E82" s="5" t="s">
        <v>11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HYPERLINK("https://partner.tcgplayer.com/c/6278691/1780961/21018?u=https%3A%2F%2Fwww.tcgplayer.com%2Fproduct%2F497455%3Futm_source%3Dimpact%26utm_medium%3Daffiliate%26utm_campaign%3Dpoke%2Bcottage","Marill")</f>
        <v>Marill</v>
      </c>
      <c r="D83" s="5" t="s">
        <v>8</v>
      </c>
      <c r="E83" s="5" t="s">
        <v>9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HYPERLINK("https://partner.tcgplayer.com/c/6278691/1780961/21018?u=https%3A%2F%2Fwww.tcgplayer.com%2Fproduct%2F497455%3Futm_source%3Dimpact%26utm_medium%3Daffiliate%26utm_campaign%3Dpoke%2Bcottage","Marill")</f>
        <v>Marill</v>
      </c>
      <c r="D84" s="5" t="s">
        <v>8</v>
      </c>
      <c r="E84" s="5" t="s">
        <v>11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HYPERLINK("https://partner.tcgplayer.com/c/6278691/1780961/21018?u=https%3A%2F%2Fwww.tcgplayer.com%2Fproduct%2F497456%3Futm_source%3Dimpact%26utm_medium%3Daffiliate%26utm_campaign%3Dpoke%2Bcottage","Azumarill")</f>
        <v>Azumarill</v>
      </c>
      <c r="D85" s="5" t="s">
        <v>13</v>
      </c>
      <c r="E85" s="5" t="s">
        <v>9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HYPERLINK("https://partner.tcgplayer.com/c/6278691/1780961/21018?u=https%3A%2F%2Fwww.tcgplayer.com%2Fproduct%2F497456%3Futm_source%3Dimpact%26utm_medium%3Daffiliate%26utm_campaign%3Dpoke%2Bcottage","Azumarill")</f>
        <v>Azumarill</v>
      </c>
      <c r="D86" s="5" t="s">
        <v>13</v>
      </c>
      <c r="E86" s="5" t="s">
        <v>11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HYPERLINK("https://partner.tcgplayer.com/c/6278691/1780961/21018?u=https%3A%2F%2Fwww.tcgplayer.com%2Fproduct%2F497457%3Futm_source%3Dimpact%26utm_medium%3Daffiliate%26utm_campaign%3Dpoke%2Bcottage","Delibird")</f>
        <v>Delibird</v>
      </c>
      <c r="D87" s="5" t="s">
        <v>8</v>
      </c>
      <c r="E87" s="5" t="s">
        <v>9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HYPERLINK("https://partner.tcgplayer.com/c/6278691/1780961/21018?u=https%3A%2F%2Fwww.tcgplayer.com%2Fproduct%2F497457%3Futm_source%3Dimpact%26utm_medium%3Daffiliate%26utm_campaign%3Dpoke%2Bcottage","Delibird")</f>
        <v>Delibird</v>
      </c>
      <c r="D88" s="5" t="s">
        <v>8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HYPERLINK("https://partner.tcgplayer.com/c/6278691/1780961/21018?u=https%3A%2F%2Fwww.tcgplayer.com%2Fproduct%2F497458%3Futm_source%3Dimpact%26utm_medium%3Daffiliate%26utm_campaign%3Dpoke%2Bcottage","Luvdisc")</f>
        <v>Luvdisc</v>
      </c>
      <c r="D89" s="5" t="s">
        <v>8</v>
      </c>
      <c r="E89" s="5" t="s">
        <v>9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HYPERLINK("https://partner.tcgplayer.com/c/6278691/1780961/21018?u=https%3A%2F%2Fwww.tcgplayer.com%2Fproduct%2F497458%3Futm_source%3Dimpact%26utm_medium%3Daffiliate%26utm_campaign%3Dpoke%2Bcottage","Luvdisc")</f>
        <v>Luvdisc</v>
      </c>
      <c r="D90" s="5" t="s">
        <v>8</v>
      </c>
      <c r="E90" s="5" t="s">
        <v>11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HYPERLINK("https://partner.tcgplayer.com/c/6278691/1780961/21018?u=https%3A%2F%2Fwww.tcgplayer.com%2Fproduct%2F497459%3Futm_source%3Dimpact%26utm_medium%3Daffiliate%26utm_campaign%3Dpoke%2Bcottage","Eiscue")</f>
        <v>Eiscue</v>
      </c>
      <c r="D91" s="5" t="s">
        <v>13</v>
      </c>
      <c r="E91" s="5" t="s">
        <v>9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HYPERLINK("https://partner.tcgplayer.com/c/6278691/1780961/21018?u=https%3A%2F%2Fwww.tcgplayer.com%2Fproduct%2F497459%3Futm_source%3Dimpact%26utm_medium%3Daffiliate%26utm_campaign%3Dpoke%2Bcottage","Eiscue")</f>
        <v>Eiscue</v>
      </c>
      <c r="D92" s="5" t="s">
        <v>13</v>
      </c>
      <c r="E92" s="5" t="s">
        <v>11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HYPERLINK("https://partner.tcgplayer.com/c/6278691/1780961/21018?u=https%3A%2F%2Fwww.tcgplayer.com%2Fproduct%2F497460%3Futm_source%3Dimpact%26utm_medium%3Daffiliate%26utm_campaign%3Dpoke%2Bcottage","Quaxly")</f>
        <v>Quaxly</v>
      </c>
      <c r="D93" s="5" t="s">
        <v>8</v>
      </c>
      <c r="E93" s="5" t="s">
        <v>9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HYPERLINK("https://partner.tcgplayer.com/c/6278691/1780961/21018?u=https%3A%2F%2Fwww.tcgplayer.com%2Fproduct%2F497460%3Futm_source%3Dimpact%26utm_medium%3Daffiliate%26utm_campaign%3Dpoke%2Bcottage","Quaxly")</f>
        <v>Quaxly</v>
      </c>
      <c r="D94" s="5" t="s">
        <v>8</v>
      </c>
      <c r="E94" s="5" t="s">
        <v>11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HYPERLINK("https://partner.tcgplayer.com/c/6278691/1780961/21018?u=https%3A%2F%2Fwww.tcgplayer.com%2Fproduct%2F497461%3Futm_source%3Dimpact%26utm_medium%3Daffiliate%26utm_campaign%3Dpoke%2Bcottage","Quaxly")</f>
        <v>Quaxly</v>
      </c>
      <c r="D95" s="5" t="s">
        <v>8</v>
      </c>
      <c r="E95" s="5" t="s">
        <v>9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HYPERLINK("https://partner.tcgplayer.com/c/6278691/1780961/21018?u=https%3A%2F%2Fwww.tcgplayer.com%2Fproduct%2F497461%3Futm_source%3Dimpact%26utm_medium%3Daffiliate%26utm_campaign%3Dpoke%2Bcottage","Quaxly")</f>
        <v>Quaxly</v>
      </c>
      <c r="D96" s="5" t="s">
        <v>8</v>
      </c>
      <c r="E96" s="5" t="s">
        <v>11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HYPERLINK("https://partner.tcgplayer.com/c/6278691/1780961/21018?u=https%3A%2F%2Fwww.tcgplayer.com%2Fproduct%2F497462%3Futm_source%3Dimpact%26utm_medium%3Daffiliate%26utm_campaign%3Dpoke%2Bcottage","Quaxwell")</f>
        <v>Quaxwell</v>
      </c>
      <c r="D97" s="5" t="s">
        <v>13</v>
      </c>
      <c r="E97" s="5" t="s">
        <v>9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HYPERLINK("https://partner.tcgplayer.com/c/6278691/1780961/21018?u=https%3A%2F%2Fwww.tcgplayer.com%2Fproduct%2F497462%3Futm_source%3Dimpact%26utm_medium%3Daffiliate%26utm_campaign%3Dpoke%2Bcottage","Quaxwell")</f>
        <v>Quaxwell</v>
      </c>
      <c r="D98" s="5" t="s">
        <v>13</v>
      </c>
      <c r="E98" s="5" t="s">
        <v>11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HYPERLINK("https://partner.tcgplayer.com/c/6278691/1780961/21018?u=https%3A%2F%2Fwww.tcgplayer.com%2Fproduct%2F497463%3Futm_source%3Dimpact%26utm_medium%3Daffiliate%26utm_campaign%3Dpoke%2Bcottage","Quaquaval ex")</f>
        <v>Quaquaval ex</v>
      </c>
      <c r="D99" s="5" t="s">
        <v>19</v>
      </c>
      <c r="E99" s="5" t="s">
        <v>16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67</v>
      </c>
      <c r="C100" s="6" t="str">
        <f aca="false">HYPERLINK("https://partner.tcgplayer.com/c/6278691/1780961/21018?u=https%3A%2F%2Fwww.tcgplayer.com%2Fproduct%2F497464%3Futm_source%3Dimpact%26utm_medium%3Daffiliate%26utm_campaign%3Dpoke%2Bcottage","Cetoddle")</f>
        <v>Cetoddle</v>
      </c>
      <c r="D100" s="5" t="s">
        <v>8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HYPERLINK("https://partner.tcgplayer.com/c/6278691/1780961/21018?u=https%3A%2F%2Fwww.tcgplayer.com%2Fproduct%2F497464%3Futm_source%3Dimpact%26utm_medium%3Daffiliate%26utm_campaign%3Dpoke%2Bcottage","Cetoddle")</f>
        <v>Cetoddle</v>
      </c>
      <c r="D101" s="5" t="s">
        <v>8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68</v>
      </c>
      <c r="C102" s="6" t="str">
        <f aca="false">HYPERLINK("https://partner.tcgplayer.com/c/6278691/1780961/21018?u=https%3A%2F%2Fwww.tcgplayer.com%2Fproduct%2F497465%3Futm_source%3Dimpact%26utm_medium%3Daffiliate%26utm_campaign%3Dpoke%2Bcottage","Cetoddle")</f>
        <v>Cetoddle</v>
      </c>
      <c r="D102" s="5" t="s">
        <v>8</v>
      </c>
      <c r="E102" s="5" t="s">
        <v>9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HYPERLINK("https://partner.tcgplayer.com/c/6278691/1780961/21018?u=https%3A%2F%2Fwww.tcgplayer.com%2Fproduct%2F497465%3Futm_source%3Dimpact%26utm_medium%3Daffiliate%26utm_campaign%3Dpoke%2Bcottage","Cetoddle")</f>
        <v>Cetoddle</v>
      </c>
      <c r="D103" s="5" t="s">
        <v>8</v>
      </c>
      <c r="E103" s="5" t="s">
        <v>11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HYPERLINK("https://partner.tcgplayer.com/c/6278691/1780961/21018?u=https%3A%2F%2Fwww.tcgplayer.com%2Fproduct%2F497466%3Futm_source%3Dimpact%26utm_medium%3Daffiliate%26utm_campaign%3Dpoke%2Bcottage","Cetitan")</f>
        <v>Cetitan</v>
      </c>
      <c r="D104" s="5" t="s">
        <v>13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HYPERLINK("https://partner.tcgplayer.com/c/6278691/1780961/21018?u=https%3A%2F%2Fwww.tcgplayer.com%2Fproduct%2F497466%3Futm_source%3Dimpact%26utm_medium%3Daffiliate%26utm_campaign%3Dpoke%2Bcottage","Cetitan")</f>
        <v>Cetitan</v>
      </c>
      <c r="D105" s="5" t="s">
        <v>13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70</v>
      </c>
      <c r="C106" s="6" t="str">
        <f aca="false">HYPERLINK("https://partner.tcgplayer.com/c/6278691/1780961/21018?u=https%3A%2F%2Fwww.tcgplayer.com%2Fproduct%2F497467%3Futm_source%3Dimpact%26utm_medium%3Daffiliate%26utm_campaign%3Dpoke%2Bcottage","Veluza")</f>
        <v>Veluza</v>
      </c>
      <c r="D106" s="5" t="s">
        <v>15</v>
      </c>
      <c r="E106" s="5" t="s">
        <v>16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HYPERLINK("https://partner.tcgplayer.com/c/6278691/1780961/21018?u=https%3A%2F%2Fwww.tcgplayer.com%2Fproduct%2F497467%3Futm_source%3Dimpact%26utm_medium%3Daffiliate%26utm_campaign%3Dpoke%2Bcottage","Veluza")</f>
        <v>Veluza</v>
      </c>
      <c r="D107" s="5" t="s">
        <v>15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71</v>
      </c>
      <c r="C108" s="6" t="str">
        <f aca="false">HYPERLINK("https://partner.tcgplayer.com/c/6278691/1780961/21018?u=https%3A%2F%2Fwww.tcgplayer.com%2Fproduct%2F497468%3Futm_source%3Dimpact%26utm_medium%3Daffiliate%26utm_campaign%3Dpoke%2Bcottage","Frigibax")</f>
        <v>Frigibax</v>
      </c>
      <c r="D108" s="5" t="s">
        <v>8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HYPERLINK("https://partner.tcgplayer.com/c/6278691/1780961/21018?u=https%3A%2F%2Fwww.tcgplayer.com%2Fproduct%2F497468%3Futm_source%3Dimpact%26utm_medium%3Daffiliate%26utm_campaign%3Dpoke%2Bcottage","Frigibax")</f>
        <v>Frigibax</v>
      </c>
      <c r="D109" s="5" t="s">
        <v>8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HYPERLINK("https://partner.tcgplayer.com/c/6278691/1780961/21018?u=https%3A%2F%2Fwww.tcgplayer.com%2Fproduct%2F497469%3Futm_source%3Dimpact%26utm_medium%3Daffiliate%26utm_campaign%3Dpoke%2Bcottage","Frigibax")</f>
        <v>Frigibax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HYPERLINK("https://partner.tcgplayer.com/c/6278691/1780961/21018?u=https%3A%2F%2Fwww.tcgplayer.com%2Fproduct%2F497469%3Futm_source%3Dimpact%26utm_medium%3Daffiliate%26utm_campaign%3Dpoke%2Bcottage","Frigibax")</f>
        <v>Frigibax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HYPERLINK("https://partner.tcgplayer.com/c/6278691/1780961/21018?u=https%3A%2F%2Fwww.tcgplayer.com%2Fproduct%2F497470%3Futm_source%3Dimpact%26utm_medium%3Daffiliate%26utm_campaign%3Dpoke%2Bcottage","Arctibax")</f>
        <v>Arctibax</v>
      </c>
      <c r="D112" s="5" t="s">
        <v>13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73</v>
      </c>
      <c r="C113" s="6" t="str">
        <f aca="false">HYPERLINK("https://partner.tcgplayer.com/c/6278691/1780961/21018?u=https%3A%2F%2Fwww.tcgplayer.com%2Fproduct%2F497470%3Futm_source%3Dimpact%26utm_medium%3Daffiliate%26utm_campaign%3Dpoke%2Bcottage","Arctibax")</f>
        <v>Arctibax</v>
      </c>
      <c r="D113" s="5" t="s">
        <v>13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HYPERLINK("https://partner.tcgplayer.com/c/6278691/1780961/21018?u=https%3A%2F%2Fwww.tcgplayer.com%2Fproduct%2F497471%3Futm_source%3Dimpact%26utm_medium%3Daffiliate%26utm_campaign%3Dpoke%2Bcottage","Baxcalibur")</f>
        <v>Baxcalibur</v>
      </c>
      <c r="D114" s="5" t="s">
        <v>15</v>
      </c>
      <c r="E114" s="5" t="s">
        <v>16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74</v>
      </c>
      <c r="C115" s="6" t="str">
        <f aca="false">HYPERLINK("https://partner.tcgplayer.com/c/6278691/1780961/21018?u=https%3A%2F%2Fwww.tcgplayer.com%2Fproduct%2F497471%3Futm_source%3Dimpact%26utm_medium%3Daffiliate%26utm_campaign%3Dpoke%2Bcottage","Baxcalibur")</f>
        <v>Baxcalibur</v>
      </c>
      <c r="D115" s="5" t="s">
        <v>15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HYPERLINK("https://partner.tcgplayer.com/c/6278691/1780961/21018?u=https%3A%2F%2Fwww.tcgplayer.com%2Fproduct%2F497472%3Futm_source%3Dimpact%26utm_medium%3Daffiliate%26utm_campaign%3Dpoke%2Bcottage","Chien-Pao ex")</f>
        <v>Chien-Pao ex</v>
      </c>
      <c r="D116" s="5" t="s">
        <v>19</v>
      </c>
      <c r="E116" s="5" t="s">
        <v>16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76</v>
      </c>
      <c r="C117" s="6" t="str">
        <f aca="false">HYPERLINK("https://partner.tcgplayer.com/c/6278691/1780961/21018?u=https%3A%2F%2Fwww.tcgplayer.com%2Fproduct%2F497473%3Futm_source%3Dimpact%26utm_medium%3Daffiliate%26utm_campaign%3Dpoke%2Bcottage","Pikachu")</f>
        <v>Pikachu</v>
      </c>
      <c r="D117" s="5" t="s">
        <v>8</v>
      </c>
      <c r="E117" s="5" t="s">
        <v>9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HYPERLINK("https://partner.tcgplayer.com/c/6278691/1780961/21018?u=https%3A%2F%2Fwww.tcgplayer.com%2Fproduct%2F497473%3Futm_source%3Dimpact%26utm_medium%3Daffiliate%26utm_campaign%3Dpoke%2Bcottage","Pikachu")</f>
        <v>Pikachu</v>
      </c>
      <c r="D118" s="5" t="s">
        <v>8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77</v>
      </c>
      <c r="C119" s="6" t="str">
        <f aca="false">HYPERLINK("https://partner.tcgplayer.com/c/6278691/1780961/21018?u=https%3A%2F%2Fwww.tcgplayer.com%2Fproduct%2F497474%3Futm_source%3Dimpact%26utm_medium%3Daffiliate%26utm_campaign%3Dpoke%2Bcottage","Pikachu ex")</f>
        <v>Pikachu ex</v>
      </c>
      <c r="D119" s="5" t="s">
        <v>19</v>
      </c>
      <c r="E119" s="5" t="s">
        <v>16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78</v>
      </c>
      <c r="C120" s="6" t="str">
        <f aca="false">HYPERLINK("https://partner.tcgplayer.com/c/6278691/1780961/21018?u=https%3A%2F%2Fwww.tcgplayer.com%2Fproduct%2F497475%3Futm_source%3Dimpact%26utm_medium%3Daffiliate%26utm_campaign%3Dpoke%2Bcottage","Raichu")</f>
        <v>Raichu</v>
      </c>
      <c r="D120" s="5" t="s">
        <v>13</v>
      </c>
      <c r="E120" s="5" t="s">
        <v>9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78</v>
      </c>
      <c r="C121" s="6" t="str">
        <f aca="false">HYPERLINK("https://partner.tcgplayer.com/c/6278691/1780961/21018?u=https%3A%2F%2Fwww.tcgplayer.com%2Fproduct%2F497475%3Futm_source%3Dimpact%26utm_medium%3Daffiliate%26utm_campaign%3Dpoke%2Bcottage","Raichu")</f>
        <v>Raichu</v>
      </c>
      <c r="D121" s="5" t="s">
        <v>13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79</v>
      </c>
      <c r="C122" s="6" t="str">
        <f aca="false">HYPERLINK("https://partner.tcgplayer.com/c/6278691/1780961/21018?u=https%3A%2F%2Fwww.tcgplayer.com%2Fproduct%2F497476%3Futm_source%3Dimpact%26utm_medium%3Daffiliate%26utm_campaign%3Dpoke%2Bcottage","Magnemite")</f>
        <v>Magnemite</v>
      </c>
      <c r="D122" s="5" t="s">
        <v>8</v>
      </c>
      <c r="E122" s="5" t="s">
        <v>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79</v>
      </c>
      <c r="C123" s="6" t="str">
        <f aca="false">HYPERLINK("https://partner.tcgplayer.com/c/6278691/1780961/21018?u=https%3A%2F%2Fwww.tcgplayer.com%2Fproduct%2F497476%3Futm_source%3Dimpact%26utm_medium%3Daffiliate%26utm_campaign%3Dpoke%2Bcottage","Magnemite")</f>
        <v>Magnemite</v>
      </c>
      <c r="D123" s="5" t="s">
        <v>8</v>
      </c>
      <c r="E123" s="5" t="s">
        <v>11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80</v>
      </c>
      <c r="C124" s="6" t="str">
        <f aca="false">HYPERLINK("https://partner.tcgplayer.com/c/6278691/1780961/21018?u=https%3A%2F%2Fwww.tcgplayer.com%2Fproduct%2F497477%3Futm_source%3Dimpact%26utm_medium%3Daffiliate%26utm_campaign%3Dpoke%2Bcottage","Voltorb")</f>
        <v>Voltorb</v>
      </c>
      <c r="D124" s="5" t="s">
        <v>8</v>
      </c>
      <c r="E124" s="5" t="s">
        <v>9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80</v>
      </c>
      <c r="C125" s="6" t="str">
        <f aca="false">HYPERLINK("https://partner.tcgplayer.com/c/6278691/1780961/21018?u=https%3A%2F%2Fwww.tcgplayer.com%2Fproduct%2F497477%3Futm_source%3Dimpact%26utm_medium%3Daffiliate%26utm_campaign%3Dpoke%2Bcottage","Voltorb")</f>
        <v>Voltorb</v>
      </c>
      <c r="D125" s="5" t="s">
        <v>8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81</v>
      </c>
      <c r="C126" s="6" t="str">
        <f aca="false">HYPERLINK("https://partner.tcgplayer.com/c/6278691/1780961/21018?u=https%3A%2F%2Fwww.tcgplayer.com%2Fproduct%2F497478%3Futm_source%3Dimpact%26utm_medium%3Daffiliate%26utm_campaign%3Dpoke%2Bcottage","Electrode")</f>
        <v>Electrode</v>
      </c>
      <c r="D126" s="5" t="s">
        <v>13</v>
      </c>
      <c r="E126" s="5" t="s">
        <v>9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HYPERLINK("https://partner.tcgplayer.com/c/6278691/1780961/21018?u=https%3A%2F%2Fwww.tcgplayer.com%2Fproduct%2F497478%3Futm_source%3Dimpact%26utm_medium%3Daffiliate%26utm_campaign%3Dpoke%2Bcottage","Electrode")</f>
        <v>Electrode</v>
      </c>
      <c r="D127" s="5" t="s">
        <v>13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82</v>
      </c>
      <c r="C128" s="6" t="str">
        <f aca="false">HYPERLINK("https://partner.tcgplayer.com/c/6278691/1780961/21018?u=https%3A%2F%2Fwww.tcgplayer.com%2Fproduct%2F497479%3Futm_source%3Dimpact%26utm_medium%3Daffiliate%26utm_campaign%3Dpoke%2Bcottage","Shinx")</f>
        <v>Shinx</v>
      </c>
      <c r="D128" s="5" t="s">
        <v>8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HYPERLINK("https://partner.tcgplayer.com/c/6278691/1780961/21018?u=https%3A%2F%2Fwww.tcgplayer.com%2Fproduct%2F497479%3Futm_source%3Dimpact%26utm_medium%3Daffiliate%26utm_campaign%3Dpoke%2Bcottage","Shinx")</f>
        <v>Shinx</v>
      </c>
      <c r="D129" s="5" t="s">
        <v>8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83</v>
      </c>
      <c r="C130" s="6" t="str">
        <f aca="false">HYPERLINK("https://partner.tcgplayer.com/c/6278691/1780961/21018?u=https%3A%2F%2Fwww.tcgplayer.com%2Fproduct%2F497480%3Futm_source%3Dimpact%26utm_medium%3Daffiliate%26utm_campaign%3Dpoke%2Bcottage","Shinx")</f>
        <v>Shinx</v>
      </c>
      <c r="D130" s="5" t="s">
        <v>8</v>
      </c>
      <c r="E130" s="5" t="s">
        <v>9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HYPERLINK("https://partner.tcgplayer.com/c/6278691/1780961/21018?u=https%3A%2F%2Fwww.tcgplayer.com%2Fproduct%2F497480%3Futm_source%3Dimpact%26utm_medium%3Daffiliate%26utm_campaign%3Dpoke%2Bcottage","Shinx")</f>
        <v>Shinx</v>
      </c>
      <c r="D131" s="5" t="s">
        <v>8</v>
      </c>
      <c r="E131" s="5" t="s">
        <v>11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84</v>
      </c>
      <c r="C132" s="6" t="str">
        <f aca="false">HYPERLINK("https://partner.tcgplayer.com/c/6278691/1780961/21018?u=https%3A%2F%2Fwww.tcgplayer.com%2Fproduct%2F497481%3Futm_source%3Dimpact%26utm_medium%3Daffiliate%26utm_campaign%3Dpoke%2Bcottage","Luxio")</f>
        <v>Luxio</v>
      </c>
      <c r="D132" s="5" t="s">
        <v>13</v>
      </c>
      <c r="E132" s="5" t="s">
        <v>9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HYPERLINK("https://partner.tcgplayer.com/c/6278691/1780961/21018?u=https%3A%2F%2Fwww.tcgplayer.com%2Fproduct%2F497481%3Futm_source%3Dimpact%26utm_medium%3Daffiliate%26utm_campaign%3Dpoke%2Bcottage","Luxio")</f>
        <v>Luxio</v>
      </c>
      <c r="D133" s="5" t="s">
        <v>13</v>
      </c>
      <c r="E133" s="5" t="s">
        <v>11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85</v>
      </c>
      <c r="C134" s="6" t="str">
        <f aca="false">HYPERLINK("https://partner.tcgplayer.com/c/6278691/1780961/21018?u=https%3A%2F%2Fwww.tcgplayer.com%2Fproduct%2F497482%3Futm_source%3Dimpact%26utm_medium%3Daffiliate%26utm_campaign%3Dpoke%2Bcottage","Luxray")</f>
        <v>Luxray</v>
      </c>
      <c r="D134" s="5" t="s">
        <v>15</v>
      </c>
      <c r="E134" s="5" t="s">
        <v>16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HYPERLINK("https://partner.tcgplayer.com/c/6278691/1780961/21018?u=https%3A%2F%2Fwww.tcgplayer.com%2Fproduct%2F497482%3Futm_source%3Dimpact%26utm_medium%3Daffiliate%26utm_campaign%3Dpoke%2Bcottage","Luxray")</f>
        <v>Luxray</v>
      </c>
      <c r="D135" s="5" t="s">
        <v>15</v>
      </c>
      <c r="E135" s="5" t="s">
        <v>11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86</v>
      </c>
      <c r="C136" s="6" t="str">
        <f aca="false">HYPERLINK("https://partner.tcgplayer.com/c/6278691/1780961/21018?u=https%3A%2F%2Fwww.tcgplayer.com%2Fproduct%2F497483%3Futm_source%3Dimpact%26utm_medium%3Daffiliate%26utm_campaign%3Dpoke%2Bcottage","Pincurchin")</f>
        <v>Pincurchin</v>
      </c>
      <c r="D136" s="5" t="s">
        <v>8</v>
      </c>
      <c r="E136" s="5" t="s">
        <v>9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HYPERLINK("https://partner.tcgplayer.com/c/6278691/1780961/21018?u=https%3A%2F%2Fwww.tcgplayer.com%2Fproduct%2F497483%3Futm_source%3Dimpact%26utm_medium%3Daffiliate%26utm_campaign%3Dpoke%2Bcottage","Pincurchin")</f>
        <v>Pincurchin</v>
      </c>
      <c r="D137" s="5" t="s">
        <v>8</v>
      </c>
      <c r="E137" s="5" t="s">
        <v>11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87</v>
      </c>
      <c r="C138" s="6" t="str">
        <f aca="false">HYPERLINK("https://partner.tcgplayer.com/c/6278691/1780961/21018?u=https%3A%2F%2Fwww.tcgplayer.com%2Fproduct%2F497484%3Futm_source%3Dimpact%26utm_medium%3Daffiliate%26utm_campaign%3Dpoke%2Bcottage","Pincurchin")</f>
        <v>Pincurchin</v>
      </c>
      <c r="D138" s="5" t="s">
        <v>13</v>
      </c>
      <c r="E138" s="5" t="s">
        <v>9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HYPERLINK("https://partner.tcgplayer.com/c/6278691/1780961/21018?u=https%3A%2F%2Fwww.tcgplayer.com%2Fproduct%2F497484%3Futm_source%3Dimpact%26utm_medium%3Daffiliate%26utm_campaign%3Dpoke%2Bcottage","Pincurchin")</f>
        <v>Pincurchin</v>
      </c>
      <c r="D139" s="5" t="s">
        <v>13</v>
      </c>
      <c r="E139" s="5" t="s">
        <v>11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88</v>
      </c>
      <c r="C140" s="6" t="str">
        <f aca="false">HYPERLINK("https://partner.tcgplayer.com/c/6278691/1780961/21018?u=https%3A%2F%2Fwww.tcgplayer.com%2Fproduct%2F497485%3Futm_source%3Dimpact%26utm_medium%3Daffiliate%26utm_campaign%3Dpoke%2Bcottage","Pawmi")</f>
        <v>Pawmi</v>
      </c>
      <c r="D140" s="5" t="s">
        <v>8</v>
      </c>
      <c r="E140" s="5" t="s">
        <v>9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HYPERLINK("https://partner.tcgplayer.com/c/6278691/1780961/21018?u=https%3A%2F%2Fwww.tcgplayer.com%2Fproduct%2F497485%3Futm_source%3Dimpact%26utm_medium%3Daffiliate%26utm_campaign%3Dpoke%2Bcottage","Pawmi")</f>
        <v>Pawmi</v>
      </c>
      <c r="D141" s="5" t="s">
        <v>8</v>
      </c>
      <c r="E141" s="5" t="s">
        <v>11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89</v>
      </c>
      <c r="C142" s="6" t="str">
        <f aca="false">HYPERLINK("https://partner.tcgplayer.com/c/6278691/1780961/21018?u=https%3A%2F%2Fwww.tcgplayer.com%2Fproduct%2F497486%3Futm_source%3Dimpact%26utm_medium%3Daffiliate%26utm_campaign%3Dpoke%2Bcottage","Pawmo")</f>
        <v>Pawmo</v>
      </c>
      <c r="D142" s="5" t="s">
        <v>13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HYPERLINK("https://partner.tcgplayer.com/c/6278691/1780961/21018?u=https%3A%2F%2Fwww.tcgplayer.com%2Fproduct%2F497486%3Futm_source%3Dimpact%26utm_medium%3Daffiliate%26utm_campaign%3Dpoke%2Bcottage","Pawmo")</f>
        <v>Pawmo</v>
      </c>
      <c r="D143" s="5" t="s">
        <v>13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90</v>
      </c>
      <c r="C144" s="6" t="str">
        <f aca="false">HYPERLINK("https://partner.tcgplayer.com/c/6278691/1780961/21018?u=https%3A%2F%2Fwww.tcgplayer.com%2Fproduct%2F497487%3Futm_source%3Dimpact%26utm_medium%3Daffiliate%26utm_campaign%3Dpoke%2Bcottage","Pawmot")</f>
        <v>Pawmot</v>
      </c>
      <c r="D144" s="5" t="s">
        <v>15</v>
      </c>
      <c r="E144" s="5" t="s">
        <v>16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HYPERLINK("https://partner.tcgplayer.com/c/6278691/1780961/21018?u=https%3A%2F%2Fwww.tcgplayer.com%2Fproduct%2F497487%3Futm_source%3Dimpact%26utm_medium%3Daffiliate%26utm_campaign%3Dpoke%2Bcottage","Pawmot")</f>
        <v>Pawmot</v>
      </c>
      <c r="D145" s="5" t="s">
        <v>15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91</v>
      </c>
      <c r="C146" s="6" t="str">
        <f aca="false">HYPERLINK("https://partner.tcgplayer.com/c/6278691/1780961/21018?u=https%3A%2F%2Fwww.tcgplayer.com%2Fproduct%2F497488%3Futm_source%3Dimpact%26utm_medium%3Daffiliate%26utm_campaign%3Dpoke%2Bcottage","Tadbulb")</f>
        <v>Tadbulb</v>
      </c>
      <c r="D146" s="5" t="s">
        <v>8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HYPERLINK("https://partner.tcgplayer.com/c/6278691/1780961/21018?u=https%3A%2F%2Fwww.tcgplayer.com%2Fproduct%2F497488%3Futm_source%3Dimpact%26utm_medium%3Daffiliate%26utm_campaign%3Dpoke%2Bcottage","Tadbulb")</f>
        <v>Tadbulb</v>
      </c>
      <c r="D147" s="5" t="s">
        <v>8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HYPERLINK("https://partner.tcgplayer.com/c/6278691/1780961/21018?u=https%3A%2F%2Fwww.tcgplayer.com%2Fproduct%2F497489%3Futm_source%3Dimpact%26utm_medium%3Daffiliate%26utm_campaign%3Dpoke%2Bcottage","Tadbulb")</f>
        <v>Tadbulb</v>
      </c>
      <c r="D148" s="5" t="s">
        <v>8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HYPERLINK("https://partner.tcgplayer.com/c/6278691/1780961/21018?u=https%3A%2F%2Fwww.tcgplayer.com%2Fproduct%2F497489%3Futm_source%3Dimpact%26utm_medium%3Daffiliate%26utm_campaign%3Dpoke%2Bcottage","Tadbulb")</f>
        <v>Tadbulb</v>
      </c>
      <c r="D149" s="5" t="s">
        <v>8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HYPERLINK("https://partner.tcgplayer.com/c/6278691/1780961/21018?u=https%3A%2F%2Fwww.tcgplayer.com%2Fproduct%2F497490%3Futm_source%3Dimpact%26utm_medium%3Daffiliate%26utm_campaign%3Dpoke%2Bcottage","Bellibolt ex")</f>
        <v>Bellibolt ex</v>
      </c>
      <c r="D150" s="5" t="s">
        <v>19</v>
      </c>
      <c r="E150" s="5" t="s">
        <v>16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94</v>
      </c>
      <c r="C151" s="6" t="str">
        <f aca="false">HYPERLINK("https://partner.tcgplayer.com/c/6278691/1780961/21018?u=https%3A%2F%2Fwww.tcgplayer.com%2Fproduct%2F497491%3Futm_source%3Dimpact%26utm_medium%3Daffiliate%26utm_campaign%3Dpoke%2Bcottage","Wattrel")</f>
        <v>Wattrel</v>
      </c>
      <c r="D151" s="5" t="s">
        <v>8</v>
      </c>
      <c r="E151" s="5" t="s">
        <v>9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HYPERLINK("https://partner.tcgplayer.com/c/6278691/1780961/21018?u=https%3A%2F%2Fwww.tcgplayer.com%2Fproduct%2F497491%3Futm_source%3Dimpact%26utm_medium%3Daffiliate%26utm_campaign%3Dpoke%2Bcottage","Wattrel")</f>
        <v>Wattrel</v>
      </c>
      <c r="D152" s="5" t="s">
        <v>8</v>
      </c>
      <c r="E152" s="5" t="s">
        <v>11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95</v>
      </c>
      <c r="C153" s="6" t="str">
        <f aca="false">HYPERLINK("https://partner.tcgplayer.com/c/6278691/1780961/21018?u=https%3A%2F%2Fwww.tcgplayer.com%2Fproduct%2F497492%3Futm_source%3Dimpact%26utm_medium%3Daffiliate%26utm_campaign%3Dpoke%2Bcottage","Wattrel")</f>
        <v>Wattrel</v>
      </c>
      <c r="D153" s="5" t="s">
        <v>8</v>
      </c>
      <c r="E153" s="5" t="s">
        <v>9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HYPERLINK("https://partner.tcgplayer.com/c/6278691/1780961/21018?u=https%3A%2F%2Fwww.tcgplayer.com%2Fproduct%2F497492%3Futm_source%3Dimpact%26utm_medium%3Daffiliate%26utm_campaign%3Dpoke%2Bcottage","Wattrel")</f>
        <v>Wattrel</v>
      </c>
      <c r="D154" s="5" t="s">
        <v>8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96</v>
      </c>
      <c r="C155" s="6" t="str">
        <f aca="false">HYPERLINK("https://partner.tcgplayer.com/c/6278691/1780961/21018?u=https%3A%2F%2Fwww.tcgplayer.com%2Fproduct%2F497493%3Futm_source%3Dimpact%26utm_medium%3Daffiliate%26utm_campaign%3Dpoke%2Bcottage","Kilowattrel")</f>
        <v>Kilowattrel</v>
      </c>
      <c r="D155" s="5" t="s">
        <v>13</v>
      </c>
      <c r="E155" s="5" t="s">
        <v>9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HYPERLINK("https://partner.tcgplayer.com/c/6278691/1780961/21018?u=https%3A%2F%2Fwww.tcgplayer.com%2Fproduct%2F497493%3Futm_source%3Dimpact%26utm_medium%3Daffiliate%26utm_campaign%3Dpoke%2Bcottage","Kilowattrel")</f>
        <v>Kilowattrel</v>
      </c>
      <c r="D156" s="5" t="s">
        <v>13</v>
      </c>
      <c r="E156" s="5" t="s">
        <v>11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97</v>
      </c>
      <c r="C157" s="6" t="str">
        <f aca="false">HYPERLINK("https://partner.tcgplayer.com/c/6278691/1780961/21018?u=https%3A%2F%2Fwww.tcgplayer.com%2Fproduct%2F497496%3Futm_source%3Dimpact%26utm_medium%3Daffiliate%26utm_campaign%3Dpoke%2Bcottage","Jigglypuff")</f>
        <v>Jigglypuff</v>
      </c>
      <c r="D157" s="5" t="s">
        <v>8</v>
      </c>
      <c r="E157" s="5" t="s">
        <v>9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HYPERLINK("https://partner.tcgplayer.com/c/6278691/1780961/21018?u=https%3A%2F%2Fwww.tcgplayer.com%2Fproduct%2F497496%3Futm_source%3Dimpact%26utm_medium%3Daffiliate%26utm_campaign%3Dpoke%2Bcottage","Jigglypuff")</f>
        <v>Jigglypuff</v>
      </c>
      <c r="D158" s="5" t="s">
        <v>8</v>
      </c>
      <c r="E158" s="5" t="s">
        <v>11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98</v>
      </c>
      <c r="C159" s="6" t="str">
        <f aca="false">HYPERLINK("https://partner.tcgplayer.com/c/6278691/1780961/21018?u=https%3A%2F%2Fwww.tcgplayer.com%2Fproduct%2F497498%3Futm_source%3Dimpact%26utm_medium%3Daffiliate%26utm_campaign%3Dpoke%2Bcottage","Wigglytuff")</f>
        <v>Wigglytuff</v>
      </c>
      <c r="D159" s="5" t="s">
        <v>15</v>
      </c>
      <c r="E159" s="5" t="s">
        <v>16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HYPERLINK("https://partner.tcgplayer.com/c/6278691/1780961/21018?u=https%3A%2F%2Fwww.tcgplayer.com%2Fproduct%2F497498%3Futm_source%3Dimpact%26utm_medium%3Daffiliate%26utm_campaign%3Dpoke%2Bcottage","Wigglytuff")</f>
        <v>Wigglytuff</v>
      </c>
      <c r="D160" s="5" t="s">
        <v>15</v>
      </c>
      <c r="E160" s="5" t="s">
        <v>11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99</v>
      </c>
      <c r="C161" s="6" t="str">
        <f aca="false">HYPERLINK("https://partner.tcgplayer.com/c/6278691/1780961/21018?u=https%3A%2F%2Fwww.tcgplayer.com%2Fproduct%2F497499%3Futm_source%3Dimpact%26utm_medium%3Daffiliate%26utm_campaign%3Dpoke%2Bcottage","Slowpoke")</f>
        <v>Slowpoke</v>
      </c>
      <c r="D161" s="5" t="s">
        <v>8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HYPERLINK("https://partner.tcgplayer.com/c/6278691/1780961/21018?u=https%3A%2F%2Fwww.tcgplayer.com%2Fproduct%2F497499%3Futm_source%3Dimpact%26utm_medium%3Daffiliate%26utm_campaign%3Dpoke%2Bcottage","Slowpoke")</f>
        <v>Slowpoke</v>
      </c>
      <c r="D162" s="5" t="s">
        <v>8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100</v>
      </c>
      <c r="C163" s="6" t="str">
        <f aca="false">HYPERLINK("https://partner.tcgplayer.com/c/6278691/1780961/21018?u=https%3A%2F%2Fwww.tcgplayer.com%2Fproduct%2F497500%3Futm_source%3Dimpact%26utm_medium%3Daffiliate%26utm_campaign%3Dpoke%2Bcottage","Slowking ex")</f>
        <v>Slowking ex</v>
      </c>
      <c r="D163" s="5" t="s">
        <v>19</v>
      </c>
      <c r="E163" s="5" t="s">
        <v>16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101</v>
      </c>
      <c r="C164" s="6" t="str">
        <f aca="false">HYPERLINK("https://partner.tcgplayer.com/c/6278691/1780961/21018?u=https%3A%2F%2Fwww.tcgplayer.com%2Fproduct%2F497501%3Futm_source%3Dimpact%26utm_medium%3Daffiliate%26utm_campaign%3Dpoke%2Bcottage","Misdreavus")</f>
        <v>Misdreavus</v>
      </c>
      <c r="D164" s="5" t="s">
        <v>8</v>
      </c>
      <c r="E164" s="5" t="s">
        <v>9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101</v>
      </c>
      <c r="C165" s="6" t="str">
        <f aca="false">HYPERLINK("https://partner.tcgplayer.com/c/6278691/1780961/21018?u=https%3A%2F%2Fwww.tcgplayer.com%2Fproduct%2F497501%3Futm_source%3Dimpact%26utm_medium%3Daffiliate%26utm_campaign%3Dpoke%2Bcottage","Misdreavus")</f>
        <v>Misdreavus</v>
      </c>
      <c r="D165" s="5" t="s">
        <v>8</v>
      </c>
      <c r="E165" s="5" t="s">
        <v>11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102</v>
      </c>
      <c r="C166" s="6" t="str">
        <f aca="false">HYPERLINK("https://partner.tcgplayer.com/c/6278691/1780961/21018?u=https%3A%2F%2Fwww.tcgplayer.com%2Fproduct%2F497502%3Futm_source%3Dimpact%26utm_medium%3Daffiliate%26utm_campaign%3Dpoke%2Bcottage","Mismagius")</f>
        <v>Mismagius</v>
      </c>
      <c r="D166" s="5" t="s">
        <v>13</v>
      </c>
      <c r="E166" s="5" t="s">
        <v>9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102</v>
      </c>
      <c r="C167" s="6" t="str">
        <f aca="false">HYPERLINK("https://partner.tcgplayer.com/c/6278691/1780961/21018?u=https%3A%2F%2Fwww.tcgplayer.com%2Fproduct%2F497502%3Futm_source%3Dimpact%26utm_medium%3Daffiliate%26utm_campaign%3Dpoke%2Bcottage","Mismagius")</f>
        <v>Mismagius</v>
      </c>
      <c r="D167" s="5" t="s">
        <v>13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103</v>
      </c>
      <c r="C168" s="6" t="str">
        <f aca="false">HYPERLINK("https://partner.tcgplayer.com/c/6278691/1780961/21018?u=https%3A%2F%2Fwww.tcgplayer.com%2Fproduct%2F497504%3Futm_source%3Dimpact%26utm_medium%3Daffiliate%26utm_campaign%3Dpoke%2Bcottage","Spiritomb")</f>
        <v>Spiritomb</v>
      </c>
      <c r="D168" s="5" t="s">
        <v>15</v>
      </c>
      <c r="E168" s="5" t="s">
        <v>16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103</v>
      </c>
      <c r="C169" s="6" t="str">
        <f aca="false">HYPERLINK("https://partner.tcgplayer.com/c/6278691/1780961/21018?u=https%3A%2F%2Fwww.tcgplayer.com%2Fproduct%2F497504%3Futm_source%3Dimpact%26utm_medium%3Daffiliate%26utm_campaign%3Dpoke%2Bcottage","Spiritomb")</f>
        <v>Spiritomb</v>
      </c>
      <c r="D169" s="5" t="s">
        <v>15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104</v>
      </c>
      <c r="C170" s="6" t="str">
        <f aca="false">HYPERLINK("https://partner.tcgplayer.com/c/6278691/1780961/21018?u=https%3A%2F%2Fwww.tcgplayer.com%2Fproduct%2F497505%3Futm_source%3Dimpact%26utm_medium%3Daffiliate%26utm_campaign%3Dpoke%2Bcottage","Gothita")</f>
        <v>Gothita</v>
      </c>
      <c r="D170" s="5" t="s">
        <v>8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104</v>
      </c>
      <c r="C171" s="6" t="str">
        <f aca="false">HYPERLINK("https://partner.tcgplayer.com/c/6278691/1780961/21018?u=https%3A%2F%2Fwww.tcgplayer.com%2Fproduct%2F497505%3Futm_source%3Dimpact%26utm_medium%3Daffiliate%26utm_campaign%3Dpoke%2Bcottage","Gothita")</f>
        <v>Gothita</v>
      </c>
      <c r="D171" s="5" t="s">
        <v>8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105</v>
      </c>
      <c r="C172" s="6" t="str">
        <f aca="false">HYPERLINK("https://partner.tcgplayer.com/c/6278691/1780961/21018?u=https%3A%2F%2Fwww.tcgplayer.com%2Fproduct%2F497506%3Futm_source%3Dimpact%26utm_medium%3Daffiliate%26utm_campaign%3Dpoke%2Bcottage","Gothorita")</f>
        <v>Gothorita</v>
      </c>
      <c r="D172" s="5" t="s">
        <v>13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105</v>
      </c>
      <c r="C173" s="6" t="str">
        <f aca="false">HYPERLINK("https://partner.tcgplayer.com/c/6278691/1780961/21018?u=https%3A%2F%2Fwww.tcgplayer.com%2Fproduct%2F497506%3Futm_source%3Dimpact%26utm_medium%3Daffiliate%26utm_campaign%3Dpoke%2Bcottage","Gothorita")</f>
        <v>Gothorita</v>
      </c>
      <c r="D173" s="5" t="s">
        <v>13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106</v>
      </c>
      <c r="C174" s="6" t="str">
        <f aca="false">HYPERLINK("https://partner.tcgplayer.com/c/6278691/1780961/21018?u=https%3A%2F%2Fwww.tcgplayer.com%2Fproduct%2F497507%3Futm_source%3Dimpact%26utm_medium%3Daffiliate%26utm_campaign%3Dpoke%2Bcottage","Gothitelle")</f>
        <v>Gothitelle</v>
      </c>
      <c r="D174" s="5" t="s">
        <v>13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106</v>
      </c>
      <c r="C175" s="6" t="str">
        <f aca="false">HYPERLINK("https://partner.tcgplayer.com/c/6278691/1780961/21018?u=https%3A%2F%2Fwww.tcgplayer.com%2Fproduct%2F497507%3Futm_source%3Dimpact%26utm_medium%3Daffiliate%26utm_campaign%3Dpoke%2Bcottage","Gothitelle")</f>
        <v>Gothitelle</v>
      </c>
      <c r="D175" s="5" t="s">
        <v>13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107</v>
      </c>
      <c r="C176" s="6" t="str">
        <f aca="false">HYPERLINK("https://partner.tcgplayer.com/c/6278691/1780961/21018?u=https%3A%2F%2Fwww.tcgplayer.com%2Fproduct%2F497508%3Futm_source%3Dimpact%26utm_medium%3Daffiliate%26utm_campaign%3Dpoke%2Bcottage","Dedenne ex")</f>
        <v>Dedenne ex</v>
      </c>
      <c r="D176" s="5" t="s">
        <v>19</v>
      </c>
      <c r="E176" s="5" t="s">
        <v>16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108</v>
      </c>
      <c r="C177" s="6" t="str">
        <f aca="false">HYPERLINK("https://partner.tcgplayer.com/c/6278691/1780961/21018?u=https%3A%2F%2Fwww.tcgplayer.com%2Fproduct%2F497509%3Futm_source%3Dimpact%26utm_medium%3Daffiliate%26utm_campaign%3Dpoke%2Bcottage","Oranguru")</f>
        <v>Oranguru</v>
      </c>
      <c r="D177" s="5" t="s">
        <v>13</v>
      </c>
      <c r="E177" s="5" t="s">
        <v>9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108</v>
      </c>
      <c r="C178" s="6" t="str">
        <f aca="false">HYPERLINK("https://partner.tcgplayer.com/c/6278691/1780961/21018?u=https%3A%2F%2Fwww.tcgplayer.com%2Fproduct%2F497509%3Futm_source%3Dimpact%26utm_medium%3Daffiliate%26utm_campaign%3Dpoke%2Bcottage","Oranguru")</f>
        <v>Oranguru</v>
      </c>
      <c r="D178" s="5" t="s">
        <v>13</v>
      </c>
      <c r="E178" s="5" t="s">
        <v>11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109</v>
      </c>
      <c r="C179" s="6" t="str">
        <f aca="false">HYPERLINK("https://partner.tcgplayer.com/c/6278691/1780961/21018?u=https%3A%2F%2Fwww.tcgplayer.com%2Fproduct%2F497510%3Futm_source%3Dimpact%26utm_medium%3Daffiliate%26utm_campaign%3Dpoke%2Bcottage","Sandygast")</f>
        <v>Sandygast</v>
      </c>
      <c r="D179" s="5" t="s">
        <v>8</v>
      </c>
      <c r="E179" s="5" t="s">
        <v>9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109</v>
      </c>
      <c r="C180" s="6" t="str">
        <f aca="false">HYPERLINK("https://partner.tcgplayer.com/c/6278691/1780961/21018?u=https%3A%2F%2Fwww.tcgplayer.com%2Fproduct%2F497510%3Futm_source%3Dimpact%26utm_medium%3Daffiliate%26utm_campaign%3Dpoke%2Bcottage","Sandygast")</f>
        <v>Sandygast</v>
      </c>
      <c r="D180" s="5" t="s">
        <v>8</v>
      </c>
      <c r="E180" s="5" t="s">
        <v>11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110</v>
      </c>
      <c r="C181" s="6" t="str">
        <f aca="false">HYPERLINK("https://partner.tcgplayer.com/c/6278691/1780961/21018?u=https%3A%2F%2Fwww.tcgplayer.com%2Fproduct%2F497511%3Futm_source%3Dimpact%26utm_medium%3Daffiliate%26utm_campaign%3Dpoke%2Bcottage","Palossand")</f>
        <v>Palossand</v>
      </c>
      <c r="D181" s="5" t="s">
        <v>13</v>
      </c>
      <c r="E181" s="5" t="s">
        <v>9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110</v>
      </c>
      <c r="C182" s="6" t="str">
        <f aca="false">HYPERLINK("https://partner.tcgplayer.com/c/6278691/1780961/21018?u=https%3A%2F%2Fwww.tcgplayer.com%2Fproduct%2F497511%3Futm_source%3Dimpact%26utm_medium%3Daffiliate%26utm_campaign%3Dpoke%2Bcottage","Palossand")</f>
        <v>Palossand</v>
      </c>
      <c r="D182" s="5" t="s">
        <v>13</v>
      </c>
      <c r="E182" s="5" t="s">
        <v>11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111</v>
      </c>
      <c r="C183" s="6" t="str">
        <f aca="false">HYPERLINK("https://partner.tcgplayer.com/c/6278691/1780961/21018?u=https%3A%2F%2Fwww.tcgplayer.com%2Fproduct%2F497512%3Futm_source%3Dimpact%26utm_medium%3Daffiliate%26utm_campaign%3Dpoke%2Bcottage","Mimikyu")</f>
        <v>Mimikyu</v>
      </c>
      <c r="D183" s="5" t="s">
        <v>15</v>
      </c>
      <c r="E183" s="5" t="s">
        <v>16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111</v>
      </c>
      <c r="C184" s="6" t="str">
        <f aca="false">HYPERLINK("https://partner.tcgplayer.com/c/6278691/1780961/21018?u=https%3A%2F%2Fwww.tcgplayer.com%2Fproduct%2F497512%3Futm_source%3Dimpact%26utm_medium%3Daffiliate%26utm_campaign%3Dpoke%2Bcottage","Mimikyu")</f>
        <v>Mimikyu</v>
      </c>
      <c r="D184" s="5" t="s">
        <v>15</v>
      </c>
      <c r="E184" s="5" t="s">
        <v>11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112</v>
      </c>
      <c r="C185" s="6" t="str">
        <f aca="false">HYPERLINK("https://partner.tcgplayer.com/c/6278691/1780961/21018?u=https%3A%2F%2Fwww.tcgplayer.com%2Fproduct%2F497513%3Futm_source%3Dimpact%26utm_medium%3Daffiliate%26utm_campaign%3Dpoke%2Bcottage","Ceruledge")</f>
        <v>Ceruledge</v>
      </c>
      <c r="D185" s="5" t="s">
        <v>15</v>
      </c>
      <c r="E185" s="5" t="s">
        <v>16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112</v>
      </c>
      <c r="C186" s="6" t="str">
        <f aca="false">HYPERLINK("https://partner.tcgplayer.com/c/6278691/1780961/21018?u=https%3A%2F%2Fwww.tcgplayer.com%2Fproduct%2F497513%3Futm_source%3Dimpact%26utm_medium%3Daffiliate%26utm_campaign%3Dpoke%2Bcottage","Ceruledge")</f>
        <v>Ceruledge</v>
      </c>
      <c r="D186" s="5" t="s">
        <v>15</v>
      </c>
      <c r="E186" s="5" t="s">
        <v>11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113</v>
      </c>
      <c r="C187" s="6" t="str">
        <f aca="false">HYPERLINK("https://partner.tcgplayer.com/c/6278691/1780961/21018?u=https%3A%2F%2Fwww.tcgplayer.com%2Fproduct%2F497514%3Futm_source%3Dimpact%26utm_medium%3Daffiliate%26utm_campaign%3Dpoke%2Bcottage","Rabsca")</f>
        <v>Rabsca</v>
      </c>
      <c r="D187" s="5" t="s">
        <v>15</v>
      </c>
      <c r="E187" s="5" t="s">
        <v>16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113</v>
      </c>
      <c r="C188" s="6" t="str">
        <f aca="false">HYPERLINK("https://partner.tcgplayer.com/c/6278691/1780961/21018?u=https%3A%2F%2Fwww.tcgplayer.com%2Fproduct%2F497514%3Futm_source%3Dimpact%26utm_medium%3Daffiliate%26utm_campaign%3Dpoke%2Bcottage","Rabsca")</f>
        <v>Rabsca</v>
      </c>
      <c r="D188" s="5" t="s">
        <v>15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114</v>
      </c>
      <c r="C189" s="6" t="str">
        <f aca="false">HYPERLINK("https://partner.tcgplayer.com/c/6278691/1780961/21018?u=https%3A%2F%2Fwww.tcgplayer.com%2Fproduct%2F497515%3Futm_source%3Dimpact%26utm_medium%3Daffiliate%26utm_campaign%3Dpoke%2Bcottage","Tinkatink")</f>
        <v>Tinkatink</v>
      </c>
      <c r="D189" s="5" t="s">
        <v>8</v>
      </c>
      <c r="E189" s="5" t="s">
        <v>9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114</v>
      </c>
      <c r="C190" s="6" t="str">
        <f aca="false">HYPERLINK("https://partner.tcgplayer.com/c/6278691/1780961/21018?u=https%3A%2F%2Fwww.tcgplayer.com%2Fproduct%2F497515%3Futm_source%3Dimpact%26utm_medium%3Daffiliate%26utm_campaign%3Dpoke%2Bcottage","Tinkatink")</f>
        <v>Tinkatink</v>
      </c>
      <c r="D190" s="5" t="s">
        <v>8</v>
      </c>
      <c r="E190" s="5" t="s">
        <v>11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115</v>
      </c>
      <c r="C191" s="6" t="str">
        <f aca="false">HYPERLINK("https://partner.tcgplayer.com/c/6278691/1780961/21018?u=https%3A%2F%2Fwww.tcgplayer.com%2Fproduct%2F497516%3Futm_source%3Dimpact%26utm_medium%3Daffiliate%26utm_campaign%3Dpoke%2Bcottage","Tinkatink")</f>
        <v>Tinkatink</v>
      </c>
      <c r="D191" s="5" t="s">
        <v>8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115</v>
      </c>
      <c r="C192" s="6" t="str">
        <f aca="false">HYPERLINK("https://partner.tcgplayer.com/c/6278691/1780961/21018?u=https%3A%2F%2Fwww.tcgplayer.com%2Fproduct%2F497516%3Futm_source%3Dimpact%26utm_medium%3Daffiliate%26utm_campaign%3Dpoke%2Bcottage","Tinkatink")</f>
        <v>Tinkatink</v>
      </c>
      <c r="D192" s="5" t="s">
        <v>8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116</v>
      </c>
      <c r="C193" s="6" t="str">
        <f aca="false">HYPERLINK("https://partner.tcgplayer.com/c/6278691/1780961/21018?u=https%3A%2F%2Fwww.tcgplayer.com%2Fproduct%2F497517%3Futm_source%3Dimpact%26utm_medium%3Daffiliate%26utm_campaign%3Dpoke%2Bcottage","Tinkatink")</f>
        <v>Tinkatink</v>
      </c>
      <c r="D193" s="5" t="s">
        <v>8</v>
      </c>
      <c r="E193" s="5" t="s">
        <v>9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116</v>
      </c>
      <c r="C194" s="6" t="str">
        <f aca="false">HYPERLINK("https://partner.tcgplayer.com/c/6278691/1780961/21018?u=https%3A%2F%2Fwww.tcgplayer.com%2Fproduct%2F497517%3Futm_source%3Dimpact%26utm_medium%3Daffiliate%26utm_campaign%3Dpoke%2Bcottage","Tinkatink")</f>
        <v>Tinkatink</v>
      </c>
      <c r="D194" s="5" t="s">
        <v>8</v>
      </c>
      <c r="E194" s="5" t="s">
        <v>11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117</v>
      </c>
      <c r="C195" s="6" t="str">
        <f aca="false">HYPERLINK("https://partner.tcgplayer.com/c/6278691/1780961/21018?u=https%3A%2F%2Fwww.tcgplayer.com%2Fproduct%2F497518%3Futm_source%3Dimpact%26utm_medium%3Daffiliate%26utm_campaign%3Dpoke%2Bcottage","Tinkatuff")</f>
        <v>Tinkatuff</v>
      </c>
      <c r="D195" s="5" t="s">
        <v>13</v>
      </c>
      <c r="E195" s="5" t="s">
        <v>9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117</v>
      </c>
      <c r="C196" s="6" t="str">
        <f aca="false">HYPERLINK("https://partner.tcgplayer.com/c/6278691/1780961/21018?u=https%3A%2F%2Fwww.tcgplayer.com%2Fproduct%2F497518%3Futm_source%3Dimpact%26utm_medium%3Daffiliate%26utm_campaign%3Dpoke%2Bcottage","Tinkatuff")</f>
        <v>Tinkatuff</v>
      </c>
      <c r="D196" s="5" t="s">
        <v>13</v>
      </c>
      <c r="E196" s="5" t="s">
        <v>11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118</v>
      </c>
      <c r="C197" s="6" t="str">
        <f aca="false">HYPERLINK("https://partner.tcgplayer.com/c/6278691/1780961/21018?u=https%3A%2F%2Fwww.tcgplayer.com%2Fproduct%2F497519%3Futm_source%3Dimpact%26utm_medium%3Daffiliate%26utm_campaign%3Dpoke%2Bcottage","Tinkatuff")</f>
        <v>Tinkatuff</v>
      </c>
      <c r="D197" s="5" t="s">
        <v>13</v>
      </c>
      <c r="E197" s="5" t="s">
        <v>9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118</v>
      </c>
      <c r="C198" s="6" t="str">
        <f aca="false">HYPERLINK("https://partner.tcgplayer.com/c/6278691/1780961/21018?u=https%3A%2F%2Fwww.tcgplayer.com%2Fproduct%2F497519%3Futm_source%3Dimpact%26utm_medium%3Daffiliate%26utm_campaign%3Dpoke%2Bcottage","Tinkatuff")</f>
        <v>Tinkatuff</v>
      </c>
      <c r="D198" s="5" t="s">
        <v>13</v>
      </c>
      <c r="E198" s="5" t="s">
        <v>11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119</v>
      </c>
      <c r="C199" s="6" t="str">
        <f aca="false">HYPERLINK("https://partner.tcgplayer.com/c/6278691/1780961/21018?u=https%3A%2F%2Fwww.tcgplayer.com%2Fproduct%2F497520%3Futm_source%3Dimpact%26utm_medium%3Daffiliate%26utm_campaign%3Dpoke%2Bcottage","Tinkaton")</f>
        <v>Tinkaton</v>
      </c>
      <c r="D199" s="5" t="s">
        <v>15</v>
      </c>
      <c r="E199" s="5" t="s">
        <v>16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119</v>
      </c>
      <c r="C200" s="6" t="str">
        <f aca="false">HYPERLINK("https://partner.tcgplayer.com/c/6278691/1780961/21018?u=https%3A%2F%2Fwww.tcgplayer.com%2Fproduct%2F497520%3Futm_source%3Dimpact%26utm_medium%3Daffiliate%26utm_campaign%3Dpoke%2Bcottage","Tinkaton")</f>
        <v>Tinkaton</v>
      </c>
      <c r="D200" s="5" t="s">
        <v>15</v>
      </c>
      <c r="E200" s="5" t="s">
        <v>11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120</v>
      </c>
      <c r="C201" s="6" t="str">
        <f aca="false">HYPERLINK("https://partner.tcgplayer.com/c/6278691/1780961/21018?u=https%3A%2F%2Fwww.tcgplayer.com%2Fproduct%2F497521%3Futm_source%3Dimpact%26utm_medium%3Daffiliate%26utm_campaign%3Dpoke%2Bcottage","Mankey")</f>
        <v>Mankey</v>
      </c>
      <c r="D201" s="5" t="s">
        <v>8</v>
      </c>
      <c r="E201" s="5" t="s">
        <v>9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120</v>
      </c>
      <c r="C202" s="6" t="str">
        <f aca="false">HYPERLINK("https://partner.tcgplayer.com/c/6278691/1780961/21018?u=https%3A%2F%2Fwww.tcgplayer.com%2Fproduct%2F497521%3Futm_source%3Dimpact%26utm_medium%3Daffiliate%26utm_campaign%3Dpoke%2Bcottage","Mankey")</f>
        <v>Mankey</v>
      </c>
      <c r="D202" s="5" t="s">
        <v>8</v>
      </c>
      <c r="E202" s="5" t="s">
        <v>11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121</v>
      </c>
      <c r="C203" s="6" t="str">
        <f aca="false">HYPERLINK("https://partner.tcgplayer.com/c/6278691/1780961/21018?u=https%3A%2F%2Fwww.tcgplayer.com%2Fproduct%2F497522%3Futm_source%3Dimpact%26utm_medium%3Daffiliate%26utm_campaign%3Dpoke%2Bcottage","Primeape")</f>
        <v>Primeape</v>
      </c>
      <c r="D203" s="5" t="s">
        <v>13</v>
      </c>
      <c r="E203" s="5" t="s">
        <v>9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121</v>
      </c>
      <c r="C204" s="6" t="str">
        <f aca="false">HYPERLINK("https://partner.tcgplayer.com/c/6278691/1780961/21018?u=https%3A%2F%2Fwww.tcgplayer.com%2Fproduct%2F497522%3Futm_source%3Dimpact%26utm_medium%3Daffiliate%26utm_campaign%3Dpoke%2Bcottage","Primeape")</f>
        <v>Primeape</v>
      </c>
      <c r="D204" s="5" t="s">
        <v>13</v>
      </c>
      <c r="E204" s="5" t="s">
        <v>11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122</v>
      </c>
      <c r="C205" s="6" t="str">
        <f aca="false">HYPERLINK("https://partner.tcgplayer.com/c/6278691/1780961/21018?u=https%3A%2F%2Fwww.tcgplayer.com%2Fproduct%2F497523%3Futm_source%3Dimpact%26utm_medium%3Daffiliate%26utm_campaign%3Dpoke%2Bcottage","Paldean Tauros")</f>
        <v>Paldean Tauros</v>
      </c>
      <c r="D205" s="5" t="s">
        <v>13</v>
      </c>
      <c r="E205" s="5" t="s">
        <v>9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122</v>
      </c>
      <c r="C206" s="6" t="str">
        <f aca="false">HYPERLINK("https://partner.tcgplayer.com/c/6278691/1780961/21018?u=https%3A%2F%2Fwww.tcgplayer.com%2Fproduct%2F497523%3Futm_source%3Dimpact%26utm_medium%3Daffiliate%26utm_campaign%3Dpoke%2Bcottage","Paldean Tauros")</f>
        <v>Paldean Tauros</v>
      </c>
      <c r="D206" s="5" t="s">
        <v>13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123</v>
      </c>
      <c r="C207" s="6" t="str">
        <f aca="false">HYPERLINK("https://partner.tcgplayer.com/c/6278691/1780961/21018?u=https%3A%2F%2Fwww.tcgplayer.com%2Fproduct%2F497524%3Futm_source%3Dimpact%26utm_medium%3Daffiliate%26utm_campaign%3Dpoke%2Bcottage","Sudowoodo")</f>
        <v>Sudowoodo</v>
      </c>
      <c r="D207" s="5" t="s">
        <v>13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123</v>
      </c>
      <c r="C208" s="6" t="str">
        <f aca="false">HYPERLINK("https://partner.tcgplayer.com/c/6278691/1780961/21018?u=https%3A%2F%2Fwww.tcgplayer.com%2Fproduct%2F497524%3Futm_source%3Dimpact%26utm_medium%3Daffiliate%26utm_campaign%3Dpoke%2Bcottage","Sudowoodo")</f>
        <v>Sudowoodo</v>
      </c>
      <c r="D208" s="5" t="s">
        <v>13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124</v>
      </c>
      <c r="C209" s="6" t="str">
        <f aca="false">HYPERLINK("https://partner.tcgplayer.com/c/6278691/1780961/21018?u=https%3A%2F%2Fwww.tcgplayer.com%2Fproduct%2F497525%3Futm_source%3Dimpact%26utm_medium%3Daffiliate%26utm_campaign%3Dpoke%2Bcottage","Larvitar")</f>
        <v>Larvitar</v>
      </c>
      <c r="D209" s="5" t="s">
        <v>8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124</v>
      </c>
      <c r="C210" s="6" t="str">
        <f aca="false">HYPERLINK("https://partner.tcgplayer.com/c/6278691/1780961/21018?u=https%3A%2F%2Fwww.tcgplayer.com%2Fproduct%2F497525%3Futm_source%3Dimpact%26utm_medium%3Daffiliate%26utm_campaign%3Dpoke%2Bcottage","Larvitar")</f>
        <v>Larvitar</v>
      </c>
      <c r="D210" s="5" t="s">
        <v>8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125</v>
      </c>
      <c r="C211" s="6" t="str">
        <f aca="false">HYPERLINK("https://partner.tcgplayer.com/c/6278691/1780961/21018?u=https%3A%2F%2Fwww.tcgplayer.com%2Fproduct%2F497526%3Futm_source%3Dimpact%26utm_medium%3Daffiliate%26utm_campaign%3Dpoke%2Bcottage","Pupitar")</f>
        <v>Pupitar</v>
      </c>
      <c r="D211" s="5" t="s">
        <v>13</v>
      </c>
      <c r="E211" s="5" t="s">
        <v>9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125</v>
      </c>
      <c r="C212" s="6" t="str">
        <f aca="false">HYPERLINK("https://partner.tcgplayer.com/c/6278691/1780961/21018?u=https%3A%2F%2Fwww.tcgplayer.com%2Fproduct%2F497526%3Futm_source%3Dimpact%26utm_medium%3Daffiliate%26utm_campaign%3Dpoke%2Bcottage","Pupitar")</f>
        <v>Pupitar</v>
      </c>
      <c r="D212" s="5" t="s">
        <v>13</v>
      </c>
      <c r="E212" s="5" t="s">
        <v>11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126</v>
      </c>
      <c r="C213" s="6" t="str">
        <f aca="false">HYPERLINK("https://partner.tcgplayer.com/c/6278691/1780961/21018?u=https%3A%2F%2Fwww.tcgplayer.com%2Fproduct%2F497527%3Futm_source%3Dimpact%26utm_medium%3Daffiliate%26utm_campaign%3Dpoke%2Bcottage","Makuhita")</f>
        <v>Makuhita</v>
      </c>
      <c r="D213" s="5" t="s">
        <v>8</v>
      </c>
      <c r="E213" s="5" t="s">
        <v>9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126</v>
      </c>
      <c r="C214" s="6" t="str">
        <f aca="false">HYPERLINK("https://partner.tcgplayer.com/c/6278691/1780961/21018?u=https%3A%2F%2Fwww.tcgplayer.com%2Fproduct%2F497527%3Futm_source%3Dimpact%26utm_medium%3Daffiliate%26utm_campaign%3Dpoke%2Bcottage","Makuhita")</f>
        <v>Makuhita</v>
      </c>
      <c r="D214" s="5" t="s">
        <v>8</v>
      </c>
      <c r="E214" s="5" t="s">
        <v>11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127</v>
      </c>
      <c r="C215" s="6" t="str">
        <f aca="false">HYPERLINK("https://partner.tcgplayer.com/c/6278691/1780961/21018?u=https%3A%2F%2Fwww.tcgplayer.com%2Fproduct%2F497528%3Futm_source%3Dimpact%26utm_medium%3Daffiliate%26utm_campaign%3Dpoke%2Bcottage","Hariyama")</f>
        <v>Hariyama</v>
      </c>
      <c r="D215" s="5" t="s">
        <v>15</v>
      </c>
      <c r="E215" s="5" t="s">
        <v>16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127</v>
      </c>
      <c r="C216" s="6" t="str">
        <f aca="false">HYPERLINK("https://partner.tcgplayer.com/c/6278691/1780961/21018?u=https%3A%2F%2Fwww.tcgplayer.com%2Fproduct%2F497528%3Futm_source%3Dimpact%26utm_medium%3Daffiliate%26utm_campaign%3Dpoke%2Bcottage","Hariyama")</f>
        <v>Hariyama</v>
      </c>
      <c r="D216" s="5" t="s">
        <v>15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128</v>
      </c>
      <c r="C217" s="6" t="str">
        <f aca="false">HYPERLINK("https://partner.tcgplayer.com/c/6278691/1780961/21018?u=https%3A%2F%2Fwww.tcgplayer.com%2Fproduct%2F497529%3Futm_source%3Dimpact%26utm_medium%3Daffiliate%26utm_campaign%3Dpoke%2Bcottage","Croagunk")</f>
        <v>Croagunk</v>
      </c>
      <c r="D217" s="5" t="s">
        <v>8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128</v>
      </c>
      <c r="C218" s="6" t="str">
        <f aca="false">HYPERLINK("https://partner.tcgplayer.com/c/6278691/1780961/21018?u=https%3A%2F%2Fwww.tcgplayer.com%2Fproduct%2F497529%3Futm_source%3Dimpact%26utm_medium%3Daffiliate%26utm_campaign%3Dpoke%2Bcottage","Croagunk")</f>
        <v>Croagunk</v>
      </c>
      <c r="D218" s="5" t="s">
        <v>8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129</v>
      </c>
      <c r="C219" s="6" t="str">
        <f aca="false">HYPERLINK("https://partner.tcgplayer.com/c/6278691/1780961/21018?u=https%3A%2F%2Fwww.tcgplayer.com%2Fproduct%2F497530%3Futm_source%3Dimpact%26utm_medium%3Daffiliate%26utm_campaign%3Dpoke%2Bcottage","Toxicroak")</f>
        <v>Toxicroak</v>
      </c>
      <c r="D219" s="5" t="s">
        <v>13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129</v>
      </c>
      <c r="C220" s="6" t="str">
        <f aca="false">HYPERLINK("https://partner.tcgplayer.com/c/6278691/1780961/21018?u=https%3A%2F%2Fwww.tcgplayer.com%2Fproduct%2F497530%3Futm_source%3Dimpact%26utm_medium%3Daffiliate%26utm_campaign%3Dpoke%2Bcottage","Toxicroak")</f>
        <v>Toxicroak</v>
      </c>
      <c r="D220" s="5" t="s">
        <v>13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130</v>
      </c>
      <c r="C221" s="6" t="str">
        <f aca="false">HYPERLINK("https://partner.tcgplayer.com/c/6278691/1780961/21018?u=https%3A%2F%2Fwww.tcgplayer.com%2Fproduct%2F497531%3Futm_source%3Dimpact%26utm_medium%3Daffiliate%26utm_campaign%3Dpoke%2Bcottage","Rockruff")</f>
        <v>Rockruff</v>
      </c>
      <c r="D221" s="5" t="s">
        <v>8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130</v>
      </c>
      <c r="C222" s="6" t="str">
        <f aca="false">HYPERLINK("https://partner.tcgplayer.com/c/6278691/1780961/21018?u=https%3A%2F%2Fwww.tcgplayer.com%2Fproduct%2F497531%3Futm_source%3Dimpact%26utm_medium%3Daffiliate%26utm_campaign%3Dpoke%2Bcottage","Rockruff")</f>
        <v>Rockruff</v>
      </c>
      <c r="D222" s="5" t="s">
        <v>8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131</v>
      </c>
      <c r="C223" s="6" t="str">
        <f aca="false">HYPERLINK("https://partner.tcgplayer.com/c/6278691/1780961/21018?u=https%3A%2F%2Fwww.tcgplayer.com%2Fproduct%2F497532%3Futm_source%3Dimpact%26utm_medium%3Daffiliate%26utm_campaign%3Dpoke%2Bcottage","Lycanroc ex")</f>
        <v>Lycanroc ex</v>
      </c>
      <c r="D223" s="5" t="s">
        <v>19</v>
      </c>
      <c r="E223" s="5" t="s">
        <v>16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132</v>
      </c>
      <c r="C224" s="6" t="str">
        <f aca="false">HYPERLINK("https://partner.tcgplayer.com/c/6278691/1780961/21018?u=https%3A%2F%2Fwww.tcgplayer.com%2Fproduct%2F497533%3Futm_source%3Dimpact%26utm_medium%3Daffiliate%26utm_campaign%3Dpoke%2Bcottage","Passimian")</f>
        <v>Passimian</v>
      </c>
      <c r="D224" s="5" t="s">
        <v>13</v>
      </c>
      <c r="E224" s="5" t="s">
        <v>9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132</v>
      </c>
      <c r="C225" s="6" t="str">
        <f aca="false">HYPERLINK("https://partner.tcgplayer.com/c/6278691/1780961/21018?u=https%3A%2F%2Fwww.tcgplayer.com%2Fproduct%2F497533%3Futm_source%3Dimpact%26utm_medium%3Daffiliate%26utm_campaign%3Dpoke%2Bcottage","Passimian")</f>
        <v>Passimian</v>
      </c>
      <c r="D225" s="5" t="s">
        <v>13</v>
      </c>
      <c r="E225" s="5" t="s">
        <v>11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133</v>
      </c>
      <c r="C226" s="6" t="str">
        <f aca="false">HYPERLINK("https://partner.tcgplayer.com/c/6278691/1780961/21018?u=https%3A%2F%2Fwww.tcgplayer.com%2Fproduct%2F497534%3Futm_source%3Dimpact%26utm_medium%3Daffiliate%26utm_campaign%3Dpoke%2Bcottage","Falinks")</f>
        <v>Falinks</v>
      </c>
      <c r="D226" s="5" t="s">
        <v>8</v>
      </c>
      <c r="E226" s="5" t="s">
        <v>9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133</v>
      </c>
      <c r="C227" s="6" t="str">
        <f aca="false">HYPERLINK("https://partner.tcgplayer.com/c/6278691/1780961/21018?u=https%3A%2F%2Fwww.tcgplayer.com%2Fproduct%2F497534%3Futm_source%3Dimpact%26utm_medium%3Daffiliate%26utm_campaign%3Dpoke%2Bcottage","Falinks")</f>
        <v>Falinks</v>
      </c>
      <c r="D227" s="5" t="s">
        <v>8</v>
      </c>
      <c r="E227" s="5" t="s">
        <v>11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134</v>
      </c>
      <c r="C228" s="6" t="str">
        <f aca="false">HYPERLINK("https://partner.tcgplayer.com/c/6278691/1780961/21018?u=https%3A%2F%2Fwww.tcgplayer.com%2Fproduct%2F497535%3Futm_source%3Dimpact%26utm_medium%3Daffiliate%26utm_campaign%3Dpoke%2Bcottage","Nacli")</f>
        <v>Nacli</v>
      </c>
      <c r="D228" s="5" t="s">
        <v>8</v>
      </c>
      <c r="E228" s="5" t="s">
        <v>9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134</v>
      </c>
      <c r="C229" s="6" t="str">
        <f aca="false">HYPERLINK("https://partner.tcgplayer.com/c/6278691/1780961/21018?u=https%3A%2F%2Fwww.tcgplayer.com%2Fproduct%2F497535%3Futm_source%3Dimpact%26utm_medium%3Daffiliate%26utm_campaign%3Dpoke%2Bcottage","Nacli")</f>
        <v>Nacli</v>
      </c>
      <c r="D229" s="5" t="s">
        <v>8</v>
      </c>
      <c r="E229" s="5" t="s">
        <v>11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135</v>
      </c>
      <c r="C230" s="6" t="str">
        <f aca="false">HYPERLINK("https://partner.tcgplayer.com/c/6278691/1780961/21018?u=https%3A%2F%2Fwww.tcgplayer.com%2Fproduct%2F497536%3Futm_source%3Dimpact%26utm_medium%3Daffiliate%26utm_campaign%3Dpoke%2Bcottage","Nacli")</f>
        <v>Nacli</v>
      </c>
      <c r="D230" s="5" t="s">
        <v>8</v>
      </c>
      <c r="E230" s="5" t="s">
        <v>9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135</v>
      </c>
      <c r="C231" s="6" t="str">
        <f aca="false">HYPERLINK("https://partner.tcgplayer.com/c/6278691/1780961/21018?u=https%3A%2F%2Fwww.tcgplayer.com%2Fproduct%2F497536%3Futm_source%3Dimpact%26utm_medium%3Daffiliate%26utm_campaign%3Dpoke%2Bcottage","Nacli")</f>
        <v>Nacli</v>
      </c>
      <c r="D231" s="5" t="s">
        <v>8</v>
      </c>
      <c r="E231" s="5" t="s">
        <v>11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136</v>
      </c>
      <c r="C232" s="6" t="str">
        <f aca="false">HYPERLINK("https://partner.tcgplayer.com/c/6278691/1780961/21018?u=https%3A%2F%2Fwww.tcgplayer.com%2Fproduct%2F497537%3Futm_source%3Dimpact%26utm_medium%3Daffiliate%26utm_campaign%3Dpoke%2Bcottage","Naclstack")</f>
        <v>Naclstack</v>
      </c>
      <c r="D232" s="5" t="s">
        <v>13</v>
      </c>
      <c r="E232" s="5" t="s">
        <v>9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136</v>
      </c>
      <c r="C233" s="6" t="str">
        <f aca="false">HYPERLINK("https://partner.tcgplayer.com/c/6278691/1780961/21018?u=https%3A%2F%2Fwww.tcgplayer.com%2Fproduct%2F497537%3Futm_source%3Dimpact%26utm_medium%3Daffiliate%26utm_campaign%3Dpoke%2Bcottage","Naclstack")</f>
        <v>Naclstack</v>
      </c>
      <c r="D233" s="5" t="s">
        <v>13</v>
      </c>
      <c r="E233" s="5" t="s">
        <v>11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137</v>
      </c>
      <c r="C234" s="6" t="str">
        <f aca="false">HYPERLINK("https://partner.tcgplayer.com/c/6278691/1780961/21018?u=https%3A%2F%2Fwww.tcgplayer.com%2Fproduct%2F497538%3Futm_source%3Dimpact%26utm_medium%3Daffiliate%26utm_campaign%3Dpoke%2Bcottage","Garganacl")</f>
        <v>Garganacl</v>
      </c>
      <c r="D234" s="5" t="s">
        <v>15</v>
      </c>
      <c r="E234" s="5" t="s">
        <v>16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137</v>
      </c>
      <c r="C235" s="6" t="str">
        <f aca="false">HYPERLINK("https://partner.tcgplayer.com/c/6278691/1780961/21018?u=https%3A%2F%2Fwww.tcgplayer.com%2Fproduct%2F497538%3Futm_source%3Dimpact%26utm_medium%3Daffiliate%26utm_campaign%3Dpoke%2Bcottage","Garganacl")</f>
        <v>Garganacl</v>
      </c>
      <c r="D235" s="5" t="s">
        <v>15</v>
      </c>
      <c r="E235" s="5" t="s">
        <v>11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138</v>
      </c>
      <c r="C236" s="6" t="str">
        <f aca="false">HYPERLINK("https://partner.tcgplayer.com/c/6278691/1780961/21018?u=https%3A%2F%2Fwww.tcgplayer.com%2Fproduct%2F497539%3Futm_source%3Dimpact%26utm_medium%3Daffiliate%26utm_campaign%3Dpoke%2Bcottage","Glimmet")</f>
        <v>Glimmet</v>
      </c>
      <c r="D236" s="5" t="s">
        <v>8</v>
      </c>
      <c r="E236" s="5" t="s">
        <v>9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138</v>
      </c>
      <c r="C237" s="6" t="str">
        <f aca="false">HYPERLINK("https://partner.tcgplayer.com/c/6278691/1780961/21018?u=https%3A%2F%2Fwww.tcgplayer.com%2Fproduct%2F497539%3Futm_source%3Dimpact%26utm_medium%3Daffiliate%26utm_campaign%3Dpoke%2Bcottage","Glimmet")</f>
        <v>Glimmet</v>
      </c>
      <c r="D237" s="5" t="s">
        <v>8</v>
      </c>
      <c r="E237" s="5" t="s">
        <v>11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139</v>
      </c>
      <c r="C238" s="6" t="str">
        <f aca="false">HYPERLINK("https://partner.tcgplayer.com/c/6278691/1780961/21018?u=https%3A%2F%2Fwww.tcgplayer.com%2Fproduct%2F497540%3Futm_source%3Dimpact%26utm_medium%3Daffiliate%26utm_campaign%3Dpoke%2Bcottage","Glimmet")</f>
        <v>Glimmet</v>
      </c>
      <c r="D238" s="5" t="s">
        <v>8</v>
      </c>
      <c r="E238" s="5" t="s">
        <v>9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139</v>
      </c>
      <c r="C239" s="6" t="str">
        <f aca="false">HYPERLINK("https://partner.tcgplayer.com/c/6278691/1780961/21018?u=https%3A%2F%2Fwww.tcgplayer.com%2Fproduct%2F497540%3Futm_source%3Dimpact%26utm_medium%3Daffiliate%26utm_campaign%3Dpoke%2Bcottage","Glimmet")</f>
        <v>Glimmet</v>
      </c>
      <c r="D239" s="5" t="s">
        <v>8</v>
      </c>
      <c r="E239" s="5" t="s">
        <v>11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140</v>
      </c>
      <c r="C240" s="6" t="str">
        <f aca="false">HYPERLINK("https://partner.tcgplayer.com/c/6278691/1780961/21018?u=https%3A%2F%2Fwww.tcgplayer.com%2Fproduct%2F497542%3Futm_source%3Dimpact%26utm_medium%3Daffiliate%26utm_campaign%3Dpoke%2Bcottage","Glimmora")</f>
        <v>Glimmora</v>
      </c>
      <c r="D240" s="5" t="s">
        <v>15</v>
      </c>
      <c r="E240" s="5" t="s">
        <v>16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140</v>
      </c>
      <c r="C241" s="6" t="str">
        <f aca="false">HYPERLINK("https://partner.tcgplayer.com/c/6278691/1780961/21018?u=https%3A%2F%2Fwww.tcgplayer.com%2Fproduct%2F497542%3Futm_source%3Dimpact%26utm_medium%3Daffiliate%26utm_campaign%3Dpoke%2Bcottage","Glimmora")</f>
        <v>Glimmora</v>
      </c>
      <c r="D241" s="5" t="s">
        <v>15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141</v>
      </c>
      <c r="C242" s="6" t="str">
        <f aca="false">HYPERLINK("https://partner.tcgplayer.com/c/6278691/1780961/21018?u=https%3A%2F%2Fwww.tcgplayer.com%2Fproduct%2F497543%3Futm_source%3Dimpact%26utm_medium%3Daffiliate%26utm_campaign%3Dpoke%2Bcottage","Ting-Lu ex")</f>
        <v>Ting-Lu ex</v>
      </c>
      <c r="D242" s="5" t="s">
        <v>19</v>
      </c>
      <c r="E242" s="5" t="s">
        <v>16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142</v>
      </c>
      <c r="C243" s="6" t="str">
        <f aca="false">HYPERLINK("https://partner.tcgplayer.com/c/6278691/1780961/21018?u=https%3A%2F%2Fwww.tcgplayer.com%2Fproduct%2F497581%3Futm_source%3Dimpact%26utm_medium%3Daffiliate%26utm_campaign%3Dpoke%2Bcottage","Paldean Wooper")</f>
        <v>Paldean Wooper</v>
      </c>
      <c r="D243" s="5" t="s">
        <v>8</v>
      </c>
      <c r="E243" s="5" t="s">
        <v>9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142</v>
      </c>
      <c r="C244" s="6" t="str">
        <f aca="false">HYPERLINK("https://partner.tcgplayer.com/c/6278691/1780961/21018?u=https%3A%2F%2Fwww.tcgplayer.com%2Fproduct%2F497581%3Futm_source%3Dimpact%26utm_medium%3Daffiliate%26utm_campaign%3Dpoke%2Bcottage","Paldean Wooper")</f>
        <v>Paldean Wooper</v>
      </c>
      <c r="D244" s="5" t="s">
        <v>8</v>
      </c>
      <c r="E244" s="5" t="s">
        <v>11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143</v>
      </c>
      <c r="C245" s="6" t="str">
        <f aca="false">HYPERLINK("https://partner.tcgplayer.com/c/6278691/1780961/21018?u=https%3A%2F%2Fwww.tcgplayer.com%2Fproduct%2F497586%3Futm_source%3Dimpact%26utm_medium%3Daffiliate%26utm_campaign%3Dpoke%2Bcottage","Paldean Wooper")</f>
        <v>Paldean Wooper</v>
      </c>
      <c r="D245" s="5" t="s">
        <v>8</v>
      </c>
      <c r="E245" s="5" t="s">
        <v>9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143</v>
      </c>
      <c r="C246" s="6" t="str">
        <f aca="false">HYPERLINK("https://partner.tcgplayer.com/c/6278691/1780961/21018?u=https%3A%2F%2Fwww.tcgplayer.com%2Fproduct%2F497586%3Futm_source%3Dimpact%26utm_medium%3Daffiliate%26utm_campaign%3Dpoke%2Bcottage","Paldean Wooper")</f>
        <v>Paldean Wooper</v>
      </c>
      <c r="D246" s="5" t="s">
        <v>8</v>
      </c>
      <c r="E246" s="5" t="s">
        <v>11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144</v>
      </c>
      <c r="C247" s="6" t="str">
        <f aca="false">HYPERLINK("https://partner.tcgplayer.com/c/6278691/1780961/21018?u=https%3A%2F%2Fwww.tcgplayer.com%2Fproduct%2F497589%3Futm_source%3Dimpact%26utm_medium%3Daffiliate%26utm_campaign%3Dpoke%2Bcottage","Paldean Clodsire ex")</f>
        <v>Paldean Clodsire ex</v>
      </c>
      <c r="D247" s="5" t="s">
        <v>19</v>
      </c>
      <c r="E247" s="5" t="s">
        <v>16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145</v>
      </c>
      <c r="C248" s="6" t="str">
        <f aca="false">HYPERLINK("https://partner.tcgplayer.com/c/6278691/1780961/21018?u=https%3A%2F%2Fwww.tcgplayer.com%2Fproduct%2F497592%3Futm_source%3Dimpact%26utm_medium%3Daffiliate%26utm_campaign%3Dpoke%2Bcottage","Murkrow")</f>
        <v>Murkrow</v>
      </c>
      <c r="D248" s="5" t="s">
        <v>8</v>
      </c>
      <c r="E248" s="5" t="s">
        <v>9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145</v>
      </c>
      <c r="C249" s="6" t="str">
        <f aca="false">HYPERLINK("https://partner.tcgplayer.com/c/6278691/1780961/21018?u=https%3A%2F%2Fwww.tcgplayer.com%2Fproduct%2F497592%3Futm_source%3Dimpact%26utm_medium%3Daffiliate%26utm_campaign%3Dpoke%2Bcottage","Murkrow")</f>
        <v>Murkrow</v>
      </c>
      <c r="D249" s="5" t="s">
        <v>8</v>
      </c>
      <c r="E249" s="5" t="s">
        <v>11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146</v>
      </c>
      <c r="C250" s="6" t="str">
        <f aca="false">HYPERLINK("https://partner.tcgplayer.com/c/6278691/1780961/21018?u=https%3A%2F%2Fwww.tcgplayer.com%2Fproduct%2F497593%3Futm_source%3Dimpact%26utm_medium%3Daffiliate%26utm_campaign%3Dpoke%2Bcottage","Honchkrow")</f>
        <v>Honchkrow</v>
      </c>
      <c r="D250" s="5" t="s">
        <v>13</v>
      </c>
      <c r="E250" s="5" t="s">
        <v>9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146</v>
      </c>
      <c r="C251" s="6" t="str">
        <f aca="false">HYPERLINK("https://partner.tcgplayer.com/c/6278691/1780961/21018?u=https%3A%2F%2Fwww.tcgplayer.com%2Fproduct%2F497593%3Futm_source%3Dimpact%26utm_medium%3Daffiliate%26utm_campaign%3Dpoke%2Bcottage","Honchkrow")</f>
        <v>Honchkrow</v>
      </c>
      <c r="D251" s="5" t="s">
        <v>13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147</v>
      </c>
      <c r="C252" s="6" t="str">
        <f aca="false">HYPERLINK("https://partner.tcgplayer.com/c/6278691/1780961/21018?u=https%3A%2F%2Fwww.tcgplayer.com%2Fproduct%2F497594%3Futm_source%3Dimpact%26utm_medium%3Daffiliate%26utm_campaign%3Dpoke%2Bcottage","Sneasel")</f>
        <v>Sneasel</v>
      </c>
      <c r="D252" s="5" t="s">
        <v>8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147</v>
      </c>
      <c r="C253" s="6" t="str">
        <f aca="false">HYPERLINK("https://partner.tcgplayer.com/c/6278691/1780961/21018?u=https%3A%2F%2Fwww.tcgplayer.com%2Fproduct%2F497594%3Futm_source%3Dimpact%26utm_medium%3Daffiliate%26utm_campaign%3Dpoke%2Bcottage","Sneasel")</f>
        <v>Sneasel</v>
      </c>
      <c r="D253" s="5" t="s">
        <v>8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148</v>
      </c>
      <c r="C254" s="6" t="str">
        <f aca="false">HYPERLINK("https://partner.tcgplayer.com/c/6278691/1780961/21018?u=https%3A%2F%2Fwww.tcgplayer.com%2Fproduct%2F497595%3Futm_source%3Dimpact%26utm_medium%3Daffiliate%26utm_campaign%3Dpoke%2Bcottage","Weavile")</f>
        <v>Weavile</v>
      </c>
      <c r="D254" s="5" t="s">
        <v>15</v>
      </c>
      <c r="E254" s="5" t="s">
        <v>16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148</v>
      </c>
      <c r="C255" s="6" t="str">
        <f aca="false">HYPERLINK("https://partner.tcgplayer.com/c/6278691/1780961/21018?u=https%3A%2F%2Fwww.tcgplayer.com%2Fproduct%2F497595%3Futm_source%3Dimpact%26utm_medium%3Daffiliate%26utm_campaign%3Dpoke%2Bcottage","Weavile")</f>
        <v>Weavile</v>
      </c>
      <c r="D255" s="5" t="s">
        <v>15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149</v>
      </c>
      <c r="C256" s="6" t="str">
        <f aca="false">HYPERLINK("https://partner.tcgplayer.com/c/6278691/1780961/21018?u=https%3A%2F%2Fwww.tcgplayer.com%2Fproduct%2F497596%3Futm_source%3Dimpact%26utm_medium%3Daffiliate%26utm_campaign%3Dpoke%2Bcottage","Tyranitar")</f>
        <v>Tyranitar</v>
      </c>
      <c r="D256" s="5" t="s">
        <v>15</v>
      </c>
      <c r="E256" s="5" t="s">
        <v>16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149</v>
      </c>
      <c r="C257" s="6" t="str">
        <f aca="false">HYPERLINK("https://partner.tcgplayer.com/c/6278691/1780961/21018?u=https%3A%2F%2Fwww.tcgplayer.com%2Fproduct%2F497596%3Futm_source%3Dimpact%26utm_medium%3Daffiliate%26utm_campaign%3Dpoke%2Bcottage","Tyranitar")</f>
        <v>Tyranitar</v>
      </c>
      <c r="D257" s="5" t="s">
        <v>15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150</v>
      </c>
      <c r="C258" s="6" t="str">
        <f aca="false">HYPERLINK("https://partner.tcgplayer.com/c/6278691/1780961/21018?u=https%3A%2F%2Fwww.tcgplayer.com%2Fproduct%2F497632%3Futm_source%3Dimpact%26utm_medium%3Daffiliate%26utm_campaign%3Dpoke%2Bcottage","Sableye")</f>
        <v>Sableye</v>
      </c>
      <c r="D258" s="5" t="s">
        <v>15</v>
      </c>
      <c r="E258" s="5" t="s">
        <v>16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150</v>
      </c>
      <c r="C259" s="6" t="str">
        <f aca="false">HYPERLINK("https://partner.tcgplayer.com/c/6278691/1780961/21018?u=https%3A%2F%2Fwww.tcgplayer.com%2Fproduct%2F497632%3Futm_source%3Dimpact%26utm_medium%3Daffiliate%26utm_campaign%3Dpoke%2Bcottage","Sableye")</f>
        <v>Sableye</v>
      </c>
      <c r="D259" s="5" t="s">
        <v>15</v>
      </c>
      <c r="E259" s="5" t="s">
        <v>11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151</v>
      </c>
      <c r="C260" s="6" t="str">
        <f aca="false">HYPERLINK("https://partner.tcgplayer.com/c/6278691/1780961/21018?u=https%3A%2F%2Fwww.tcgplayer.com%2Fproduct%2F497635%3Futm_source%3Dimpact%26utm_medium%3Daffiliate%26utm_campaign%3Dpoke%2Bcottage","Seviper")</f>
        <v>Seviper</v>
      </c>
      <c r="D260" s="5" t="s">
        <v>13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151</v>
      </c>
      <c r="C261" s="6" t="str">
        <f aca="false">HYPERLINK("https://partner.tcgplayer.com/c/6278691/1780961/21018?u=https%3A%2F%2Fwww.tcgplayer.com%2Fproduct%2F497635%3Futm_source%3Dimpact%26utm_medium%3Daffiliate%26utm_campaign%3Dpoke%2Bcottage","Seviper")</f>
        <v>Seviper</v>
      </c>
      <c r="D261" s="5" t="s">
        <v>13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152</v>
      </c>
      <c r="C262" s="6" t="str">
        <f aca="false">HYPERLINK("https://partner.tcgplayer.com/c/6278691/1780961/21018?u=https%3A%2F%2Fwww.tcgplayer.com%2Fproduct%2F497638%3Futm_source%3Dimpact%26utm_medium%3Daffiliate%26utm_campaign%3Dpoke%2Bcottage","Deino")</f>
        <v>Deino</v>
      </c>
      <c r="D262" s="5" t="s">
        <v>8</v>
      </c>
      <c r="E262" s="5" t="s">
        <v>9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152</v>
      </c>
      <c r="C263" s="6" t="str">
        <f aca="false">HYPERLINK("https://partner.tcgplayer.com/c/6278691/1780961/21018?u=https%3A%2F%2Fwww.tcgplayer.com%2Fproduct%2F497638%3Futm_source%3Dimpact%26utm_medium%3Daffiliate%26utm_campaign%3Dpoke%2Bcottage","Deino")</f>
        <v>Deino</v>
      </c>
      <c r="D263" s="5" t="s">
        <v>8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153</v>
      </c>
      <c r="C264" s="6" t="str">
        <f aca="false">HYPERLINK("https://partner.tcgplayer.com/c/6278691/1780961/21018?u=https%3A%2F%2Fwww.tcgplayer.com%2Fproduct%2F497643%3Futm_source%3Dimpact%26utm_medium%3Daffiliate%26utm_campaign%3Dpoke%2Bcottage","Zweilous")</f>
        <v>Zweilous</v>
      </c>
      <c r="D264" s="5" t="s">
        <v>13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153</v>
      </c>
      <c r="C265" s="6" t="str">
        <f aca="false">HYPERLINK("https://partner.tcgplayer.com/c/6278691/1780961/21018?u=https%3A%2F%2Fwww.tcgplayer.com%2Fproduct%2F497643%3Futm_source%3Dimpact%26utm_medium%3Daffiliate%26utm_campaign%3Dpoke%2Bcottage","Zweilous")</f>
        <v>Zweilous</v>
      </c>
      <c r="D265" s="5" t="s">
        <v>13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154</v>
      </c>
      <c r="C266" s="6" t="str">
        <f aca="false">HYPERLINK("https://partner.tcgplayer.com/c/6278691/1780961/21018?u=https%3A%2F%2Fwww.tcgplayer.com%2Fproduct%2F497645%3Futm_source%3Dimpact%26utm_medium%3Daffiliate%26utm_campaign%3Dpoke%2Bcottage","Hydreigon")</f>
        <v>Hydreigon</v>
      </c>
      <c r="D266" s="5" t="s">
        <v>15</v>
      </c>
      <c r="E266" s="5" t="s">
        <v>16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154</v>
      </c>
      <c r="C267" s="6" t="str">
        <f aca="false">HYPERLINK("https://partner.tcgplayer.com/c/6278691/1780961/21018?u=https%3A%2F%2Fwww.tcgplayer.com%2Fproduct%2F497645%3Futm_source%3Dimpact%26utm_medium%3Daffiliate%26utm_campaign%3Dpoke%2Bcottage","Hydreigon")</f>
        <v>Hydreigon</v>
      </c>
      <c r="D267" s="5" t="s">
        <v>15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155</v>
      </c>
      <c r="C268" s="6" t="str">
        <f aca="false">HYPERLINK("https://partner.tcgplayer.com/c/6278691/1780961/21018?u=https%3A%2F%2Fwww.tcgplayer.com%2Fproduct%2F497648%3Futm_source%3Dimpact%26utm_medium%3Daffiliate%26utm_campaign%3Dpoke%2Bcottage","Maschiff")</f>
        <v>Maschiff</v>
      </c>
      <c r="D268" s="5" t="s">
        <v>8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155</v>
      </c>
      <c r="C269" s="6" t="str">
        <f aca="false">HYPERLINK("https://partner.tcgplayer.com/c/6278691/1780961/21018?u=https%3A%2F%2Fwww.tcgplayer.com%2Fproduct%2F497648%3Futm_source%3Dimpact%26utm_medium%3Daffiliate%26utm_campaign%3Dpoke%2Bcottage","Maschiff")</f>
        <v>Maschiff</v>
      </c>
      <c r="D269" s="5" t="s">
        <v>8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156</v>
      </c>
      <c r="C270" s="6" t="str">
        <f aca="false">HYPERLINK("https://partner.tcgplayer.com/c/6278691/1780961/21018?u=https%3A%2F%2Fwww.tcgplayer.com%2Fproduct%2F497650%3Futm_source%3Dimpact%26utm_medium%3Daffiliate%26utm_campaign%3Dpoke%2Bcottage","Maschiff")</f>
        <v>Maschiff</v>
      </c>
      <c r="D270" s="5" t="s">
        <v>8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156</v>
      </c>
      <c r="C271" s="6" t="str">
        <f aca="false">HYPERLINK("https://partner.tcgplayer.com/c/6278691/1780961/21018?u=https%3A%2F%2Fwww.tcgplayer.com%2Fproduct%2F497650%3Futm_source%3Dimpact%26utm_medium%3Daffiliate%26utm_campaign%3Dpoke%2Bcottage","Maschiff")</f>
        <v>Maschiff</v>
      </c>
      <c r="D271" s="5" t="s">
        <v>8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157</v>
      </c>
      <c r="C272" s="6" t="str">
        <f aca="false">HYPERLINK("https://partner.tcgplayer.com/c/6278691/1780961/21018?u=https%3A%2F%2Fwww.tcgplayer.com%2Fproduct%2F497656%3Futm_source%3Dimpact%26utm_medium%3Daffiliate%26utm_campaign%3Dpoke%2Bcottage","Mabosstiff")</f>
        <v>Mabosstiff</v>
      </c>
      <c r="D272" s="5" t="s">
        <v>13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157</v>
      </c>
      <c r="C273" s="6" t="str">
        <f aca="false">HYPERLINK("https://partner.tcgplayer.com/c/6278691/1780961/21018?u=https%3A%2F%2Fwww.tcgplayer.com%2Fproduct%2F497656%3Futm_source%3Dimpact%26utm_medium%3Daffiliate%26utm_campaign%3Dpoke%2Bcottage","Mabosstiff")</f>
        <v>Mabosstiff</v>
      </c>
      <c r="D273" s="5" t="s">
        <v>13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158</v>
      </c>
      <c r="C274" s="6" t="str">
        <f aca="false">HYPERLINK("https://partner.tcgplayer.com/c/6278691/1780961/21018?u=https%3A%2F%2Fwww.tcgplayer.com%2Fproduct%2F497659%3Futm_source%3Dimpact%26utm_medium%3Daffiliate%26utm_campaign%3Dpoke%2Bcottage","Shroodle")</f>
        <v>Shroodle</v>
      </c>
      <c r="D274" s="5" t="s">
        <v>8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158</v>
      </c>
      <c r="C275" s="6" t="str">
        <f aca="false">HYPERLINK("https://partner.tcgplayer.com/c/6278691/1780961/21018?u=https%3A%2F%2Fwww.tcgplayer.com%2Fproduct%2F497659%3Futm_source%3Dimpact%26utm_medium%3Daffiliate%26utm_campaign%3Dpoke%2Bcottage","Shroodle")</f>
        <v>Shroodle</v>
      </c>
      <c r="D275" s="5" t="s">
        <v>8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159</v>
      </c>
      <c r="C276" s="6" t="str">
        <f aca="false">HYPERLINK("https://partner.tcgplayer.com/c/6278691/1780961/21018?u=https%3A%2F%2Fwww.tcgplayer.com%2Fproduct%2F497660%3Futm_source%3Dimpact%26utm_medium%3Daffiliate%26utm_campaign%3Dpoke%2Bcottage","Shroodle")</f>
        <v>Shroodle</v>
      </c>
      <c r="D276" s="5" t="s">
        <v>8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159</v>
      </c>
      <c r="C277" s="6" t="str">
        <f aca="false">HYPERLINK("https://partner.tcgplayer.com/c/6278691/1780961/21018?u=https%3A%2F%2Fwww.tcgplayer.com%2Fproduct%2F497660%3Futm_source%3Dimpact%26utm_medium%3Daffiliate%26utm_campaign%3Dpoke%2Bcottage","Shroodle")</f>
        <v>Shroodle</v>
      </c>
      <c r="D277" s="5" t="s">
        <v>8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160</v>
      </c>
      <c r="C278" s="6" t="str">
        <f aca="false">HYPERLINK("https://partner.tcgplayer.com/c/6278691/1780961/21018?u=https%3A%2F%2Fwww.tcgplayer.com%2Fproduct%2F497661%3Futm_source%3Dimpact%26utm_medium%3Daffiliate%26utm_campaign%3Dpoke%2Bcottage","Grafaiai")</f>
        <v>Grafaiai</v>
      </c>
      <c r="D278" s="5" t="s">
        <v>13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160</v>
      </c>
      <c r="C279" s="6" t="str">
        <f aca="false">HYPERLINK("https://partner.tcgplayer.com/c/6278691/1780961/21018?u=https%3A%2F%2Fwww.tcgplayer.com%2Fproduct%2F497661%3Futm_source%3Dimpact%26utm_medium%3Daffiliate%26utm_campaign%3Dpoke%2Bcottage","Grafaiai")</f>
        <v>Grafaiai</v>
      </c>
      <c r="D279" s="5" t="s">
        <v>13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161</v>
      </c>
      <c r="C280" s="6" t="str">
        <f aca="false">HYPERLINK("https://partner.tcgplayer.com/c/6278691/1780961/21018?u=https%3A%2F%2Fwww.tcgplayer.com%2Fproduct%2F497662%3Futm_source%3Dimpact%26utm_medium%3Daffiliate%26utm_campaign%3Dpoke%2Bcottage","Bombirdier")</f>
        <v>Bombirdier</v>
      </c>
      <c r="D280" s="5" t="s">
        <v>13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161</v>
      </c>
      <c r="C281" s="6" t="str">
        <f aca="false">HYPERLINK("https://partner.tcgplayer.com/c/6278691/1780961/21018?u=https%3A%2F%2Fwww.tcgplayer.com%2Fproduct%2F497662%3Futm_source%3Dimpact%26utm_medium%3Daffiliate%26utm_campaign%3Dpoke%2Bcottage","Bombirdier")</f>
        <v>Bombirdier</v>
      </c>
      <c r="D281" s="5" t="s">
        <v>13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162</v>
      </c>
      <c r="C282" s="6" t="str">
        <f aca="false">HYPERLINK("https://partner.tcgplayer.com/c/6278691/1780961/21018?u=https%3A%2F%2Fwww.tcgplayer.com%2Fproduct%2F497561%3Futm_source%3Dimpact%26utm_medium%3Daffiliate%26utm_campaign%3Dpoke%2Bcottage","Corviknight")</f>
        <v>Corviknight</v>
      </c>
      <c r="D282" s="5" t="s">
        <v>13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162</v>
      </c>
      <c r="C283" s="6" t="str">
        <f aca="false">HYPERLINK("https://partner.tcgplayer.com/c/6278691/1780961/21018?u=https%3A%2F%2Fwww.tcgplayer.com%2Fproduct%2F497561%3Futm_source%3Dimpact%26utm_medium%3Daffiliate%26utm_campaign%3Dpoke%2Bcottage","Corviknight")</f>
        <v>Corviknight</v>
      </c>
      <c r="D283" s="5" t="s">
        <v>13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163</v>
      </c>
      <c r="C284" s="6" t="str">
        <f aca="false">HYPERLINK("https://partner.tcgplayer.com/c/6278691/1780961/21018?u=https%3A%2F%2Fwww.tcgplayer.com%2Fproduct%2F497566%3Futm_source%3Dimpact%26utm_medium%3Daffiliate%26utm_campaign%3Dpoke%2Bcottage","Cufant")</f>
        <v>Cufant</v>
      </c>
      <c r="D284" s="5" t="s">
        <v>8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163</v>
      </c>
      <c r="C285" s="6" t="str">
        <f aca="false">HYPERLINK("https://partner.tcgplayer.com/c/6278691/1780961/21018?u=https%3A%2F%2Fwww.tcgplayer.com%2Fproduct%2F497566%3Futm_source%3Dimpact%26utm_medium%3Daffiliate%26utm_campaign%3Dpoke%2Bcottage","Cufant")</f>
        <v>Cufant</v>
      </c>
      <c r="D285" s="5" t="s">
        <v>8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164</v>
      </c>
      <c r="C286" s="6" t="str">
        <f aca="false">HYPERLINK("https://partner.tcgplayer.com/c/6278691/1780961/21018?u=https%3A%2F%2Fwww.tcgplayer.com%2Fproduct%2F497568%3Futm_source%3Dimpact%26utm_medium%3Daffiliate%26utm_campaign%3Dpoke%2Bcottage","Copperajah ex")</f>
        <v>Copperajah ex</v>
      </c>
      <c r="D286" s="5" t="s">
        <v>19</v>
      </c>
      <c r="E286" s="5" t="s">
        <v>16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165</v>
      </c>
      <c r="C287" s="6" t="str">
        <f aca="false">HYPERLINK("https://partner.tcgplayer.com/c/6278691/1780961/21018?u=https%3A%2F%2Fwww.tcgplayer.com%2Fproduct%2F497569%3Futm_source%3Dimpact%26utm_medium%3Daffiliate%26utm_campaign%3Dpoke%2Bcottage","Orthworm")</f>
        <v>Orthworm</v>
      </c>
      <c r="D287" s="5" t="s">
        <v>15</v>
      </c>
      <c r="E287" s="5" t="s">
        <v>16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165</v>
      </c>
      <c r="C288" s="6" t="str">
        <f aca="false">HYPERLINK("https://partner.tcgplayer.com/c/6278691/1780961/21018?u=https%3A%2F%2Fwww.tcgplayer.com%2Fproduct%2F497569%3Futm_source%3Dimpact%26utm_medium%3Daffiliate%26utm_campaign%3Dpoke%2Bcottage","Orthworm")</f>
        <v>Orthworm</v>
      </c>
      <c r="D288" s="5" t="s">
        <v>15</v>
      </c>
      <c r="E288" s="5" t="s">
        <v>11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166</v>
      </c>
      <c r="C289" s="6" t="str">
        <f aca="false">HYPERLINK("https://partner.tcgplayer.com/c/6278691/1780961/21018?u=https%3A%2F%2Fwww.tcgplayer.com%2Fproduct%2F497570%3Futm_source%3Dimpact%26utm_medium%3Daffiliate%26utm_campaign%3Dpoke%2Bcottage","Noibat")</f>
        <v>Noibat</v>
      </c>
      <c r="D289" s="5" t="s">
        <v>8</v>
      </c>
      <c r="E289" s="5" t="s">
        <v>9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166</v>
      </c>
      <c r="C290" s="6" t="str">
        <f aca="false">HYPERLINK("https://partner.tcgplayer.com/c/6278691/1780961/21018?u=https%3A%2F%2Fwww.tcgplayer.com%2Fproduct%2F497570%3Futm_source%3Dimpact%26utm_medium%3Daffiliate%26utm_campaign%3Dpoke%2Bcottage","Noibat")</f>
        <v>Noibat</v>
      </c>
      <c r="D290" s="5" t="s">
        <v>8</v>
      </c>
      <c r="E290" s="5" t="s">
        <v>11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167</v>
      </c>
      <c r="C291" s="6" t="str">
        <f aca="false">HYPERLINK("https://partner.tcgplayer.com/c/6278691/1780961/21018?u=https%3A%2F%2Fwww.tcgplayer.com%2Fproduct%2F497571%3Futm_source%3Dimpact%26utm_medium%3Daffiliate%26utm_campaign%3Dpoke%2Bcottage","Noivern ex")</f>
        <v>Noivern ex</v>
      </c>
      <c r="D291" s="5" t="s">
        <v>19</v>
      </c>
      <c r="E291" s="5" t="s">
        <v>16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168</v>
      </c>
      <c r="C292" s="6" t="str">
        <f aca="false">HYPERLINK("https://partner.tcgplayer.com/c/6278691/1780961/21018?u=https%3A%2F%2Fwww.tcgplayer.com%2Fproduct%2F497572%3Futm_source%3Dimpact%26utm_medium%3Daffiliate%26utm_campaign%3Dpoke%2Bcottage","Girafarig")</f>
        <v>Girafarig</v>
      </c>
      <c r="D292" s="5" t="s">
        <v>8</v>
      </c>
      <c r="E292" s="5" t="s">
        <v>9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168</v>
      </c>
      <c r="C293" s="6" t="str">
        <f aca="false">HYPERLINK("https://partner.tcgplayer.com/c/6278691/1780961/21018?u=https%3A%2F%2Fwww.tcgplayer.com%2Fproduct%2F497572%3Futm_source%3Dimpact%26utm_medium%3Daffiliate%26utm_campaign%3Dpoke%2Bcottage","Girafarig")</f>
        <v>Girafarig</v>
      </c>
      <c r="D293" s="5" t="s">
        <v>8</v>
      </c>
      <c r="E293" s="5" t="s">
        <v>11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169</v>
      </c>
      <c r="C294" s="6" t="str">
        <f aca="false">HYPERLINK("https://partner.tcgplayer.com/c/6278691/1780961/21018?u=https%3A%2F%2Fwww.tcgplayer.com%2Fproduct%2F497573%3Futm_source%3Dimpact%26utm_medium%3Daffiliate%26utm_campaign%3Dpoke%2Bcottage","Farigiraf")</f>
        <v>Farigiraf</v>
      </c>
      <c r="D294" s="5" t="s">
        <v>13</v>
      </c>
      <c r="E294" s="5" t="s">
        <v>9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169</v>
      </c>
      <c r="C295" s="6" t="str">
        <f aca="false">HYPERLINK("https://partner.tcgplayer.com/c/6278691/1780961/21018?u=https%3A%2F%2Fwww.tcgplayer.com%2Fproduct%2F497573%3Futm_source%3Dimpact%26utm_medium%3Daffiliate%26utm_campaign%3Dpoke%2Bcottage","Farigiraf")</f>
        <v>Farigiraf</v>
      </c>
      <c r="D295" s="5" t="s">
        <v>13</v>
      </c>
      <c r="E295" s="5" t="s">
        <v>11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170</v>
      </c>
      <c r="C296" s="6" t="str">
        <f aca="false">HYPERLINK("https://partner.tcgplayer.com/c/6278691/1780961/21018?u=https%3A%2F%2Fwww.tcgplayer.com%2Fproduct%2F497574%3Futm_source%3Dimpact%26utm_medium%3Daffiliate%26utm_campaign%3Dpoke%2Bcottage","Dunsparce")</f>
        <v>Dunsparce</v>
      </c>
      <c r="D296" s="5" t="s">
        <v>8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170</v>
      </c>
      <c r="C297" s="6" t="str">
        <f aca="false">HYPERLINK("https://partner.tcgplayer.com/c/6278691/1780961/21018?u=https%3A%2F%2Fwww.tcgplayer.com%2Fproduct%2F497574%3Futm_source%3Dimpact%26utm_medium%3Daffiliate%26utm_campaign%3Dpoke%2Bcottage","Dunsparce")</f>
        <v>Dunsparce</v>
      </c>
      <c r="D297" s="5" t="s">
        <v>8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171</v>
      </c>
      <c r="C298" s="6" t="str">
        <f aca="false">HYPERLINK("https://partner.tcgplayer.com/c/6278691/1780961/21018?u=https%3A%2F%2Fwww.tcgplayer.com%2Fproduct%2F497575%3Futm_source%3Dimpact%26utm_medium%3Daffiliate%26utm_campaign%3Dpoke%2Bcottage","Dudunsparce")</f>
        <v>Dudunsparce</v>
      </c>
      <c r="D298" s="5" t="s">
        <v>13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171</v>
      </c>
      <c r="C299" s="6" t="str">
        <f aca="false">HYPERLINK("https://partner.tcgplayer.com/c/6278691/1780961/21018?u=https%3A%2F%2Fwww.tcgplayer.com%2Fproduct%2F497575%3Futm_source%3Dimpact%26utm_medium%3Daffiliate%26utm_campaign%3Dpoke%2Bcottage","Dudunsparce")</f>
        <v>Dudunsparce</v>
      </c>
      <c r="D299" s="5" t="s">
        <v>13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172</v>
      </c>
      <c r="C300" s="6" t="str">
        <f aca="false">HYPERLINK("https://partner.tcgplayer.com/c/6278691/1780961/21018?u=https%3A%2F%2Fwww.tcgplayer.com%2Fproduct%2F497576%3Futm_source%3Dimpact%26utm_medium%3Daffiliate%26utm_campaign%3Dpoke%2Bcottage","Wingull")</f>
        <v>Wingull</v>
      </c>
      <c r="D300" s="5" t="s">
        <v>8</v>
      </c>
      <c r="E300" s="5" t="s">
        <v>9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172</v>
      </c>
      <c r="C301" s="6" t="str">
        <f aca="false">HYPERLINK("https://partner.tcgplayer.com/c/6278691/1780961/21018?u=https%3A%2F%2Fwww.tcgplayer.com%2Fproduct%2F497576%3Futm_source%3Dimpact%26utm_medium%3Daffiliate%26utm_campaign%3Dpoke%2Bcottage","Wingull")</f>
        <v>Wingull</v>
      </c>
      <c r="D301" s="5" t="s">
        <v>8</v>
      </c>
      <c r="E301" s="5" t="s">
        <v>11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173</v>
      </c>
      <c r="C302" s="6" t="str">
        <f aca="false">HYPERLINK("https://partner.tcgplayer.com/c/6278691/1780961/21018?u=https%3A%2F%2Fwww.tcgplayer.com%2Fproduct%2F497577%3Futm_source%3Dimpact%26utm_medium%3Daffiliate%26utm_campaign%3Dpoke%2Bcottage","Pelipper")</f>
        <v>Pelipper</v>
      </c>
      <c r="D302" s="5" t="s">
        <v>13</v>
      </c>
      <c r="E302" s="5" t="s">
        <v>9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173</v>
      </c>
      <c r="C303" s="6" t="str">
        <f aca="false">HYPERLINK("https://partner.tcgplayer.com/c/6278691/1780961/21018?u=https%3A%2F%2Fwww.tcgplayer.com%2Fproduct%2F497577%3Futm_source%3Dimpact%26utm_medium%3Daffiliate%26utm_campaign%3Dpoke%2Bcottage","Pelipper")</f>
        <v>Pelipper</v>
      </c>
      <c r="D303" s="5" t="s">
        <v>13</v>
      </c>
      <c r="E303" s="5" t="s">
        <v>11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174</v>
      </c>
      <c r="C304" s="6" t="str">
        <f aca="false">HYPERLINK("https://partner.tcgplayer.com/c/6278691/1780961/21018?u=https%3A%2F%2Fwww.tcgplayer.com%2Fproduct%2F497578%3Futm_source%3Dimpact%26utm_medium%3Daffiliate%26utm_campaign%3Dpoke%2Bcottage","Slakoth")</f>
        <v>Slakoth</v>
      </c>
      <c r="D304" s="5" t="s">
        <v>8</v>
      </c>
      <c r="E304" s="5" t="s">
        <v>9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174</v>
      </c>
      <c r="C305" s="6" t="str">
        <f aca="false">HYPERLINK("https://partner.tcgplayer.com/c/6278691/1780961/21018?u=https%3A%2F%2Fwww.tcgplayer.com%2Fproduct%2F497578%3Futm_source%3Dimpact%26utm_medium%3Daffiliate%26utm_campaign%3Dpoke%2Bcottage","Slakoth")</f>
        <v>Slakoth</v>
      </c>
      <c r="D305" s="5" t="s">
        <v>8</v>
      </c>
      <c r="E305" s="5" t="s">
        <v>11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175</v>
      </c>
      <c r="C306" s="6" t="str">
        <f aca="false">HYPERLINK("https://partner.tcgplayer.com/c/6278691/1780961/21018?u=https%3A%2F%2Fwww.tcgplayer.com%2Fproduct%2F497579%3Futm_source%3Dimpact%26utm_medium%3Daffiliate%26utm_campaign%3Dpoke%2Bcottage","Vigoroth")</f>
        <v>Vigoroth</v>
      </c>
      <c r="D306" s="5" t="s">
        <v>13</v>
      </c>
      <c r="E306" s="5" t="s">
        <v>9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175</v>
      </c>
      <c r="C307" s="6" t="str">
        <f aca="false">HYPERLINK("https://partner.tcgplayer.com/c/6278691/1780961/21018?u=https%3A%2F%2Fwww.tcgplayer.com%2Fproduct%2F497579%3Futm_source%3Dimpact%26utm_medium%3Daffiliate%26utm_campaign%3Dpoke%2Bcottage","Vigoroth")</f>
        <v>Vigoroth</v>
      </c>
      <c r="D307" s="5" t="s">
        <v>13</v>
      </c>
      <c r="E307" s="5" t="s">
        <v>11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176</v>
      </c>
      <c r="C308" s="6" t="str">
        <f aca="false">HYPERLINK("https://partner.tcgplayer.com/c/6278691/1780961/21018?u=https%3A%2F%2Fwww.tcgplayer.com%2Fproduct%2F497580%3Futm_source%3Dimpact%26utm_medium%3Daffiliate%26utm_campaign%3Dpoke%2Bcottage","Slaking")</f>
        <v>Slaking</v>
      </c>
      <c r="D308" s="5" t="s">
        <v>15</v>
      </c>
      <c r="E308" s="5" t="s">
        <v>16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176</v>
      </c>
      <c r="C309" s="6" t="str">
        <f aca="false">HYPERLINK("https://partner.tcgplayer.com/c/6278691/1780961/21018?u=https%3A%2F%2Fwww.tcgplayer.com%2Fproduct%2F497580%3Futm_source%3Dimpact%26utm_medium%3Daffiliate%26utm_campaign%3Dpoke%2Bcottage","Slaking")</f>
        <v>Slaking</v>
      </c>
      <c r="D309" s="5" t="s">
        <v>15</v>
      </c>
      <c r="E309" s="5" t="s">
        <v>11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177</v>
      </c>
      <c r="C310" s="6" t="str">
        <f aca="false">HYPERLINK("https://partner.tcgplayer.com/c/6278691/1780961/21018?u=https%3A%2F%2Fwww.tcgplayer.com%2Fproduct%2F497582%3Futm_source%3Dimpact%26utm_medium%3Daffiliate%26utm_campaign%3Dpoke%2Bcottage","Fletchling")</f>
        <v>Fletchling</v>
      </c>
      <c r="D310" s="5" t="s">
        <v>8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177</v>
      </c>
      <c r="C311" s="6" t="str">
        <f aca="false">HYPERLINK("https://partner.tcgplayer.com/c/6278691/1780961/21018?u=https%3A%2F%2Fwww.tcgplayer.com%2Fproduct%2F497582%3Futm_source%3Dimpact%26utm_medium%3Daffiliate%26utm_campaign%3Dpoke%2Bcottage","Fletchling")</f>
        <v>Fletchling</v>
      </c>
      <c r="D311" s="5" t="s">
        <v>8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178</v>
      </c>
      <c r="C312" s="6" t="str">
        <f aca="false">HYPERLINK("https://partner.tcgplayer.com/c/6278691/1780961/21018?u=https%3A%2F%2Fwww.tcgplayer.com%2Fproduct%2F497583%3Futm_source%3Dimpact%26utm_medium%3Daffiliate%26utm_campaign%3Dpoke%2Bcottage","Rookidee")</f>
        <v>Rookidee</v>
      </c>
      <c r="D312" s="5" t="s">
        <v>8</v>
      </c>
      <c r="E312" s="5" t="s">
        <v>9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178</v>
      </c>
      <c r="C313" s="6" t="str">
        <f aca="false">HYPERLINK("https://partner.tcgplayer.com/c/6278691/1780961/21018?u=https%3A%2F%2Fwww.tcgplayer.com%2Fproduct%2F497583%3Futm_source%3Dimpact%26utm_medium%3Daffiliate%26utm_campaign%3Dpoke%2Bcottage","Rookidee")</f>
        <v>Rookidee</v>
      </c>
      <c r="D313" s="5" t="s">
        <v>8</v>
      </c>
      <c r="E313" s="5" t="s">
        <v>11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179</v>
      </c>
      <c r="C314" s="6" t="str">
        <f aca="false">HYPERLINK("https://partner.tcgplayer.com/c/6278691/1780961/21018?u=https%3A%2F%2Fwww.tcgplayer.com%2Fproduct%2F497584%3Futm_source%3Dimpact%26utm_medium%3Daffiliate%26utm_campaign%3Dpoke%2Bcottage","Corvisquire")</f>
        <v>Corvisquire</v>
      </c>
      <c r="D314" s="5" t="s">
        <v>13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179</v>
      </c>
      <c r="C315" s="6" t="str">
        <f aca="false">HYPERLINK("https://partner.tcgplayer.com/c/6278691/1780961/21018?u=https%3A%2F%2Fwww.tcgplayer.com%2Fproduct%2F497584%3Futm_source%3Dimpact%26utm_medium%3Daffiliate%26utm_campaign%3Dpoke%2Bcottage","Corvisquire")</f>
        <v>Corvisquire</v>
      </c>
      <c r="D315" s="5" t="s">
        <v>13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180</v>
      </c>
      <c r="C316" s="6" t="str">
        <f aca="false">HYPERLINK("https://partner.tcgplayer.com/c/6278691/1780961/21018?u=https%3A%2F%2Fwww.tcgplayer.com%2Fproduct%2F497585%3Futm_source%3Dimpact%26utm_medium%3Daffiliate%26utm_campaign%3Dpoke%2Bcottage","Tandemaus")</f>
        <v>Tandemaus</v>
      </c>
      <c r="D316" s="5" t="s">
        <v>8</v>
      </c>
      <c r="E316" s="5" t="s">
        <v>9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180</v>
      </c>
      <c r="C317" s="6" t="str">
        <f aca="false">HYPERLINK("https://partner.tcgplayer.com/c/6278691/1780961/21018?u=https%3A%2F%2Fwww.tcgplayer.com%2Fproduct%2F497585%3Futm_source%3Dimpact%26utm_medium%3Daffiliate%26utm_campaign%3Dpoke%2Bcottage","Tandemaus")</f>
        <v>Tandemaus</v>
      </c>
      <c r="D317" s="5" t="s">
        <v>8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181</v>
      </c>
      <c r="C318" s="6" t="str">
        <f aca="false">HYPERLINK("https://partner.tcgplayer.com/c/6278691/1780961/21018?u=https%3A%2F%2Fwww.tcgplayer.com%2Fproduct%2F497587%3Futm_source%3Dimpact%26utm_medium%3Daffiliate%26utm_campaign%3Dpoke%2Bcottage","Tandemaus")</f>
        <v>Tandemaus</v>
      </c>
      <c r="D318" s="5" t="s">
        <v>8</v>
      </c>
      <c r="E318" s="5" t="s">
        <v>9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181</v>
      </c>
      <c r="C319" s="6" t="str">
        <f aca="false">HYPERLINK("https://partner.tcgplayer.com/c/6278691/1780961/21018?u=https%3A%2F%2Fwww.tcgplayer.com%2Fproduct%2F497587%3Futm_source%3Dimpact%26utm_medium%3Daffiliate%26utm_campaign%3Dpoke%2Bcottage","Tandemaus")</f>
        <v>Tandemaus</v>
      </c>
      <c r="D319" s="5" t="s">
        <v>8</v>
      </c>
      <c r="E319" s="5" t="s">
        <v>11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182</v>
      </c>
      <c r="C320" s="6" t="str">
        <f aca="false">HYPERLINK("https://partner.tcgplayer.com/c/6278691/1780961/21018?u=https%3A%2F%2Fwww.tcgplayer.com%2Fproduct%2F497588%3Futm_source%3Dimpact%26utm_medium%3Daffiliate%26utm_campaign%3Dpoke%2Bcottage","Maushold")</f>
        <v>Maushold</v>
      </c>
      <c r="D320" s="5" t="s">
        <v>13</v>
      </c>
      <c r="E320" s="5" t="s">
        <v>9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182</v>
      </c>
      <c r="C321" s="6" t="str">
        <f aca="false">HYPERLINK("https://partner.tcgplayer.com/c/6278691/1780961/21018?u=https%3A%2F%2Fwww.tcgplayer.com%2Fproduct%2F497588%3Futm_source%3Dimpact%26utm_medium%3Daffiliate%26utm_campaign%3Dpoke%2Bcottage","Maushold")</f>
        <v>Maushold</v>
      </c>
      <c r="D321" s="5" t="s">
        <v>13</v>
      </c>
      <c r="E321" s="5" t="s">
        <v>11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183</v>
      </c>
      <c r="C322" s="6" t="str">
        <f aca="false">HYPERLINK("https://partner.tcgplayer.com/c/6278691/1780961/21018?u=https%3A%2F%2Fwww.tcgplayer.com%2Fproduct%2F497590%3Futm_source%3Dimpact%26utm_medium%3Daffiliate%26utm_campaign%3Dpoke%2Bcottage","Squawkabilly ex")</f>
        <v>Squawkabilly ex</v>
      </c>
      <c r="D322" s="5" t="s">
        <v>19</v>
      </c>
      <c r="E322" s="5" t="s">
        <v>16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184</v>
      </c>
      <c r="C323" s="6" t="str">
        <f aca="false">HYPERLINK("https://partner.tcgplayer.com/c/6278691/1780961/21018?u=https%3A%2F%2Fwww.tcgplayer.com%2Fproduct%2F497591%3Futm_source%3Dimpact%26utm_medium%3Daffiliate%26utm_campaign%3Dpoke%2Bcottage","Flamigo")</f>
        <v>Flamigo</v>
      </c>
      <c r="D323" s="5" t="s">
        <v>13</v>
      </c>
      <c r="E323" s="5" t="s">
        <v>9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184</v>
      </c>
      <c r="C324" s="6" t="str">
        <f aca="false">HYPERLINK("https://partner.tcgplayer.com/c/6278691/1780961/21018?u=https%3A%2F%2Fwww.tcgplayer.com%2Fproduct%2F497591%3Futm_source%3Dimpact%26utm_medium%3Daffiliate%26utm_campaign%3Dpoke%2Bcottage","Flamigo")</f>
        <v>Flamigo</v>
      </c>
      <c r="D324" s="5" t="s">
        <v>13</v>
      </c>
      <c r="E324" s="5" t="s">
        <v>11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185</v>
      </c>
      <c r="C325" s="6" t="str">
        <f aca="false">HYPERLINK("https://partner.tcgplayer.com/c/6278691/1780961/21018?u=https%3A%2F%2Fwww.tcgplayer.com%2Fproduct%2F497541%3Futm_source%3Dimpact%26utm_medium%3Daffiliate%26utm_campaign%3Dpoke%2Bcottage","Artazon")</f>
        <v>Artazon</v>
      </c>
      <c r="D325" s="5" t="s">
        <v>13</v>
      </c>
      <c r="E325" s="5" t="s">
        <v>9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185</v>
      </c>
      <c r="C326" s="6" t="str">
        <f aca="false">HYPERLINK("https://partner.tcgplayer.com/c/6278691/1780961/21018?u=https%3A%2F%2Fwww.tcgplayer.com%2Fproduct%2F497541%3Futm_source%3Dimpact%26utm_medium%3Daffiliate%26utm_campaign%3Dpoke%2Bcottage","Artazon")</f>
        <v>Artazon</v>
      </c>
      <c r="D326" s="5" t="s">
        <v>13</v>
      </c>
      <c r="E326" s="5" t="s">
        <v>11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186</v>
      </c>
      <c r="C327" s="6" t="str">
        <f aca="false">HYPERLINK("https://partner.tcgplayer.com/c/6278691/1780961/21018?u=https%3A%2F%2Fwww.tcgplayer.com%2Fproduct%2F497544%3Futm_source%3Dimpact%26utm_medium%3Daffiliate%26utm_campaign%3Dpoke%2Bcottage","Boss's Orders (Ghetsis)")</f>
        <v>Boss's Orders (Ghetsis)</v>
      </c>
      <c r="D327" s="5" t="s">
        <v>15</v>
      </c>
      <c r="E327" s="5" t="s">
        <v>16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186</v>
      </c>
      <c r="C328" s="6" t="str">
        <f aca="false">HYPERLINK("https://partner.tcgplayer.com/c/6278691/1780961/21018?u=https%3A%2F%2Fwww.tcgplayer.com%2Fproduct%2F497544%3Futm_source%3Dimpact%26utm_medium%3Daffiliate%26utm_campaign%3Dpoke%2Bcottage","Boss's Orders (Ghetsis)")</f>
        <v>Boss's Orders (Ghetsis)</v>
      </c>
      <c r="D328" s="5" t="s">
        <v>15</v>
      </c>
      <c r="E328" s="5" t="s">
        <v>11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187</v>
      </c>
      <c r="C329" s="6" t="str">
        <f aca="false">HYPERLINK("https://partner.tcgplayer.com/c/6278691/1780961/21018?u=https%3A%2F%2Fwww.tcgplayer.com%2Fproduct%2F497545%3Futm_source%3Dimpact%26utm_medium%3Daffiliate%26utm_campaign%3Dpoke%2Bcottage","Bravery Charm")</f>
        <v>Bravery Charm</v>
      </c>
      <c r="D329" s="5" t="s">
        <v>13</v>
      </c>
      <c r="E329" s="5" t="s">
        <v>9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187</v>
      </c>
      <c r="C330" s="6" t="str">
        <f aca="false">HYPERLINK("https://partner.tcgplayer.com/c/6278691/1780961/21018?u=https%3A%2F%2Fwww.tcgplayer.com%2Fproduct%2F497545%3Futm_source%3Dimpact%26utm_medium%3Daffiliate%26utm_campaign%3Dpoke%2Bcottage","Bravery Charm")</f>
        <v>Bravery Charm</v>
      </c>
      <c r="D330" s="5" t="s">
        <v>13</v>
      </c>
      <c r="E330" s="5" t="s">
        <v>11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188</v>
      </c>
      <c r="C331" s="6" t="str">
        <f aca="false">HYPERLINK("https://partner.tcgplayer.com/c/6278691/1780961/21018?u=https%3A%2F%2Fwww.tcgplayer.com%2Fproduct%2F497546%3Futm_source%3Dimpact%26utm_medium%3Daffiliate%26utm_campaign%3Dpoke%2Bcottage","Calamitous Snowy Mountain")</f>
        <v>Calamitous Snowy Mountain</v>
      </c>
      <c r="D331" s="5" t="s">
        <v>13</v>
      </c>
      <c r="E331" s="5" t="s">
        <v>9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188</v>
      </c>
      <c r="C332" s="6" t="str">
        <f aca="false">HYPERLINK("https://partner.tcgplayer.com/c/6278691/1780961/21018?u=https%3A%2F%2Fwww.tcgplayer.com%2Fproduct%2F497546%3Futm_source%3Dimpact%26utm_medium%3Daffiliate%26utm_campaign%3Dpoke%2Bcottage","Calamitous Snowy Mountain")</f>
        <v>Calamitous Snowy Mountain</v>
      </c>
      <c r="D332" s="5" t="s">
        <v>13</v>
      </c>
      <c r="E332" s="5" t="s">
        <v>11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189</v>
      </c>
      <c r="C333" s="6" t="str">
        <f aca="false">HYPERLINK("https://partner.tcgplayer.com/c/6278691/1780961/21018?u=https%3A%2F%2Fwww.tcgplayer.com%2Fproduct%2F497547%3Futm_source%3Dimpact%26utm_medium%3Daffiliate%26utm_campaign%3Dpoke%2Bcottage","Calamitous Wasteland")</f>
        <v>Calamitous Wasteland</v>
      </c>
      <c r="D333" s="5" t="s">
        <v>13</v>
      </c>
      <c r="E333" s="5" t="s">
        <v>9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189</v>
      </c>
      <c r="C334" s="6" t="str">
        <f aca="false">HYPERLINK("https://partner.tcgplayer.com/c/6278691/1780961/21018?u=https%3A%2F%2Fwww.tcgplayer.com%2Fproduct%2F497547%3Futm_source%3Dimpact%26utm_medium%3Daffiliate%26utm_campaign%3Dpoke%2Bcottage","Calamitous Wasteland")</f>
        <v>Calamitous Wasteland</v>
      </c>
      <c r="D334" s="5" t="s">
        <v>13</v>
      </c>
      <c r="E334" s="5" t="s">
        <v>11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190</v>
      </c>
      <c r="C335" s="6" t="str">
        <f aca="false">HYPERLINK("https://partner.tcgplayer.com/c/6278691/1780961/21018?u=https%3A%2F%2Fwww.tcgplayer.com%2Fproduct%2F497548%3Futm_source%3Dimpact%26utm_medium%3Daffiliate%26utm_campaign%3Dpoke%2Bcottage","Choice Belt")</f>
        <v>Choice Belt</v>
      </c>
      <c r="D335" s="5" t="s">
        <v>13</v>
      </c>
      <c r="E335" s="5" t="s">
        <v>9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190</v>
      </c>
      <c r="C336" s="6" t="str">
        <f aca="false">HYPERLINK("https://partner.tcgplayer.com/c/6278691/1780961/21018?u=https%3A%2F%2Fwww.tcgplayer.com%2Fproduct%2F497548%3Futm_source%3Dimpact%26utm_medium%3Daffiliate%26utm_campaign%3Dpoke%2Bcottage","Choice Belt")</f>
        <v>Choice Belt</v>
      </c>
      <c r="D336" s="5" t="s">
        <v>13</v>
      </c>
      <c r="E336" s="5" t="s">
        <v>11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191</v>
      </c>
      <c r="C337" s="6" t="str">
        <f aca="false">HYPERLINK("https://partner.tcgplayer.com/c/6278691/1780961/21018?u=https%3A%2F%2Fwww.tcgplayer.com%2Fproduct%2F497549%3Futm_source%3Dimpact%26utm_medium%3Daffiliate%26utm_campaign%3Dpoke%2Bcottage","Clavell")</f>
        <v>Clavell</v>
      </c>
      <c r="D337" s="5" t="s">
        <v>8</v>
      </c>
      <c r="E337" s="5" t="s">
        <v>9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191</v>
      </c>
      <c r="C338" s="6" t="str">
        <f aca="false">HYPERLINK("https://partner.tcgplayer.com/c/6278691/1780961/21018?u=https%3A%2F%2Fwww.tcgplayer.com%2Fproduct%2F497549%3Futm_source%3Dimpact%26utm_medium%3Daffiliate%26utm_campaign%3Dpoke%2Bcottage","Clavell")</f>
        <v>Clavell</v>
      </c>
      <c r="D338" s="5" t="s">
        <v>8</v>
      </c>
      <c r="E338" s="5" t="s">
        <v>11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192</v>
      </c>
      <c r="C339" s="6" t="str">
        <f aca="false">HYPERLINK("https://partner.tcgplayer.com/c/6278691/1780961/21018?u=https%3A%2F%2Fwww.tcgplayer.com%2Fproduct%2F497550%3Futm_source%3Dimpact%26utm_medium%3Daffiliate%26utm_campaign%3Dpoke%2Bcottage","Delivery Drone")</f>
        <v>Delivery Drone</v>
      </c>
      <c r="D339" s="5" t="s">
        <v>13</v>
      </c>
      <c r="E339" s="5" t="s">
        <v>9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192</v>
      </c>
      <c r="C340" s="6" t="str">
        <f aca="false">HYPERLINK("https://partner.tcgplayer.com/c/6278691/1780961/21018?u=https%3A%2F%2Fwww.tcgplayer.com%2Fproduct%2F497550%3Futm_source%3Dimpact%26utm_medium%3Daffiliate%26utm_campaign%3Dpoke%2Bcottage","Delivery Drone")</f>
        <v>Delivery Drone</v>
      </c>
      <c r="D340" s="5" t="s">
        <v>13</v>
      </c>
      <c r="E340" s="5" t="s">
        <v>11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193</v>
      </c>
      <c r="C341" s="6" t="str">
        <f aca="false">HYPERLINK("https://partner.tcgplayer.com/c/6278691/1780961/21018?u=https%3A%2F%2Fwww.tcgplayer.com%2Fproduct%2F497551%3Futm_source%3Dimpact%26utm_medium%3Daffiliate%26utm_campaign%3Dpoke%2Bcottage","Dendra")</f>
        <v>Dendra</v>
      </c>
      <c r="D341" s="5" t="s">
        <v>13</v>
      </c>
      <c r="E341" s="5" t="s">
        <v>9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193</v>
      </c>
      <c r="C342" s="6" t="str">
        <f aca="false">HYPERLINK("https://partner.tcgplayer.com/c/6278691/1780961/21018?u=https%3A%2F%2Fwww.tcgplayer.com%2Fproduct%2F497551%3Futm_source%3Dimpact%26utm_medium%3Daffiliate%26utm_campaign%3Dpoke%2Bcottage","Dendra")</f>
        <v>Dendra</v>
      </c>
      <c r="D342" s="5" t="s">
        <v>13</v>
      </c>
      <c r="E342" s="5" t="s">
        <v>11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194</v>
      </c>
      <c r="C343" s="6" t="str">
        <f aca="false">HYPERLINK("https://partner.tcgplayer.com/c/6278691/1780961/21018?u=https%3A%2F%2Fwww.tcgplayer.com%2Fproduct%2F497552%3Futm_source%3Dimpact%26utm_medium%3Daffiliate%26utm_campaign%3Dpoke%2Bcottage","Falkner")</f>
        <v>Falkner</v>
      </c>
      <c r="D343" s="5" t="s">
        <v>13</v>
      </c>
      <c r="E343" s="5" t="s">
        <v>9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194</v>
      </c>
      <c r="C344" s="6" t="str">
        <f aca="false">HYPERLINK("https://partner.tcgplayer.com/c/6278691/1780961/21018?u=https%3A%2F%2Fwww.tcgplayer.com%2Fproduct%2F497552%3Futm_source%3Dimpact%26utm_medium%3Daffiliate%26utm_campaign%3Dpoke%2Bcottage","Falkner")</f>
        <v>Falkner</v>
      </c>
      <c r="D344" s="5" t="s">
        <v>13</v>
      </c>
      <c r="E344" s="5" t="s">
        <v>11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195</v>
      </c>
      <c r="C345" s="6" t="str">
        <f aca="false">HYPERLINK("https://partner.tcgplayer.com/c/6278691/1780961/21018?u=https%3A%2F%2Fwww.tcgplayer.com%2Fproduct%2F497553%3Futm_source%3Dimpact%26utm_medium%3Daffiliate%26utm_campaign%3Dpoke%2Bcottage","Fighting Au Lait")</f>
        <v>Fighting Au Lait</v>
      </c>
      <c r="D345" s="5" t="s">
        <v>13</v>
      </c>
      <c r="E345" s="5" t="s">
        <v>9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195</v>
      </c>
      <c r="C346" s="6" t="str">
        <f aca="false">HYPERLINK("https://partner.tcgplayer.com/c/6278691/1780961/21018?u=https%3A%2F%2Fwww.tcgplayer.com%2Fproduct%2F497553%3Futm_source%3Dimpact%26utm_medium%3Daffiliate%26utm_campaign%3Dpoke%2Bcottage","Fighting Au Lait")</f>
        <v>Fighting Au Lait</v>
      </c>
      <c r="D346" s="5" t="s">
        <v>13</v>
      </c>
      <c r="E346" s="5" t="s">
        <v>11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196</v>
      </c>
      <c r="C347" s="6" t="str">
        <f aca="false">HYPERLINK("https://partner.tcgplayer.com/c/6278691/1780961/21018?u=https%3A%2F%2Fwww.tcgplayer.com%2Fproduct%2F497554%3Futm_source%3Dimpact%26utm_medium%3Daffiliate%26utm_campaign%3Dpoke%2Bcottage","Giacomo")</f>
        <v>Giacomo</v>
      </c>
      <c r="D347" s="5" t="s">
        <v>13</v>
      </c>
      <c r="E347" s="5" t="s">
        <v>9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196</v>
      </c>
      <c r="C348" s="6" t="str">
        <f aca="false">HYPERLINK("https://partner.tcgplayer.com/c/6278691/1780961/21018?u=https%3A%2F%2Fwww.tcgplayer.com%2Fproduct%2F497554%3Futm_source%3Dimpact%26utm_medium%3Daffiliate%26utm_campaign%3Dpoke%2Bcottage","Giacomo")</f>
        <v>Giacomo</v>
      </c>
      <c r="D348" s="5" t="s">
        <v>13</v>
      </c>
      <c r="E348" s="5" t="s">
        <v>11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197</v>
      </c>
      <c r="C349" s="6" t="str">
        <f aca="false">HYPERLINK("https://partner.tcgplayer.com/c/6278691/1780961/21018?u=https%3A%2F%2Fwww.tcgplayer.com%2Fproduct%2F497555%3Futm_source%3Dimpact%26utm_medium%3Daffiliate%26utm_campaign%3Dpoke%2Bcottage","Great Ball")</f>
        <v>Great Ball</v>
      </c>
      <c r="D349" s="5" t="s">
        <v>8</v>
      </c>
      <c r="E349" s="5" t="s">
        <v>9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197</v>
      </c>
      <c r="C350" s="6" t="str">
        <f aca="false">HYPERLINK("https://partner.tcgplayer.com/c/6278691/1780961/21018?u=https%3A%2F%2Fwww.tcgplayer.com%2Fproduct%2F497555%3Futm_source%3Dimpact%26utm_medium%3Daffiliate%26utm_campaign%3Dpoke%2Bcottage","Great Ball")</f>
        <v>Great Ball</v>
      </c>
      <c r="D350" s="5" t="s">
        <v>8</v>
      </c>
      <c r="E350" s="5" t="s">
        <v>11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198</v>
      </c>
      <c r="C351" s="6" t="str">
        <f aca="false">HYPERLINK("https://partner.tcgplayer.com/c/6278691/1780961/21018?u=https%3A%2F%2Fwww.tcgplayer.com%2Fproduct%2F497556%3Futm_source%3Dimpact%26utm_medium%3Daffiliate%26utm_campaign%3Dpoke%2Bcottage","Grusha")</f>
        <v>Grusha</v>
      </c>
      <c r="D351" s="5" t="s">
        <v>13</v>
      </c>
      <c r="E351" s="5" t="s">
        <v>9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198</v>
      </c>
      <c r="C352" s="6" t="str">
        <f aca="false">HYPERLINK("https://partner.tcgplayer.com/c/6278691/1780961/21018?u=https%3A%2F%2Fwww.tcgplayer.com%2Fproduct%2F497556%3Futm_source%3Dimpact%26utm_medium%3Daffiliate%26utm_campaign%3Dpoke%2Bcottage","Grusha")</f>
        <v>Grusha</v>
      </c>
      <c r="D352" s="5" t="s">
        <v>13</v>
      </c>
      <c r="E352" s="5" t="s">
        <v>11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199</v>
      </c>
      <c r="C353" s="6" t="str">
        <f aca="false">HYPERLINK("https://partner.tcgplayer.com/c/6278691/1780961/21018?u=https%3A%2F%2Fwww.tcgplayer.com%2Fproduct%2F497557%3Futm_source%3Dimpact%26utm_medium%3Daffiliate%26utm_campaign%3Dpoke%2Bcottage","Iono")</f>
        <v>Iono</v>
      </c>
      <c r="D353" s="5" t="s">
        <v>13</v>
      </c>
      <c r="E353" s="5" t="s">
        <v>9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199</v>
      </c>
      <c r="C354" s="6" t="str">
        <f aca="false">HYPERLINK("https://partner.tcgplayer.com/c/6278691/1780961/21018?u=https%3A%2F%2Fwww.tcgplayer.com%2Fproduct%2F497557%3Futm_source%3Dimpact%26utm_medium%3Daffiliate%26utm_campaign%3Dpoke%2Bcottage","Iono")</f>
        <v>Iono</v>
      </c>
      <c r="D354" s="5" t="s">
        <v>13</v>
      </c>
      <c r="E354" s="5" t="s">
        <v>11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200</v>
      </c>
      <c r="C355" s="6" t="str">
        <f aca="false">HYPERLINK("https://partner.tcgplayer.com/c/6278691/1780961/21018?u=https%3A%2F%2Fwww.tcgplayer.com%2Fproduct%2F497558%3Futm_source%3Dimpact%26utm_medium%3Daffiliate%26utm_campaign%3Dpoke%2Bcottage","Practice Studio")</f>
        <v>Practice Studio</v>
      </c>
      <c r="D355" s="5" t="s">
        <v>13</v>
      </c>
      <c r="E355" s="5" t="s">
        <v>9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200</v>
      </c>
      <c r="C356" s="6" t="str">
        <f aca="false">HYPERLINK("https://partner.tcgplayer.com/c/6278691/1780961/21018?u=https%3A%2F%2Fwww.tcgplayer.com%2Fproduct%2F497558%3Futm_source%3Dimpact%26utm_medium%3Daffiliate%26utm_campaign%3Dpoke%2Bcottage","Practice Studio")</f>
        <v>Practice Studio</v>
      </c>
      <c r="D356" s="5" t="s">
        <v>13</v>
      </c>
      <c r="E356" s="5" t="s">
        <v>11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201</v>
      </c>
      <c r="C357" s="6" t="str">
        <f aca="false">HYPERLINK("https://partner.tcgplayer.com/c/6278691/1780961/21018?u=https%3A%2F%2Fwww.tcgplayer.com%2Fproduct%2F497559%3Futm_source%3Dimpact%26utm_medium%3Daffiliate%26utm_campaign%3Dpoke%2Bcottage","Saguaro")</f>
        <v>Saguaro</v>
      </c>
      <c r="D357" s="5" t="s">
        <v>13</v>
      </c>
      <c r="E357" s="5" t="s">
        <v>9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201</v>
      </c>
      <c r="C358" s="6" t="str">
        <f aca="false">HYPERLINK("https://partner.tcgplayer.com/c/6278691/1780961/21018?u=https%3A%2F%2Fwww.tcgplayer.com%2Fproduct%2F497559%3Futm_source%3Dimpact%26utm_medium%3Daffiliate%26utm_campaign%3Dpoke%2Bcottage","Saguaro")</f>
        <v>Saguaro</v>
      </c>
      <c r="D358" s="5" t="s">
        <v>13</v>
      </c>
      <c r="E358" s="5" t="s">
        <v>11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202</v>
      </c>
      <c r="C359" s="6" t="str">
        <f aca="false">HYPERLINK("https://partner.tcgplayer.com/c/6278691/1780961/21018?u=https%3A%2F%2Fwww.tcgplayer.com%2Fproduct%2F497560%3Futm_source%3Dimpact%26utm_medium%3Daffiliate%26utm_campaign%3Dpoke%2Bcottage","Super Rod")</f>
        <v>Super Rod</v>
      </c>
      <c r="D359" s="5" t="s">
        <v>8</v>
      </c>
      <c r="E359" s="5" t="s">
        <v>9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202</v>
      </c>
      <c r="C360" s="6" t="str">
        <f aca="false">HYPERLINK("https://partner.tcgplayer.com/c/6278691/1780961/21018?u=https%3A%2F%2Fwww.tcgplayer.com%2Fproduct%2F497560%3Futm_source%3Dimpact%26utm_medium%3Daffiliate%26utm_campaign%3Dpoke%2Bcottage","Super Rod")</f>
        <v>Super Rod</v>
      </c>
      <c r="D360" s="5" t="s">
        <v>8</v>
      </c>
      <c r="E360" s="5" t="s">
        <v>11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203</v>
      </c>
      <c r="C361" s="6" t="str">
        <f aca="false">HYPERLINK("https://partner.tcgplayer.com/c/6278691/1780961/21018?u=https%3A%2F%2Fwww.tcgplayer.com%2Fproduct%2F497562%3Futm_source%3Dimpact%26utm_medium%3Daffiliate%26utm_campaign%3Dpoke%2Bcottage","Superior Energy Retrieval")</f>
        <v>Superior Energy Retrieval</v>
      </c>
      <c r="D361" s="5" t="s">
        <v>13</v>
      </c>
      <c r="E361" s="5" t="s">
        <v>9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203</v>
      </c>
      <c r="C362" s="6" t="str">
        <f aca="false">HYPERLINK("https://partner.tcgplayer.com/c/6278691/1780961/21018?u=https%3A%2F%2Fwww.tcgplayer.com%2Fproduct%2F497562%3Futm_source%3Dimpact%26utm_medium%3Daffiliate%26utm_campaign%3Dpoke%2Bcottage","Superior Energy Retrieval")</f>
        <v>Superior Energy Retrieval</v>
      </c>
      <c r="D362" s="5" t="s">
        <v>13</v>
      </c>
      <c r="E362" s="5" t="s">
        <v>11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204</v>
      </c>
      <c r="C363" s="6" t="str">
        <f aca="false">HYPERLINK("https://partner.tcgplayer.com/c/6278691/1780961/21018?u=https%3A%2F%2Fwww.tcgplayer.com%2Fproduct%2F497563%3Futm_source%3Dimpact%26utm_medium%3Daffiliate%26utm_campaign%3Dpoke%2Bcottage","Jet Energy")</f>
        <v>Jet Energy</v>
      </c>
      <c r="D363" s="5" t="s">
        <v>13</v>
      </c>
      <c r="E363" s="5" t="s">
        <v>9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204</v>
      </c>
      <c r="C364" s="6" t="str">
        <f aca="false">HYPERLINK("https://partner.tcgplayer.com/c/6278691/1780961/21018?u=https%3A%2F%2Fwww.tcgplayer.com%2Fproduct%2F497563%3Futm_source%3Dimpact%26utm_medium%3Daffiliate%26utm_campaign%3Dpoke%2Bcottage","Jet Energy")</f>
        <v>Jet Energy</v>
      </c>
      <c r="D364" s="5" t="s">
        <v>13</v>
      </c>
      <c r="E364" s="5" t="s">
        <v>11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205</v>
      </c>
      <c r="C365" s="6" t="str">
        <f aca="false">HYPERLINK("https://partner.tcgplayer.com/c/6278691/1780961/21018?u=https%3A%2F%2Fwww.tcgplayer.com%2Fproduct%2F497564%3Futm_source%3Dimpact%26utm_medium%3Daffiliate%26utm_campaign%3Dpoke%2Bcottage","Luminous Energy")</f>
        <v>Luminous Energy</v>
      </c>
      <c r="D365" s="5" t="s">
        <v>13</v>
      </c>
      <c r="E365" s="5" t="s">
        <v>9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205</v>
      </c>
      <c r="C366" s="6" t="str">
        <f aca="false">HYPERLINK("https://partner.tcgplayer.com/c/6278691/1780961/21018?u=https%3A%2F%2Fwww.tcgplayer.com%2Fproduct%2F497564%3Futm_source%3Dimpact%26utm_medium%3Daffiliate%26utm_campaign%3Dpoke%2Bcottage","Luminous Energy")</f>
        <v>Luminous Energy</v>
      </c>
      <c r="D366" s="5" t="s">
        <v>13</v>
      </c>
      <c r="E366" s="5" t="s">
        <v>11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206</v>
      </c>
      <c r="C367" s="6" t="str">
        <f aca="false">HYPERLINK("https://partner.tcgplayer.com/c/6278691/1780961/21018?u=https%3A%2F%2Fwww.tcgplayer.com%2Fproduct%2F497565%3Futm_source%3Dimpact%26utm_medium%3Daffiliate%26utm_campaign%3Dpoke%2Bcottage","Reversal Energy")</f>
        <v>Reversal Energy</v>
      </c>
      <c r="D367" s="5" t="s">
        <v>13</v>
      </c>
      <c r="E367" s="5" t="s">
        <v>9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206</v>
      </c>
      <c r="C368" s="6" t="str">
        <f aca="false">HYPERLINK("https://partner.tcgplayer.com/c/6278691/1780961/21018?u=https%3A%2F%2Fwww.tcgplayer.com%2Fproduct%2F497565%3Futm_source%3Dimpact%26utm_medium%3Daffiliate%26utm_campaign%3Dpoke%2Bcottage","Reversal Energy")</f>
        <v>Reversal Energy</v>
      </c>
      <c r="D368" s="5" t="s">
        <v>13</v>
      </c>
      <c r="E368" s="5" t="s">
        <v>11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207</v>
      </c>
      <c r="C369" s="6" t="str">
        <f aca="false">HYPERLINK("https://partner.tcgplayer.com/c/6278691/1780961/21018?u=https%3A%2F%2Fwww.tcgplayer.com%2Fproduct%2F497567%3Futm_source%3Dimpact%26utm_medium%3Daffiliate%26utm_campaign%3Dpoke%2Bcottage","Therapeutic Energy")</f>
        <v>Therapeutic Energy</v>
      </c>
      <c r="D369" s="5" t="s">
        <v>13</v>
      </c>
      <c r="E369" s="5" t="s">
        <v>9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207</v>
      </c>
      <c r="C370" s="6" t="str">
        <f aca="false">HYPERLINK("https://partner.tcgplayer.com/c/6278691/1780961/21018?u=https%3A%2F%2Fwww.tcgplayer.com%2Fproduct%2F497567%3Futm_source%3Dimpact%26utm_medium%3Daffiliate%26utm_campaign%3Dpoke%2Bcottage","Therapeutic Energy")</f>
        <v>Therapeutic Energy</v>
      </c>
      <c r="D370" s="5" t="s">
        <v>13</v>
      </c>
      <c r="E370" s="5" t="s">
        <v>11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208</v>
      </c>
      <c r="C371" s="6" t="str">
        <f aca="false">HYPERLINK("https://partner.tcgplayer.com/c/6278691/1780961/21018?u=https%3A%2F%2Fwww.tcgplayer.com%2Fproduct%2F497597%3Futm_source%3Dimpact%26utm_medium%3Daffiliate%26utm_campaign%3Dpoke%2Bcottage","Heracross")</f>
        <v>Heracross</v>
      </c>
      <c r="D371" s="5" t="s">
        <v>209</v>
      </c>
      <c r="E371" s="5" t="s">
        <v>16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210</v>
      </c>
      <c r="C372" s="6" t="str">
        <f aca="false">HYPERLINK("https://partner.tcgplayer.com/c/6278691/1780961/21018?u=https%3A%2F%2Fwww.tcgplayer.com%2Fproduct%2F497598%3Futm_source%3Dimpact%26utm_medium%3Daffiliate%26utm_campaign%3Dpoke%2Bcottage","Tropius")</f>
        <v>Tropius</v>
      </c>
      <c r="D372" s="5" t="s">
        <v>209</v>
      </c>
      <c r="E372" s="5" t="s">
        <v>16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211</v>
      </c>
      <c r="C373" s="6" t="str">
        <f aca="false">HYPERLINK("https://partner.tcgplayer.com/c/6278691/1780961/21018?u=https%3A%2F%2Fwww.tcgplayer.com%2Fproduct%2F497599%3Futm_source%3Dimpact%26utm_medium%3Daffiliate%26utm_campaign%3Dpoke%2Bcottage","Sprigatito")</f>
        <v>Sprigatito</v>
      </c>
      <c r="D373" s="5" t="s">
        <v>209</v>
      </c>
      <c r="E373" s="5" t="s">
        <v>16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212</v>
      </c>
      <c r="C374" s="6" t="str">
        <f aca="false">HYPERLINK("https://partner.tcgplayer.com/c/6278691/1780961/21018?u=https%3A%2F%2Fwww.tcgplayer.com%2Fproduct%2F497600%3Futm_source%3Dimpact%26utm_medium%3Daffiliate%26utm_campaign%3Dpoke%2Bcottage","Floragato")</f>
        <v>Floragato</v>
      </c>
      <c r="D374" s="5" t="s">
        <v>209</v>
      </c>
      <c r="E374" s="5" t="s">
        <v>16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213</v>
      </c>
      <c r="C375" s="6" t="str">
        <f aca="false">HYPERLINK("https://partner.tcgplayer.com/c/6278691/1780961/21018?u=https%3A%2F%2Fwww.tcgplayer.com%2Fproduct%2F497601%3Futm_source%3Dimpact%26utm_medium%3Daffiliate%26utm_campaign%3Dpoke%2Bcottage","Bramblin")</f>
        <v>Bramblin</v>
      </c>
      <c r="D375" s="5" t="s">
        <v>209</v>
      </c>
      <c r="E375" s="5" t="s">
        <v>16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214</v>
      </c>
      <c r="C376" s="6" t="str">
        <f aca="false">HYPERLINK("https://partner.tcgplayer.com/c/6278691/1780961/21018?u=https%3A%2F%2Fwww.tcgplayer.com%2Fproduct%2F497602%3Futm_source%3Dimpact%26utm_medium%3Daffiliate%26utm_campaign%3Dpoke%2Bcottage","Fletchinder")</f>
        <v>Fletchinder</v>
      </c>
      <c r="D376" s="5" t="s">
        <v>209</v>
      </c>
      <c r="E376" s="5" t="s">
        <v>16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215</v>
      </c>
      <c r="C377" s="6" t="str">
        <f aca="false">HYPERLINK("https://partner.tcgplayer.com/c/6278691/1780961/21018?u=https%3A%2F%2Fwww.tcgplayer.com%2Fproduct%2F497603%3Futm_source%3Dimpact%26utm_medium%3Daffiliate%26utm_campaign%3Dpoke%2Bcottage","Pyroar")</f>
        <v>Pyroar</v>
      </c>
      <c r="D377" s="5" t="s">
        <v>209</v>
      </c>
      <c r="E377" s="5" t="s">
        <v>16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216</v>
      </c>
      <c r="C378" s="6" t="str">
        <f aca="false">HYPERLINK("https://partner.tcgplayer.com/c/6278691/1780961/21018?u=https%3A%2F%2Fwww.tcgplayer.com%2Fproduct%2F497604%3Futm_source%3Dimpact%26utm_medium%3Daffiliate%26utm_campaign%3Dpoke%2Bcottage","Fuecoco")</f>
        <v>Fuecoco</v>
      </c>
      <c r="D378" s="5" t="s">
        <v>209</v>
      </c>
      <c r="E378" s="5" t="s">
        <v>16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217</v>
      </c>
      <c r="C379" s="6" t="str">
        <f aca="false">HYPERLINK("https://partner.tcgplayer.com/c/6278691/1780961/21018?u=https%3A%2F%2Fwww.tcgplayer.com%2Fproduct%2F497605%3Futm_source%3Dimpact%26utm_medium%3Daffiliate%26utm_campaign%3Dpoke%2Bcottage","Crocalor")</f>
        <v>Crocalor</v>
      </c>
      <c r="D379" s="5" t="s">
        <v>209</v>
      </c>
      <c r="E379" s="5" t="s">
        <v>16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218</v>
      </c>
      <c r="C380" s="6" t="str">
        <f aca="false">HYPERLINK("https://partner.tcgplayer.com/c/6278691/1780961/21018?u=https%3A%2F%2Fwww.tcgplayer.com%2Fproduct%2F497606%3Futm_source%3Dimpact%26utm_medium%3Daffiliate%26utm_campaign%3Dpoke%2Bcottage","Magikarp")</f>
        <v>Magikarp</v>
      </c>
      <c r="D380" s="5" t="s">
        <v>209</v>
      </c>
      <c r="E380" s="5" t="s">
        <v>16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219</v>
      </c>
      <c r="C381" s="6" t="str">
        <f aca="false">HYPERLINK("https://partner.tcgplayer.com/c/6278691/1780961/21018?u=https%3A%2F%2Fwww.tcgplayer.com%2Fproduct%2F497607%3Futm_source%3Dimpact%26utm_medium%3Daffiliate%26utm_campaign%3Dpoke%2Bcottage","Marill")</f>
        <v>Marill</v>
      </c>
      <c r="D381" s="5" t="s">
        <v>209</v>
      </c>
      <c r="E381" s="5" t="s">
        <v>16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220</v>
      </c>
      <c r="C382" s="6" t="str">
        <f aca="false">HYPERLINK("https://partner.tcgplayer.com/c/6278691/1780961/21018?u=https%3A%2F%2Fwww.tcgplayer.com%2Fproduct%2F497608%3Futm_source%3Dimpact%26utm_medium%3Daffiliate%26utm_campaign%3Dpoke%2Bcottage","Eiscue")</f>
        <v>Eiscue</v>
      </c>
      <c r="D382" s="5" t="s">
        <v>209</v>
      </c>
      <c r="E382" s="5" t="s">
        <v>16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221</v>
      </c>
      <c r="C383" s="6" t="str">
        <f aca="false">HYPERLINK("https://partner.tcgplayer.com/c/6278691/1780961/21018?u=https%3A%2F%2Fwww.tcgplayer.com%2Fproduct%2F497609%3Futm_source%3Dimpact%26utm_medium%3Daffiliate%26utm_campaign%3Dpoke%2Bcottage","Quaxly")</f>
        <v>Quaxly</v>
      </c>
      <c r="D383" s="5" t="s">
        <v>209</v>
      </c>
      <c r="E383" s="5" t="s">
        <v>16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222</v>
      </c>
      <c r="C384" s="6" t="str">
        <f aca="false">HYPERLINK("https://partner.tcgplayer.com/c/6278691/1780961/21018?u=https%3A%2F%2Fwww.tcgplayer.com%2Fproduct%2F497610%3Futm_source%3Dimpact%26utm_medium%3Daffiliate%26utm_campaign%3Dpoke%2Bcottage","Quaxwell")</f>
        <v>Quaxwell</v>
      </c>
      <c r="D384" s="5" t="s">
        <v>209</v>
      </c>
      <c r="E384" s="5" t="s">
        <v>16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223</v>
      </c>
      <c r="C385" s="6" t="str">
        <f aca="false">HYPERLINK("https://partner.tcgplayer.com/c/6278691/1780961/21018?u=https%3A%2F%2Fwww.tcgplayer.com%2Fproduct%2F497611%3Futm_source%3Dimpact%26utm_medium%3Daffiliate%26utm_campaign%3Dpoke%2Bcottage","Frigibax")</f>
        <v>Frigibax</v>
      </c>
      <c r="D385" s="5" t="s">
        <v>209</v>
      </c>
      <c r="E385" s="5" t="s">
        <v>16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224</v>
      </c>
      <c r="C386" s="6" t="str">
        <f aca="false">HYPERLINK("https://partner.tcgplayer.com/c/6278691/1780961/21018?u=https%3A%2F%2Fwww.tcgplayer.com%2Fproduct%2F497612%3Futm_source%3Dimpact%26utm_medium%3Daffiliate%26utm_campaign%3Dpoke%2Bcottage","Arctibax")</f>
        <v>Arctibax</v>
      </c>
      <c r="D386" s="5" t="s">
        <v>209</v>
      </c>
      <c r="E386" s="5" t="s">
        <v>16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225</v>
      </c>
      <c r="C387" s="6" t="str">
        <f aca="false">HYPERLINK("https://partner.tcgplayer.com/c/6278691/1780961/21018?u=https%3A%2F%2Fwww.tcgplayer.com%2Fproduct%2F497613%3Futm_source%3Dimpact%26utm_medium%3Daffiliate%26utm_campaign%3Dpoke%2Bcottage","Baxcalibur")</f>
        <v>Baxcalibur</v>
      </c>
      <c r="D387" s="5" t="s">
        <v>209</v>
      </c>
      <c r="E387" s="5" t="s">
        <v>16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226</v>
      </c>
      <c r="C388" s="6" t="str">
        <f aca="false">HYPERLINK("https://partner.tcgplayer.com/c/6278691/1780961/21018?u=https%3A%2F%2Fwww.tcgplayer.com%2Fproduct%2F497614%3Futm_source%3Dimpact%26utm_medium%3Daffiliate%26utm_campaign%3Dpoke%2Bcottage","Raichu")</f>
        <v>Raichu</v>
      </c>
      <c r="D388" s="5" t="s">
        <v>209</v>
      </c>
      <c r="E388" s="5" t="s">
        <v>16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227</v>
      </c>
      <c r="C389" s="6" t="str">
        <f aca="false">HYPERLINK("https://partner.tcgplayer.com/c/6278691/1780961/21018?u=https%3A%2F%2Fwww.tcgplayer.com%2Fproduct%2F497615%3Futm_source%3Dimpact%26utm_medium%3Daffiliate%26utm_campaign%3Dpoke%2Bcottage","Mismagius")</f>
        <v>Mismagius</v>
      </c>
      <c r="D389" s="5" t="s">
        <v>209</v>
      </c>
      <c r="E389" s="5" t="s">
        <v>16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228</v>
      </c>
      <c r="C390" s="6" t="str">
        <f aca="false">HYPERLINK("https://partner.tcgplayer.com/c/6278691/1780961/21018?u=https%3A%2F%2Fwww.tcgplayer.com%2Fproduct%2F497616%3Futm_source%3Dimpact%26utm_medium%3Daffiliate%26utm_campaign%3Dpoke%2Bcottage","Gothorita")</f>
        <v>Gothorita</v>
      </c>
      <c r="D390" s="5" t="s">
        <v>209</v>
      </c>
      <c r="E390" s="5" t="s">
        <v>16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229</v>
      </c>
      <c r="C391" s="6" t="str">
        <f aca="false">HYPERLINK("https://partner.tcgplayer.com/c/6278691/1780961/21018?u=https%3A%2F%2Fwww.tcgplayer.com%2Fproduct%2F497617%3Futm_source%3Dimpact%26utm_medium%3Daffiliate%26utm_campaign%3Dpoke%2Bcottage","Sandygast")</f>
        <v>Sandygast</v>
      </c>
      <c r="D391" s="5" t="s">
        <v>209</v>
      </c>
      <c r="E391" s="5" t="s">
        <v>16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230</v>
      </c>
      <c r="C392" s="6" t="str">
        <f aca="false">HYPERLINK("https://partner.tcgplayer.com/c/6278691/1780961/21018?u=https%3A%2F%2Fwww.tcgplayer.com%2Fproduct%2F497618%3Futm_source%3Dimpact%26utm_medium%3Daffiliate%26utm_campaign%3Dpoke%2Bcottage","Rabsca")</f>
        <v>Rabsca</v>
      </c>
      <c r="D392" s="5" t="s">
        <v>209</v>
      </c>
      <c r="E392" s="5" t="s">
        <v>16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231</v>
      </c>
      <c r="C393" s="6" t="str">
        <f aca="false">HYPERLINK("https://partner.tcgplayer.com/c/6278691/1780961/21018?u=https%3A%2F%2Fwww.tcgplayer.com%2Fproduct%2F497619%3Futm_source%3Dimpact%26utm_medium%3Daffiliate%26utm_campaign%3Dpoke%2Bcottage","Tinkatink")</f>
        <v>Tinkatink</v>
      </c>
      <c r="D393" s="5" t="s">
        <v>209</v>
      </c>
      <c r="E393" s="5" t="s">
        <v>16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232</v>
      </c>
      <c r="C394" s="6" t="str">
        <f aca="false">HYPERLINK("https://partner.tcgplayer.com/c/6278691/1780961/21018?u=https%3A%2F%2Fwww.tcgplayer.com%2Fproduct%2F497620%3Futm_source%3Dimpact%26utm_medium%3Daffiliate%26utm_campaign%3Dpoke%2Bcottage","Tinkatuff")</f>
        <v>Tinkatuff</v>
      </c>
      <c r="D394" s="5" t="s">
        <v>209</v>
      </c>
      <c r="E394" s="5" t="s">
        <v>16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233</v>
      </c>
      <c r="C395" s="6" t="str">
        <f aca="false">HYPERLINK("https://partner.tcgplayer.com/c/6278691/1780961/21018?u=https%3A%2F%2Fwww.tcgplayer.com%2Fproduct%2F497621%3Futm_source%3Dimpact%26utm_medium%3Daffiliate%26utm_campaign%3Dpoke%2Bcottage","Paldean Tauros")</f>
        <v>Paldean Tauros</v>
      </c>
      <c r="D395" s="5" t="s">
        <v>209</v>
      </c>
      <c r="E395" s="5" t="s">
        <v>16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234</v>
      </c>
      <c r="C396" s="6" t="str">
        <f aca="false">HYPERLINK("https://partner.tcgplayer.com/c/6278691/1780961/21018?u=https%3A%2F%2Fwww.tcgplayer.com%2Fproduct%2F497622%3Futm_source%3Dimpact%26utm_medium%3Daffiliate%26utm_campaign%3Dpoke%2Bcottage","Sudowoodo")</f>
        <v>Sudowoodo</v>
      </c>
      <c r="D396" s="5" t="s">
        <v>209</v>
      </c>
      <c r="E396" s="5" t="s">
        <v>16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235</v>
      </c>
      <c r="C397" s="6" t="str">
        <f aca="false">HYPERLINK("https://partner.tcgplayer.com/c/6278691/1780961/21018?u=https%3A%2F%2Fwww.tcgplayer.com%2Fproduct%2F497623%3Futm_source%3Dimpact%26utm_medium%3Daffiliate%26utm_campaign%3Dpoke%2Bcottage","Nacli")</f>
        <v>Nacli</v>
      </c>
      <c r="D397" s="5" t="s">
        <v>209</v>
      </c>
      <c r="E397" s="5" t="s">
        <v>16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236</v>
      </c>
      <c r="C398" s="6" t="str">
        <f aca="false">HYPERLINK("https://partner.tcgplayer.com/c/6278691/1780961/21018?u=https%3A%2F%2Fwww.tcgplayer.com%2Fproduct%2F497624%3Futm_source%3Dimpact%26utm_medium%3Daffiliate%26utm_campaign%3Dpoke%2Bcottage","Paldean Wooper")</f>
        <v>Paldean Wooper</v>
      </c>
      <c r="D398" s="5" t="s">
        <v>209</v>
      </c>
      <c r="E398" s="5" t="s">
        <v>16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237</v>
      </c>
      <c r="C399" s="6" t="str">
        <f aca="false">HYPERLINK("https://partner.tcgplayer.com/c/6278691/1780961/21018?u=https%3A%2F%2Fwww.tcgplayer.com%2Fproduct%2F497625%3Futm_source%3Dimpact%26utm_medium%3Daffiliate%26utm_campaign%3Dpoke%2Bcottage","Tyranitar")</f>
        <v>Tyranitar</v>
      </c>
      <c r="D399" s="5" t="s">
        <v>209</v>
      </c>
      <c r="E399" s="5" t="s">
        <v>16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238</v>
      </c>
      <c r="C400" s="6" t="str">
        <f aca="false">HYPERLINK("https://partner.tcgplayer.com/c/6278691/1780961/21018?u=https%3A%2F%2Fwww.tcgplayer.com%2Fproduct%2F497626%3Futm_source%3Dimpact%26utm_medium%3Daffiliate%26utm_campaign%3Dpoke%2Bcottage","Grafaiai")</f>
        <v>Grafaiai</v>
      </c>
      <c r="D400" s="5" t="s">
        <v>209</v>
      </c>
      <c r="E400" s="5" t="s">
        <v>16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239</v>
      </c>
      <c r="C401" s="6" t="str">
        <f aca="false">HYPERLINK("https://partner.tcgplayer.com/c/6278691/1780961/21018?u=https%3A%2F%2Fwww.tcgplayer.com%2Fproduct%2F497627%3Futm_source%3Dimpact%26utm_medium%3Daffiliate%26utm_campaign%3Dpoke%2Bcottage","Orthworm")</f>
        <v>Orthworm</v>
      </c>
      <c r="D401" s="5" t="s">
        <v>209</v>
      </c>
      <c r="E401" s="5" t="s">
        <v>16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240</v>
      </c>
      <c r="C402" s="6" t="str">
        <f aca="false">HYPERLINK("https://partner.tcgplayer.com/c/6278691/1780961/21018?u=https%3A%2F%2Fwww.tcgplayer.com%2Fproduct%2F497628%3Futm_source%3Dimpact%26utm_medium%3Daffiliate%26utm_campaign%3Dpoke%2Bcottage","Rookidee")</f>
        <v>Rookidee</v>
      </c>
      <c r="D402" s="5" t="s">
        <v>209</v>
      </c>
      <c r="E402" s="5" t="s">
        <v>16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241</v>
      </c>
      <c r="C403" s="6" t="str">
        <f aca="false">HYPERLINK("https://partner.tcgplayer.com/c/6278691/1780961/21018?u=https%3A%2F%2Fwww.tcgplayer.com%2Fproduct%2F497629%3Futm_source%3Dimpact%26utm_medium%3Daffiliate%26utm_campaign%3Dpoke%2Bcottage","Maushold")</f>
        <v>Maushold</v>
      </c>
      <c r="D403" s="5" t="s">
        <v>209</v>
      </c>
      <c r="E403" s="5" t="s">
        <v>16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242</v>
      </c>
      <c r="C404" s="6" t="str">
        <f aca="false">HYPERLINK("https://partner.tcgplayer.com/c/6278691/1780961/21018?u=https%3A%2F%2Fwww.tcgplayer.com%2Fproduct%2F497630%3Futm_source%3Dimpact%26utm_medium%3Daffiliate%26utm_campaign%3Dpoke%2Bcottage","Flamigo")</f>
        <v>Flamigo</v>
      </c>
      <c r="D404" s="5" t="s">
        <v>209</v>
      </c>
      <c r="E404" s="5" t="s">
        <v>16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243</v>
      </c>
      <c r="C405" s="6" t="str">
        <f aca="false">HYPERLINK("https://partner.tcgplayer.com/c/6278691/1780961/21018?u=https%3A%2F%2Fwww.tcgplayer.com%2Fproduct%2F497631%3Futm_source%3Dimpact%26utm_medium%3Daffiliate%26utm_campaign%3Dpoke%2Bcottage","Farigiraf")</f>
        <v>Farigiraf</v>
      </c>
      <c r="D405" s="5" t="s">
        <v>209</v>
      </c>
      <c r="E405" s="5" t="s">
        <v>16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244</v>
      </c>
      <c r="C406" s="6" t="str">
        <f aca="false">HYPERLINK("https://partner.tcgplayer.com/c/6278691/1780961/21018?u=https%3A%2F%2Fwww.tcgplayer.com%2Fproduct%2F497633%3Futm_source%3Dimpact%26utm_medium%3Daffiliate%26utm_campaign%3Dpoke%2Bcottage","Dudunsparce")</f>
        <v>Dudunsparce</v>
      </c>
      <c r="D406" s="5" t="s">
        <v>209</v>
      </c>
      <c r="E406" s="5" t="s">
        <v>16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245</v>
      </c>
      <c r="C407" s="6" t="str">
        <f aca="false">HYPERLINK("https://partner.tcgplayer.com/c/6278691/1780961/21018?u=https%3A%2F%2Fwww.tcgplayer.com%2Fproduct%2F497634%3Futm_source%3Dimpact%26utm_medium%3Daffiliate%26utm_campaign%3Dpoke%2Bcottage","Forretress ex")</f>
        <v>Forretress ex</v>
      </c>
      <c r="D407" s="5" t="s">
        <v>246</v>
      </c>
      <c r="E407" s="5" t="s">
        <v>16</v>
      </c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247</v>
      </c>
      <c r="C408" s="6" t="str">
        <f aca="false">HYPERLINK("https://partner.tcgplayer.com/c/6278691/1780961/21018?u=https%3A%2F%2Fwww.tcgplayer.com%2Fproduct%2F497636%3Futm_source%3Dimpact%26utm_medium%3Daffiliate%26utm_campaign%3Dpoke%2Bcottage","Meowscarada ex")</f>
        <v>Meowscarada ex</v>
      </c>
      <c r="D408" s="5" t="s">
        <v>246</v>
      </c>
      <c r="E408" s="5" t="s">
        <v>16</v>
      </c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248</v>
      </c>
      <c r="C409" s="6" t="str">
        <f aca="false">HYPERLINK("https://partner.tcgplayer.com/c/6278691/1780961/21018?u=https%3A%2F%2Fwww.tcgplayer.com%2Fproduct%2F497637%3Futm_source%3Dimpact%26utm_medium%3Daffiliate%26utm_campaign%3Dpoke%2Bcottage","Wo-Chien ex")</f>
        <v>Wo-Chien ex</v>
      </c>
      <c r="D409" s="5" t="s">
        <v>246</v>
      </c>
      <c r="E409" s="5" t="s">
        <v>16</v>
      </c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249</v>
      </c>
      <c r="C410" s="6" t="str">
        <f aca="false">HYPERLINK("https://partner.tcgplayer.com/c/6278691/1780961/21018?u=https%3A%2F%2Fwww.tcgplayer.com%2Fproduct%2F497639%3Futm_source%3Dimpact%26utm_medium%3Daffiliate%26utm_campaign%3Dpoke%2Bcottage","Skeledirge ex")</f>
        <v>Skeledirge ex</v>
      </c>
      <c r="D410" s="5" t="s">
        <v>246</v>
      </c>
      <c r="E410" s="5" t="s">
        <v>16</v>
      </c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250</v>
      </c>
      <c r="C411" s="6" t="str">
        <f aca="false">HYPERLINK("https://partner.tcgplayer.com/c/6278691/1780961/21018?u=https%3A%2F%2Fwww.tcgplayer.com%2Fproduct%2F497640%3Futm_source%3Dimpact%26utm_medium%3Daffiliate%26utm_campaign%3Dpoke%2Bcottage","Chi-Yu ex")</f>
        <v>Chi-Yu ex</v>
      </c>
      <c r="D411" s="5" t="s">
        <v>246</v>
      </c>
      <c r="E411" s="5" t="s">
        <v>16</v>
      </c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251</v>
      </c>
      <c r="C412" s="6" t="str">
        <f aca="false">HYPERLINK("https://partner.tcgplayer.com/c/6278691/1780961/21018?u=https%3A%2F%2Fwww.tcgplayer.com%2Fproduct%2F497641%3Futm_source%3Dimpact%26utm_medium%3Daffiliate%26utm_campaign%3Dpoke%2Bcottage","Quaquaval ex")</f>
        <v>Quaquaval ex</v>
      </c>
      <c r="D412" s="5" t="s">
        <v>246</v>
      </c>
      <c r="E412" s="5" t="s">
        <v>16</v>
      </c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252</v>
      </c>
      <c r="C413" s="6" t="str">
        <f aca="false">HYPERLINK("https://partner.tcgplayer.com/c/6278691/1780961/21018?u=https%3A%2F%2Fwww.tcgplayer.com%2Fproduct%2F497642%3Futm_source%3Dimpact%26utm_medium%3Daffiliate%26utm_campaign%3Dpoke%2Bcottage","Chien-Pao ex")</f>
        <v>Chien-Pao ex</v>
      </c>
      <c r="D413" s="5" t="s">
        <v>246</v>
      </c>
      <c r="E413" s="5" t="s">
        <v>16</v>
      </c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253</v>
      </c>
      <c r="C414" s="6" t="str">
        <f aca="false">HYPERLINK("https://partner.tcgplayer.com/c/6278691/1780961/21018?u=https%3A%2F%2Fwww.tcgplayer.com%2Fproduct%2F497644%3Futm_source%3Dimpact%26utm_medium%3Daffiliate%26utm_campaign%3Dpoke%2Bcottage","Bellibolt ex")</f>
        <v>Bellibolt ex</v>
      </c>
      <c r="D414" s="5" t="s">
        <v>246</v>
      </c>
      <c r="E414" s="5" t="s">
        <v>16</v>
      </c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254</v>
      </c>
      <c r="C415" s="6" t="str">
        <f aca="false">HYPERLINK("https://partner.tcgplayer.com/c/6278691/1780961/21018?u=https%3A%2F%2Fwww.tcgplayer.com%2Fproduct%2F497646%3Futm_source%3Dimpact%26utm_medium%3Daffiliate%26utm_campaign%3Dpoke%2Bcottage","Slowking ex")</f>
        <v>Slowking ex</v>
      </c>
      <c r="D415" s="5" t="s">
        <v>246</v>
      </c>
      <c r="E415" s="5" t="s">
        <v>16</v>
      </c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255</v>
      </c>
      <c r="C416" s="6" t="str">
        <f aca="false">HYPERLINK("https://partner.tcgplayer.com/c/6278691/1780961/21018?u=https%3A%2F%2Fwww.tcgplayer.com%2Fproduct%2F497647%3Futm_source%3Dimpact%26utm_medium%3Daffiliate%26utm_campaign%3Dpoke%2Bcottage","Dedenne ex")</f>
        <v>Dedenne ex</v>
      </c>
      <c r="D416" s="5" t="s">
        <v>246</v>
      </c>
      <c r="E416" s="5" t="s">
        <v>16</v>
      </c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256</v>
      </c>
      <c r="C417" s="6" t="str">
        <f aca="false">HYPERLINK("https://partner.tcgplayer.com/c/6278691/1780961/21018?u=https%3A%2F%2Fwww.tcgplayer.com%2Fproduct%2F497649%3Futm_source%3Dimpact%26utm_medium%3Daffiliate%26utm_campaign%3Dpoke%2Bcottage","Tinkaton ex")</f>
        <v>Tinkaton ex</v>
      </c>
      <c r="D417" s="5" t="s">
        <v>246</v>
      </c>
      <c r="E417" s="5" t="s">
        <v>16</v>
      </c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257</v>
      </c>
      <c r="C418" s="6" t="str">
        <f aca="false">HYPERLINK("https://partner.tcgplayer.com/c/6278691/1780961/21018?u=https%3A%2F%2Fwww.tcgplayer.com%2Fproduct%2F497651%3Futm_source%3Dimpact%26utm_medium%3Daffiliate%26utm_campaign%3Dpoke%2Bcottage","Lycanroc ex")</f>
        <v>Lycanroc ex</v>
      </c>
      <c r="D418" s="5" t="s">
        <v>246</v>
      </c>
      <c r="E418" s="5" t="s">
        <v>16</v>
      </c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258</v>
      </c>
      <c r="C419" s="6" t="str">
        <f aca="false">HYPERLINK("https://partner.tcgplayer.com/c/6278691/1780961/21018?u=https%3A%2F%2Fwww.tcgplayer.com%2Fproduct%2F497652%3Futm_source%3Dimpact%26utm_medium%3Daffiliate%26utm_campaign%3Dpoke%2Bcottage","Annihilape ex")</f>
        <v>Annihilape ex</v>
      </c>
      <c r="D419" s="5" t="s">
        <v>246</v>
      </c>
      <c r="E419" s="5" t="s">
        <v>16</v>
      </c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259</v>
      </c>
      <c r="C420" s="6" t="str">
        <f aca="false">HYPERLINK("https://partner.tcgplayer.com/c/6278691/1780961/21018?u=https%3A%2F%2Fwww.tcgplayer.com%2Fproduct%2F497653%3Futm_source%3Dimpact%26utm_medium%3Daffiliate%26utm_campaign%3Dpoke%2Bcottage","Ting-Lu ex")</f>
        <v>Ting-Lu ex</v>
      </c>
      <c r="D420" s="5" t="s">
        <v>246</v>
      </c>
      <c r="E420" s="5" t="s">
        <v>16</v>
      </c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260</v>
      </c>
      <c r="C421" s="6" t="str">
        <f aca="false">HYPERLINK("https://partner.tcgplayer.com/c/6278691/1780961/21018?u=https%3A%2F%2Fwww.tcgplayer.com%2Fproduct%2F497654%3Futm_source%3Dimpact%26utm_medium%3Daffiliate%26utm_campaign%3Dpoke%2Bcottage","Paldean Clodsire ex")</f>
        <v>Paldean Clodsire ex</v>
      </c>
      <c r="D421" s="5" t="s">
        <v>246</v>
      </c>
      <c r="E421" s="5" t="s">
        <v>16</v>
      </c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261</v>
      </c>
      <c r="C422" s="6" t="str">
        <f aca="false">HYPERLINK("https://partner.tcgplayer.com/c/6278691/1780961/21018?u=https%3A%2F%2Fwww.tcgplayer.com%2Fproduct%2F497655%3Futm_source%3Dimpact%26utm_medium%3Daffiliate%26utm_campaign%3Dpoke%2Bcottage","Copperajah ex")</f>
        <v>Copperajah ex</v>
      </c>
      <c r="D422" s="5" t="s">
        <v>246</v>
      </c>
      <c r="E422" s="5" t="s">
        <v>16</v>
      </c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262</v>
      </c>
      <c r="C423" s="6" t="str">
        <f aca="false">HYPERLINK("https://partner.tcgplayer.com/c/6278691/1780961/21018?u=https%3A%2F%2Fwww.tcgplayer.com%2Fproduct%2F497657%3Futm_source%3Dimpact%26utm_medium%3Daffiliate%26utm_campaign%3Dpoke%2Bcottage","Noivern ex")</f>
        <v>Noivern ex</v>
      </c>
      <c r="D423" s="5" t="s">
        <v>246</v>
      </c>
      <c r="E423" s="5" t="s">
        <v>16</v>
      </c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263</v>
      </c>
      <c r="C424" s="6" t="str">
        <f aca="false">HYPERLINK("https://partner.tcgplayer.com/c/6278691/1780961/21018?u=https%3A%2F%2Fwww.tcgplayer.com%2Fproduct%2F497658%3Futm_source%3Dimpact%26utm_medium%3Daffiliate%26utm_campaign%3Dpoke%2Bcottage","Squawkabilly ex")</f>
        <v>Squawkabilly ex</v>
      </c>
      <c r="D424" s="5" t="s">
        <v>246</v>
      </c>
      <c r="E424" s="5" t="s">
        <v>16</v>
      </c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264</v>
      </c>
      <c r="C425" s="6" t="str">
        <f aca="false">HYPERLINK("https://partner.tcgplayer.com/c/6278691/1780961/21018?u=https%3A%2F%2Fwww.tcgplayer.com%2Fproduct%2F497663%3Futm_source%3Dimpact%26utm_medium%3Daffiliate%26utm_campaign%3Dpoke%2Bcottage","Boss's Orders (Ghetsis)")</f>
        <v>Boss's Orders (Ghetsis)</v>
      </c>
      <c r="D425" s="5" t="s">
        <v>246</v>
      </c>
      <c r="E425" s="5" t="s">
        <v>16</v>
      </c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265</v>
      </c>
      <c r="C426" s="6" t="str">
        <f aca="false">HYPERLINK("https://partner.tcgplayer.com/c/6278691/1780961/21018?u=https%3A%2F%2Fwww.tcgplayer.com%2Fproduct%2F497664%3Futm_source%3Dimpact%26utm_medium%3Daffiliate%26utm_campaign%3Dpoke%2Bcottage","Clavell")</f>
        <v>Clavell</v>
      </c>
      <c r="D426" s="5" t="s">
        <v>246</v>
      </c>
      <c r="E426" s="5" t="s">
        <v>16</v>
      </c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266</v>
      </c>
      <c r="C427" s="6" t="str">
        <f aca="false">HYPERLINK("https://partner.tcgplayer.com/c/6278691/1780961/21018?u=https%3A%2F%2Fwww.tcgplayer.com%2Fproduct%2F497665%3Futm_source%3Dimpact%26utm_medium%3Daffiliate%26utm_campaign%3Dpoke%2Bcottage","Dendra")</f>
        <v>Dendra</v>
      </c>
      <c r="D427" s="5" t="s">
        <v>246</v>
      </c>
      <c r="E427" s="5" t="s">
        <v>16</v>
      </c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267</v>
      </c>
      <c r="C428" s="6" t="str">
        <f aca="false">HYPERLINK("https://partner.tcgplayer.com/c/6278691/1780961/21018?u=https%3A%2F%2Fwww.tcgplayer.com%2Fproduct%2F497666%3Futm_source%3Dimpact%26utm_medium%3Daffiliate%26utm_campaign%3Dpoke%2Bcottage","Falkner")</f>
        <v>Falkner</v>
      </c>
      <c r="D428" s="5" t="s">
        <v>246</v>
      </c>
      <c r="E428" s="5" t="s">
        <v>16</v>
      </c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268</v>
      </c>
      <c r="C429" s="6" t="str">
        <f aca="false">HYPERLINK("https://partner.tcgplayer.com/c/6278691/1780961/21018?u=https%3A%2F%2Fwww.tcgplayer.com%2Fproduct%2F497667%3Futm_source%3Dimpact%26utm_medium%3Daffiliate%26utm_campaign%3Dpoke%2Bcottage","Giacomo")</f>
        <v>Giacomo</v>
      </c>
      <c r="D429" s="5" t="s">
        <v>246</v>
      </c>
      <c r="E429" s="5" t="s">
        <v>16</v>
      </c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269</v>
      </c>
      <c r="C430" s="6" t="str">
        <f aca="false">HYPERLINK("https://partner.tcgplayer.com/c/6278691/1780961/21018?u=https%3A%2F%2Fwww.tcgplayer.com%2Fproduct%2F497668%3Futm_source%3Dimpact%26utm_medium%3Daffiliate%26utm_campaign%3Dpoke%2Bcottage","Grusha")</f>
        <v>Grusha</v>
      </c>
      <c r="D430" s="5" t="s">
        <v>246</v>
      </c>
      <c r="E430" s="5" t="s">
        <v>16</v>
      </c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270</v>
      </c>
      <c r="C431" s="6" t="str">
        <f aca="false">HYPERLINK("https://partner.tcgplayer.com/c/6278691/1780961/21018?u=https%3A%2F%2Fwww.tcgplayer.com%2Fproduct%2F497669%3Futm_source%3Dimpact%26utm_medium%3Daffiliate%26utm_campaign%3Dpoke%2Bcottage","Iono")</f>
        <v>Iono</v>
      </c>
      <c r="D431" s="5" t="s">
        <v>246</v>
      </c>
      <c r="E431" s="5" t="s">
        <v>16</v>
      </c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271</v>
      </c>
      <c r="C432" s="6" t="str">
        <f aca="false">HYPERLINK("https://partner.tcgplayer.com/c/6278691/1780961/21018?u=https%3A%2F%2Fwww.tcgplayer.com%2Fproduct%2F497670%3Futm_source%3Dimpact%26utm_medium%3Daffiliate%26utm_campaign%3Dpoke%2Bcottage","Saguaro")</f>
        <v>Saguaro</v>
      </c>
      <c r="D432" s="5" t="s">
        <v>246</v>
      </c>
      <c r="E432" s="5" t="s">
        <v>16</v>
      </c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272</v>
      </c>
      <c r="C433" s="6" t="str">
        <f aca="false">HYPERLINK("https://partner.tcgplayer.com/c/6278691/1780961/21018?u=https%3A%2F%2Fwww.tcgplayer.com%2Fproduct%2F497675%3Futm_source%3Dimpact%26utm_medium%3Daffiliate%26utm_campaign%3Dpoke%2Bcottage","Meowscarada ex")</f>
        <v>Meowscarada ex</v>
      </c>
      <c r="D433" s="5" t="s">
        <v>273</v>
      </c>
      <c r="E433" s="5" t="s">
        <v>16</v>
      </c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274</v>
      </c>
      <c r="C434" s="6" t="str">
        <f aca="false">HYPERLINK("https://partner.tcgplayer.com/c/6278691/1780961/21018?u=https%3A%2F%2Fwww.tcgplayer.com%2Fproduct%2F497676%3Futm_source%3Dimpact%26utm_medium%3Daffiliate%26utm_campaign%3Dpoke%2Bcottage","Wo-Chien ex")</f>
        <v>Wo-Chien ex</v>
      </c>
      <c r="D434" s="5" t="s">
        <v>273</v>
      </c>
      <c r="E434" s="5" t="s">
        <v>16</v>
      </c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275</v>
      </c>
      <c r="C435" s="6" t="str">
        <f aca="false">HYPERLINK("https://partner.tcgplayer.com/c/6278691/1780961/21018?u=https%3A%2F%2Fwww.tcgplayer.com%2Fproduct%2F497677%3Futm_source%3Dimpact%26utm_medium%3Daffiliate%26utm_campaign%3Dpoke%2Bcottage","Skeledirge ex")</f>
        <v>Skeledirge ex</v>
      </c>
      <c r="D435" s="5" t="s">
        <v>273</v>
      </c>
      <c r="E435" s="5" t="s">
        <v>16</v>
      </c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276</v>
      </c>
      <c r="C436" s="6" t="str">
        <f aca="false">HYPERLINK("https://partner.tcgplayer.com/c/6278691/1780961/21018?u=https%3A%2F%2Fwww.tcgplayer.com%2Fproduct%2F497678%3Futm_source%3Dimpact%26utm_medium%3Daffiliate%26utm_campaign%3Dpoke%2Bcottage","Chi-Yu ex")</f>
        <v>Chi-Yu ex</v>
      </c>
      <c r="D436" s="5" t="s">
        <v>273</v>
      </c>
      <c r="E436" s="5" t="s">
        <v>16</v>
      </c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277</v>
      </c>
      <c r="C437" s="6" t="str">
        <f aca="false">HYPERLINK("https://partner.tcgplayer.com/c/6278691/1780961/21018?u=https%3A%2F%2Fwww.tcgplayer.com%2Fproduct%2F497679%3Futm_source%3Dimpact%26utm_medium%3Daffiliate%26utm_campaign%3Dpoke%2Bcottage","Quaquaval ex")</f>
        <v>Quaquaval ex</v>
      </c>
      <c r="D437" s="5" t="s">
        <v>273</v>
      </c>
      <c r="E437" s="5" t="s">
        <v>16</v>
      </c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278</v>
      </c>
      <c r="C438" s="6" t="str">
        <f aca="false">HYPERLINK("https://partner.tcgplayer.com/c/6278691/1780961/21018?u=https%3A%2F%2Fwww.tcgplayer.com%2Fproduct%2F497680%3Futm_source%3Dimpact%26utm_medium%3Daffiliate%26utm_campaign%3Dpoke%2Bcottage","Chien-Pao ex")</f>
        <v>Chien-Pao ex</v>
      </c>
      <c r="D438" s="5" t="s">
        <v>273</v>
      </c>
      <c r="E438" s="5" t="s">
        <v>16</v>
      </c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279</v>
      </c>
      <c r="C439" s="6" t="str">
        <f aca="false">HYPERLINK("https://partner.tcgplayer.com/c/6278691/1780961/21018?u=https%3A%2F%2Fwww.tcgplayer.com%2Fproduct%2F497681%3Futm_source%3Dimpact%26utm_medium%3Daffiliate%26utm_campaign%3Dpoke%2Bcottage","Tinkaton ex")</f>
        <v>Tinkaton ex</v>
      </c>
      <c r="D439" s="5" t="s">
        <v>273</v>
      </c>
      <c r="E439" s="5" t="s">
        <v>16</v>
      </c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280</v>
      </c>
      <c r="C440" s="6" t="str">
        <f aca="false">HYPERLINK("https://partner.tcgplayer.com/c/6278691/1780961/21018?u=https%3A%2F%2Fwww.tcgplayer.com%2Fproduct%2F497682%3Futm_source%3Dimpact%26utm_medium%3Daffiliate%26utm_campaign%3Dpoke%2Bcottage","Ting-Lu ex")</f>
        <v>Ting-Lu ex</v>
      </c>
      <c r="D440" s="5" t="s">
        <v>273</v>
      </c>
      <c r="E440" s="5" t="s">
        <v>16</v>
      </c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281</v>
      </c>
      <c r="C441" s="6" t="str">
        <f aca="false">HYPERLINK("https://partner.tcgplayer.com/c/6278691/1780961/21018?u=https%3A%2F%2Fwww.tcgplayer.com%2Fproduct%2F497684%3Futm_source%3Dimpact%26utm_medium%3Daffiliate%26utm_campaign%3Dpoke%2Bcottage","Squawkabilly ex")</f>
        <v>Squawkabilly ex</v>
      </c>
      <c r="D441" s="5" t="s">
        <v>273</v>
      </c>
      <c r="E441" s="5" t="s">
        <v>16</v>
      </c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282</v>
      </c>
      <c r="C442" s="6" t="str">
        <f aca="false">HYPERLINK("https://partner.tcgplayer.com/c/6278691/1780961/21018?u=https%3A%2F%2Fwww.tcgplayer.com%2Fproduct%2F497685%3Futm_source%3Dimpact%26utm_medium%3Daffiliate%26utm_campaign%3Dpoke%2Bcottage","Boss's Orders (Ghetsis)")</f>
        <v>Boss's Orders (Ghetsis)</v>
      </c>
      <c r="D442" s="5" t="s">
        <v>273</v>
      </c>
      <c r="E442" s="5" t="s">
        <v>16</v>
      </c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283</v>
      </c>
      <c r="C443" s="6" t="str">
        <f aca="false">HYPERLINK("https://partner.tcgplayer.com/c/6278691/1780961/21018?u=https%3A%2F%2Fwww.tcgplayer.com%2Fproduct%2F497686%3Futm_source%3Dimpact%26utm_medium%3Daffiliate%26utm_campaign%3Dpoke%2Bcottage","Dendra")</f>
        <v>Dendra</v>
      </c>
      <c r="D443" s="5" t="s">
        <v>273</v>
      </c>
      <c r="E443" s="5" t="s">
        <v>16</v>
      </c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284</v>
      </c>
      <c r="C444" s="6" t="str">
        <f aca="false">HYPERLINK("https://partner.tcgplayer.com/c/6278691/1780961/21018?u=https%3A%2F%2Fwww.tcgplayer.com%2Fproduct%2F497687%3Futm_source%3Dimpact%26utm_medium%3Daffiliate%26utm_campaign%3Dpoke%2Bcottage","Giacomo")</f>
        <v>Giacomo</v>
      </c>
      <c r="D444" s="5" t="s">
        <v>273</v>
      </c>
      <c r="E444" s="5" t="s">
        <v>16</v>
      </c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285</v>
      </c>
      <c r="C445" s="6" t="str">
        <f aca="false">HYPERLINK("https://partner.tcgplayer.com/c/6278691/1780961/21018?u=https%3A%2F%2Fwww.tcgplayer.com%2Fproduct%2F497688%3Futm_source%3Dimpact%26utm_medium%3Daffiliate%26utm_campaign%3Dpoke%2Bcottage","Grusha")</f>
        <v>Grusha</v>
      </c>
      <c r="D445" s="5" t="s">
        <v>273</v>
      </c>
      <c r="E445" s="5" t="s">
        <v>16</v>
      </c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286</v>
      </c>
      <c r="C446" s="6" t="str">
        <f aca="false">HYPERLINK("https://partner.tcgplayer.com/c/6278691/1780961/21018?u=https%3A%2F%2Fwww.tcgplayer.com%2Fproduct%2F497689%3Futm_source%3Dimpact%26utm_medium%3Daffiliate%26utm_campaign%3Dpoke%2Bcottage","Iono")</f>
        <v>Iono</v>
      </c>
      <c r="D446" s="5" t="s">
        <v>273</v>
      </c>
      <c r="E446" s="5" t="s">
        <v>16</v>
      </c>
      <c r="F446" s="5"/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287</v>
      </c>
      <c r="C447" s="6" t="str">
        <f aca="false">HYPERLINK("https://partner.tcgplayer.com/c/6278691/1780961/21018?u=https%3A%2F%2Fwww.tcgplayer.com%2Fproduct%2F497691%3Futm_source%3Dimpact%26utm_medium%3Daffiliate%26utm_campaign%3Dpoke%2Bcottage","Saguaro")</f>
        <v>Saguaro</v>
      </c>
      <c r="D447" s="5" t="s">
        <v>273</v>
      </c>
      <c r="E447" s="5" t="s">
        <v>16</v>
      </c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288</v>
      </c>
      <c r="C448" s="6" t="str">
        <f aca="false">HYPERLINK("https://partner.tcgplayer.com/c/6278691/1780961/21018?u=https%3A%2F%2Fwww.tcgplayer.com%2Fproduct%2F497692%3Futm_source%3Dimpact%26utm_medium%3Daffiliate%26utm_campaign%3Dpoke%2Bcottage","Meowscarada ex")</f>
        <v>Meowscarada ex</v>
      </c>
      <c r="D448" s="5" t="s">
        <v>289</v>
      </c>
      <c r="E448" s="5" t="s">
        <v>16</v>
      </c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290</v>
      </c>
      <c r="C449" s="6" t="str">
        <f aca="false">HYPERLINK("https://partner.tcgplayer.com/c/6278691/1780961/21018?u=https%3A%2F%2Fwww.tcgplayer.com%2Fproduct%2F497693%3Futm_source%3Dimpact%26utm_medium%3Daffiliate%26utm_campaign%3Dpoke%2Bcottage","Skeledirge ex")</f>
        <v>Skeledirge ex</v>
      </c>
      <c r="D449" s="5" t="s">
        <v>289</v>
      </c>
      <c r="E449" s="5" t="s">
        <v>16</v>
      </c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291</v>
      </c>
      <c r="C450" s="6" t="str">
        <f aca="false">HYPERLINK("https://partner.tcgplayer.com/c/6278691/1780961/21018?u=https%3A%2F%2Fwww.tcgplayer.com%2Fproduct%2F497694%3Futm_source%3Dimpact%26utm_medium%3Daffiliate%26utm_campaign%3Dpoke%2Bcottage","Quaquaval ex")</f>
        <v>Quaquaval ex</v>
      </c>
      <c r="D450" s="5" t="s">
        <v>289</v>
      </c>
      <c r="E450" s="5" t="s">
        <v>16</v>
      </c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292</v>
      </c>
      <c r="C451" s="6" t="str">
        <f aca="false">HYPERLINK("https://partner.tcgplayer.com/c/6278691/1780961/21018?u=https%3A%2F%2Fwww.tcgplayer.com%2Fproduct%2F497695%3Futm_source%3Dimpact%26utm_medium%3Daffiliate%26utm_campaign%3Dpoke%2Bcottage","Chien-Pao ex")</f>
        <v>Chien-Pao ex</v>
      </c>
      <c r="D451" s="5" t="s">
        <v>289</v>
      </c>
      <c r="E451" s="5" t="s">
        <v>16</v>
      </c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293</v>
      </c>
      <c r="C452" s="6" t="str">
        <f aca="false">HYPERLINK("https://partner.tcgplayer.com/c/6278691/1780961/21018?u=https%3A%2F%2Fwww.tcgplayer.com%2Fproduct%2F497696%3Futm_source%3Dimpact%26utm_medium%3Daffiliate%26utm_campaign%3Dpoke%2Bcottage","Ting-Lu ex")</f>
        <v>Ting-Lu ex</v>
      </c>
      <c r="D452" s="5" t="s">
        <v>289</v>
      </c>
      <c r="E452" s="5" t="s">
        <v>16</v>
      </c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294</v>
      </c>
      <c r="C453" s="6" t="str">
        <f aca="false">HYPERLINK("https://partner.tcgplayer.com/c/6278691/1780961/21018?u=https%3A%2F%2Fwww.tcgplayer.com%2Fproduct%2F497697%3Futm_source%3Dimpact%26utm_medium%3Daffiliate%26utm_campaign%3Dpoke%2Bcottage","Super Rod")</f>
        <v>Super Rod</v>
      </c>
      <c r="D453" s="5" t="s">
        <v>289</v>
      </c>
      <c r="E453" s="5" t="s">
        <v>16</v>
      </c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295</v>
      </c>
      <c r="C454" s="6" t="str">
        <f aca="false">HYPERLINK("https://partner.tcgplayer.com/c/6278691/1780961/21018?u=https%3A%2F%2Fwww.tcgplayer.com%2Fproduct%2F497699%3Futm_source%3Dimpact%26utm_medium%3Daffiliate%26utm_campaign%3Dpoke%2Bcottage","Superior Energy Retrieval")</f>
        <v>Superior Energy Retrieval</v>
      </c>
      <c r="D454" s="5" t="s">
        <v>289</v>
      </c>
      <c r="E454" s="5" t="s">
        <v>16</v>
      </c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296</v>
      </c>
      <c r="C455" s="6" t="str">
        <f aca="false">HYPERLINK("https://partner.tcgplayer.com/c/6278691/1780961/21018?u=https%3A%2F%2Fwww.tcgplayer.com%2Fproduct%2F497700%3Futm_source%3Dimpact%26utm_medium%3Daffiliate%26utm_campaign%3Dpoke%2Bcottage","Basic Grass Energy")</f>
        <v>Basic Grass Energy</v>
      </c>
      <c r="D455" s="5" t="s">
        <v>289</v>
      </c>
      <c r="E455" s="5" t="s">
        <v>16</v>
      </c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297</v>
      </c>
      <c r="C456" s="6" t="str">
        <f aca="false">HYPERLINK("https://partner.tcgplayer.com/c/6278691/1780961/21018?u=https%3A%2F%2Fwww.tcgplayer.com%2Fproduct%2F497701%3Futm_source%3Dimpact%26utm_medium%3Daffiliate%26utm_campaign%3Dpoke%2Bcottage","Basic Water Energy")</f>
        <v>Basic Water Energy</v>
      </c>
      <c r="D456" s="5" t="s">
        <v>289</v>
      </c>
      <c r="E456" s="5" t="s">
        <v>16</v>
      </c>
      <c r="F456" s="5"/>
      <c r="G456" s="5"/>
      <c r="H456" s="7"/>
    </row>
    <row r="457" customFormat="false" ht="32" hidden="false" customHeight="true" outlineLevel="0" collapsed="false">
      <c r="A457" s="1" t="s">
        <v>298</v>
      </c>
      <c r="B457" s="1"/>
      <c r="C457" s="1"/>
      <c r="D457" s="1"/>
      <c r="E457" s="1"/>
      <c r="F457" s="1"/>
      <c r="G457" s="1"/>
      <c r="H457" s="1"/>
    </row>
    <row r="458" customFormat="false" ht="30" hidden="false" customHeight="true" outlineLevel="0" collapsed="false">
      <c r="A458" s="4" t="s">
        <v>6</v>
      </c>
      <c r="B458" s="5" t="s">
        <v>299</v>
      </c>
      <c r="C458" s="6" t="str">
        <f aca="false">HYPERLINK("https://partner.tcgplayer.com/c/6278691/1780961/21018?u=https%3A%2F%2Fwww.tcgplayer.com%2Fproduct%2F501885%3Futm_source%3Dimpact%26utm_medium%3Daffiliate%26utm_campaign%3Dpoke%2Bcottage","Baxcalibur")</f>
        <v>Baxcalibur</v>
      </c>
      <c r="D458" s="5" t="s">
        <v>300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299</v>
      </c>
      <c r="C459" s="6" t="str">
        <f aca="false">HYPERLINK("https://partner.tcgplayer.com/c/6278691/1780961/21018?u=https%3A%2F%2Fwww.tcgplayer.com%2Fproduct%2F515202%3Futm_source%3Dimpact%26utm_medium%3Daffiliate%26utm_campaign%3Dpoke%2Bcottage","Baxcalibur - Staff")</f>
        <v>Baxcalibur - Staff</v>
      </c>
      <c r="D459" s="5" t="s">
        <v>301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302</v>
      </c>
      <c r="C460" s="6" t="str">
        <f aca="false">HYPERLINK("https://partner.tcgplayer.com/c/6278691/1780961/21018?u=https%3A%2F%2Fwww.tcgplayer.com%2Fproduct%2F501888%3Futm_source%3Dimpact%26utm_medium%3Daffiliate%26utm_campaign%3Dpoke%2Bcottage","Tinkaton")</f>
        <v>Tinkaton</v>
      </c>
      <c r="D460" s="5" t="s">
        <v>300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302</v>
      </c>
      <c r="C461" s="6" t="str">
        <f aca="false">HYPERLINK("https://partner.tcgplayer.com/c/6278691/1780961/21018?u=https%3A%2F%2Fwww.tcgplayer.com%2Fproduct%2F512506%3Futm_source%3Dimpact%26utm_medium%3Daffiliate%26utm_campaign%3Dpoke%2Bcottage","Tinkaton - Staff")</f>
        <v>Tinkaton - Staff</v>
      </c>
      <c r="D461" s="5" t="s">
        <v>301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303</v>
      </c>
      <c r="C462" s="6" t="str">
        <f aca="false">HYPERLINK("https://partner.tcgplayer.com/c/6278691/1780961/21018?u=https%3A%2F%2Fwww.tcgplayer.com%2Fproduct%2F501893%3Futm_source%3Dimpact%26utm_medium%3Daffiliate%26utm_campaign%3Dpoke%2Bcottage","Murkrow")</f>
        <v>Murkrow</v>
      </c>
      <c r="D462" s="5" t="s">
        <v>300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303</v>
      </c>
      <c r="C463" s="6" t="str">
        <f aca="false">HYPERLINK("https://partner.tcgplayer.com/c/6278691/1780961/21018?u=https%3A%2F%2Fwww.tcgplayer.com%2Fproduct%2F527563%3Futm_source%3Dimpact%26utm_medium%3Daffiliate%26utm_campaign%3Dpoke%2Bcottage","Murkrow - Staff")</f>
        <v>Murkrow - Staff</v>
      </c>
      <c r="D463" s="5" t="s">
        <v>301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304</v>
      </c>
      <c r="C464" s="6" t="str">
        <f aca="false">HYPERLINK("https://partner.tcgplayer.com/c/6278691/1780961/21018?u=https%3A%2F%2Fwww.tcgplayer.com%2Fproduct%2F501896%3Futm_source%3Dimpact%26utm_medium%3Daffiliate%26utm_campaign%3Dpoke%2Bcottage","Pelipper")</f>
        <v>Pelipper</v>
      </c>
      <c r="D464" s="5" t="s">
        <v>300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304</v>
      </c>
      <c r="C465" s="6" t="str">
        <f aca="false">HYPERLINK("https://partner.tcgplayer.com/c/6278691/1780961/21018?u=https%3A%2F%2Fwww.tcgplayer.com%2Fproduct%2F527564%3Futm_source%3Dimpact%26utm_medium%3Daffiliate%26utm_campaign%3Dpoke%2Bcottage","Pelipper - Staff")</f>
        <v>Pelipper - Staff</v>
      </c>
      <c r="D465" s="5" t="s">
        <v>301</v>
      </c>
      <c r="E465" s="5"/>
      <c r="F465" s="5"/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305</v>
      </c>
      <c r="C466" s="6" t="str">
        <f aca="false">HYPERLINK("https://partner.tcgplayer.com/c/6278691/1780961/21018?u=https%3A%2F%2Fwww.tcgplayer.com%2Fproduct%2F500833%3Futm_source%3Dimpact%26utm_medium%3Daffiliate%26utm_campaign%3Dpoke%2Bcottage","Smoliv")</f>
        <v>Smoliv</v>
      </c>
      <c r="D466" s="5" t="s">
        <v>306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307</v>
      </c>
      <c r="C467" s="6" t="str">
        <f aca="false">HYPERLINK("https://partner.tcgplayer.com/c/6278691/1780961/21018?u=https%3A%2F%2Fwww.tcgplayer.com%2Fproduct%2F500563%3Futm_source%3Dimpact%26utm_medium%3Daffiliate%26utm_campaign%3Dpoke%2Bcottage","Growlithe")</f>
        <v>Growlithe</v>
      </c>
      <c r="D467" s="5" t="s">
        <v>306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308</v>
      </c>
      <c r="C468" s="6" t="str">
        <f aca="false">HYPERLINK("https://partner.tcgplayer.com/c/6278691/1780961/21018?u=https%3A%2F%2Fwww.tcgplayer.com%2Fproduct%2F499996%3Futm_source%3Dimpact%26utm_medium%3Daffiliate%26utm_campaign%3Dpoke%2Bcottage","Tinkatink")</f>
        <v>Tinkatink</v>
      </c>
      <c r="D468" s="5" t="s">
        <v>309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310</v>
      </c>
      <c r="C469" s="6" t="str">
        <f aca="false">HYPERLINK("https://partner.tcgplayer.com/c/6278691/1780961/21018?u=https%3A%2F%2Fwww.tcgplayer.com%2Fproduct%2F532538%3Futm_source%3Dimpact%26utm_medium%3Daffiliate%26utm_campaign%3Dpoke%2Bcottage","Varoom")</f>
        <v>Varoom</v>
      </c>
      <c r="D469" s="5" t="s">
        <v>309</v>
      </c>
      <c r="E469" s="5"/>
      <c r="F469" s="5"/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311</v>
      </c>
      <c r="C470" s="6" t="str">
        <f aca="false">HYPERLINK("https://partner.tcgplayer.com/c/6278691/1780961/21018?u=https%3A%2F%2Fwww.tcgplayer.com%2Fproduct%2F500263%3Futm_source%3Dimpact%26utm_medium%3Daffiliate%26utm_campaign%3Dpoke%2Bcottage","Pikachu")</f>
        <v>Pikachu</v>
      </c>
      <c r="D470" s="5" t="s">
        <v>312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311</v>
      </c>
      <c r="C471" s="6" t="str">
        <f aca="false">HYPERLINK("https://partner.tcgplayer.com/c/6278691/1780961/21018?u=https%3A%2F%2Fwww.tcgplayer.com%2Fproduct%2F500264%3Futm_source%3Dimpact%26utm_medium%3Daffiliate%26utm_campaign%3Dpoke%2Bcottage","Pikachu - Pokemon Center Stamp")</f>
        <v>Pikachu - Pokemon Center Stamp</v>
      </c>
      <c r="D471" s="5" t="s">
        <v>313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314</v>
      </c>
      <c r="C472" s="6" t="str">
        <f aca="false">HYPERLINK("https://partner.tcgplayer.com/c/6278691/1780961/21018?u=https%3A%2F%2Fwww.tcgplayer.com%2Fproduct%2F500062%3Futm_source%3Dimpact%26utm_medium%3Daffiliate%26utm_campaign%3Dpoke%2Bcottage","Miraidon ex")</f>
        <v>Miraidon ex</v>
      </c>
      <c r="D472" s="5" t="s">
        <v>315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316</v>
      </c>
      <c r="C473" s="6" t="str">
        <f aca="false">HYPERLINK("https://partner.tcgplayer.com/c/6278691/1780961/21018?u=https%3A%2F%2Fwww.tcgplayer.com%2Fproduct%2F500070%3Futm_source%3Dimpact%26utm_medium%3Daffiliate%26utm_campaign%3Dpoke%2Bcottage","Koraidon ex")</f>
        <v>Koraidon ex</v>
      </c>
      <c r="D473" s="5" t="s">
        <v>315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317</v>
      </c>
      <c r="C474" s="6" t="str">
        <f aca="false">HYPERLINK("https://partner.tcgplayer.com/c/6278691/1780961/21018?u=https%3A%2F%2Fwww.tcgplayer.com%2Fproduct%2F505534%3Futm_source%3Dimpact%26utm_medium%3Daffiliate%26utm_campaign%3Dpoke%2Bcottage","Chien-Pao ex")</f>
        <v>Chien-Pao ex</v>
      </c>
      <c r="D474" s="5" t="s">
        <v>318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319</v>
      </c>
      <c r="C475" s="6" t="str">
        <f aca="false">HYPERLINK("https://partner.tcgplayer.com/c/6278691/1780961/21018?u=https%3A%2F%2Fwww.tcgplayer.com%2Fproduct%2F505537%3Futm_source%3Dimpact%26utm_medium%3Daffiliate%26utm_campaign%3Dpoke%2Bcottage","Tinkaton ex")</f>
        <v>Tinkaton ex</v>
      </c>
      <c r="D475" s="5" t="s">
        <v>320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321</v>
      </c>
      <c r="C476" s="6" t="str">
        <f aca="false">HYPERLINK("https://partner.tcgplayer.com/c/6278691/1780961/21018?u=https%3A%2F%2Fwww.tcgplayer.com%2Fproduct%2F502981%3Futm_source%3Dimpact%26utm_medium%3Daffiliate%26utm_campaign%3Dpoke%2Bcottage","Annihilape ex")</f>
        <v>Annihilape ex</v>
      </c>
      <c r="D476" s="5" t="s">
        <v>322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323</v>
      </c>
      <c r="C477" s="6" t="str">
        <f aca="false">HYPERLINK("https://partner.tcgplayer.com/c/6278691/1780961/21018?u=https%3A%2F%2Fwww.tcgplayer.com%2Fproduct%2F513876%3Futm_source%3Dimpact%26utm_medium%3Daffiliate%26utm_campaign%3Dpoke%2Bcottage","Meowscarada ex")</f>
        <v>Meowscarada ex</v>
      </c>
      <c r="D477" s="5" t="s">
        <v>324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325</v>
      </c>
      <c r="C478" s="6" t="str">
        <f aca="false">HYPERLINK("https://partner.tcgplayer.com/c/6278691/1780961/21018?u=https%3A%2F%2Fwww.tcgplayer.com%2Fproduct%2F513831%3Futm_source%3Dimpact%26utm_medium%3Daffiliate%26utm_campaign%3Dpoke%2Bcottage","Skeledirge ex")</f>
        <v>Skeledirge ex</v>
      </c>
      <c r="D478" s="5" t="s">
        <v>324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326</v>
      </c>
      <c r="C479" s="6" t="str">
        <f aca="false">HYPERLINK("https://partner.tcgplayer.com/c/6278691/1780961/21018?u=https%3A%2F%2Fwww.tcgplayer.com%2Fproduct%2F513874%3Futm_source%3Dimpact%26utm_medium%3Daffiliate%26utm_campaign%3Dpoke%2Bcottage","Quaquaval ex")</f>
        <v>Quaquaval ex</v>
      </c>
      <c r="D479" s="5" t="s">
        <v>324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18</v>
      </c>
      <c r="C480" s="6" t="str">
        <f aca="false">HYPERLINK("https://partner.tcgplayer.com/c/6278691/1780961/21018?u=https%3A%2F%2Fwww.tcgplayer.com%2Fproduct%2F546468%3Futm_source%3Dimpact%26utm_medium%3Daffiliate%26utm_campaign%3Dpoke%2Bcottage","Forretress ex")</f>
        <v>Forretress ex</v>
      </c>
      <c r="D480" s="5" t="s">
        <v>327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26</v>
      </c>
      <c r="C481" s="6" t="str">
        <f aca="false">HYPERLINK("https://partner.tcgplayer.com/c/6278691/1780961/21018?u=https%3A%2F%2Fwww.tcgplayer.com%2Fproduct%2F602874%3Futm_source%3Dimpact%26utm_medium%3Daffiliate%26utm_campaign%3Dpoke%2Bcottage","Sprigatito")</f>
        <v>Sprigatito</v>
      </c>
      <c r="D481" s="5" t="s">
        <v>328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26</v>
      </c>
      <c r="C482" s="6" t="str">
        <f aca="false">HYPERLINK("https://partner.tcgplayer.com/c/6278691/1780961/21018?u=https%3A%2F%2Fwww.tcgplayer.com%2Fproduct%2F568512%3Futm_source%3Dimpact%26utm_medium%3Daffiliate%26utm_campaign%3Dpoke%2Bcottage","Sprigatito")</f>
        <v>Sprigatito</v>
      </c>
      <c r="D482" s="5" t="s">
        <v>329</v>
      </c>
      <c r="E482" s="5"/>
      <c r="F482" s="5"/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27</v>
      </c>
      <c r="C483" s="6" t="str">
        <f aca="false">HYPERLINK("https://partner.tcgplayer.com/c/6278691/1780961/21018?u=https%3A%2F%2Fwww.tcgplayer.com%2Fproduct%2F505063%3Futm_source%3Dimpact%26utm_medium%3Daffiliate%26utm_campaign%3Dpoke%2Bcottage","Sprigatito")</f>
        <v>Sprigatito</v>
      </c>
      <c r="D483" s="5" t="s">
        <v>16</v>
      </c>
      <c r="E483" s="5"/>
      <c r="F483" s="5"/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29</v>
      </c>
      <c r="C484" s="6" t="str">
        <f aca="false">HYPERLINK("https://partner.tcgplayer.com/c/6278691/1780961/21018?u=https%3A%2F%2Fwww.tcgplayer.com%2Fproduct%2F538733%3Futm_source%3Dimpact%26utm_medium%3Daffiliate%26utm_campaign%3Dpoke%2Bcottage","Meowscarada ex")</f>
        <v>Meowscarada ex</v>
      </c>
      <c r="D484" s="5" t="s">
        <v>327</v>
      </c>
      <c r="E484" s="5"/>
      <c r="F484" s="5"/>
      <c r="G484" s="5"/>
      <c r="H484" s="7"/>
    </row>
    <row r="485" customFormat="false" ht="30" hidden="false" customHeight="true" outlineLevel="0" collapsed="false">
      <c r="A485" s="4" t="s">
        <v>6</v>
      </c>
      <c r="B485" s="5" t="s">
        <v>35</v>
      </c>
      <c r="C485" s="6" t="str">
        <f aca="false">HYPERLINK("https://partner.tcgplayer.com/c/6278691/1780961/21018?u=https%3A%2F%2Fwww.tcgplayer.com%2Fproduct%2F505065%3Futm_source%3Dimpact%26utm_medium%3Daffiliate%26utm_campaign%3Dpoke%2Bcottage","Lokix")</f>
        <v>Lokix</v>
      </c>
      <c r="D485" s="5" t="s">
        <v>330</v>
      </c>
      <c r="E485" s="5"/>
      <c r="F485" s="5"/>
      <c r="G485" s="5"/>
      <c r="H485" s="7"/>
    </row>
    <row r="486" customFormat="false" ht="30" hidden="false" customHeight="true" outlineLevel="0" collapsed="false">
      <c r="A486" s="4" t="s">
        <v>6</v>
      </c>
      <c r="B486" s="5" t="s">
        <v>48</v>
      </c>
      <c r="C486" s="6" t="str">
        <f aca="false">HYPERLINK("https://partner.tcgplayer.com/c/6278691/1780961/21018?u=https%3A%2F%2Fwww.tcgplayer.com%2Fproduct%2F505067%3Futm_source%3Dimpact%26utm_medium%3Daffiliate%26utm_campaign%3Dpoke%2Bcottage","Fuecoco")</f>
        <v>Fuecoco</v>
      </c>
      <c r="D486" s="5" t="s">
        <v>16</v>
      </c>
      <c r="E486" s="5"/>
      <c r="F486" s="5"/>
      <c r="G486" s="5"/>
      <c r="H486" s="7"/>
    </row>
    <row r="487" customFormat="false" ht="30" hidden="false" customHeight="true" outlineLevel="0" collapsed="false">
      <c r="A487" s="4" t="s">
        <v>6</v>
      </c>
      <c r="B487" s="5" t="s">
        <v>50</v>
      </c>
      <c r="C487" s="6" t="str">
        <f aca="false">HYPERLINK("https://partner.tcgplayer.com/c/6278691/1780961/21018?u=https%3A%2F%2Fwww.tcgplayer.com%2Fproduct%2F557007%3Futm_source%3Dimpact%26utm_medium%3Daffiliate%26utm_campaign%3Dpoke%2Bcottage","Crocalor")</f>
        <v>Crocalor</v>
      </c>
      <c r="D487" s="5" t="s">
        <v>331</v>
      </c>
      <c r="E487" s="5"/>
      <c r="F487" s="5"/>
      <c r="G487" s="5"/>
      <c r="H487" s="7"/>
    </row>
    <row r="488" customFormat="false" ht="30" hidden="false" customHeight="true" outlineLevel="0" collapsed="false">
      <c r="A488" s="4" t="s">
        <v>6</v>
      </c>
      <c r="B488" s="5" t="s">
        <v>50</v>
      </c>
      <c r="C488" s="6" t="str">
        <f aca="false">HYPERLINK("https://partner.tcgplayer.com/c/6278691/1780961/21018?u=https%3A%2F%2Fwww.tcgplayer.com%2Fproduct%2F557008%3Futm_source%3Dimpact%26utm_medium%3Daffiliate%26utm_campaign%3Dpoke%2Bcottage","Crocalor")</f>
        <v>Crocalor</v>
      </c>
      <c r="D488" s="5" t="s">
        <v>332</v>
      </c>
      <c r="E488" s="5"/>
      <c r="F488" s="5"/>
      <c r="G488" s="5"/>
      <c r="H488" s="7"/>
    </row>
    <row r="489" customFormat="false" ht="30" hidden="false" customHeight="true" outlineLevel="0" collapsed="false">
      <c r="A489" s="4" t="s">
        <v>6</v>
      </c>
      <c r="B489" s="5" t="s">
        <v>50</v>
      </c>
      <c r="C489" s="6" t="str">
        <f aca="false">HYPERLINK("https://partner.tcgplayer.com/c/6278691/1780961/21018?u=https%3A%2F%2Fwww.tcgplayer.com%2Fproduct%2F557009%3Futm_source%3Dimpact%26utm_medium%3Daffiliate%26utm_campaign%3Dpoke%2Bcottage","Crocalor")</f>
        <v>Crocalor</v>
      </c>
      <c r="D489" s="5" t="s">
        <v>333</v>
      </c>
      <c r="E489" s="5"/>
      <c r="F489" s="5"/>
      <c r="G489" s="5"/>
      <c r="H489" s="7"/>
    </row>
    <row r="490" customFormat="false" ht="30" hidden="false" customHeight="true" outlineLevel="0" collapsed="false">
      <c r="A490" s="4" t="s">
        <v>6</v>
      </c>
      <c r="B490" s="5" t="s">
        <v>51</v>
      </c>
      <c r="C490" s="6" t="str">
        <f aca="false">HYPERLINK("https://partner.tcgplayer.com/c/6278691/1780961/21018?u=https%3A%2F%2Fwww.tcgplayer.com%2Fproduct%2F538739%3Futm_source%3Dimpact%26utm_medium%3Daffiliate%26utm_campaign%3Dpoke%2Bcottage","Skeledirge ex")</f>
        <v>Skeledirge ex</v>
      </c>
      <c r="D490" s="5" t="s">
        <v>327</v>
      </c>
      <c r="E490" s="5"/>
      <c r="F490" s="5"/>
      <c r="G490" s="5"/>
      <c r="H490" s="7"/>
    </row>
    <row r="491" customFormat="false" ht="30" hidden="false" customHeight="true" outlineLevel="0" collapsed="false">
      <c r="A491" s="4" t="s">
        <v>6</v>
      </c>
      <c r="B491" s="5" t="s">
        <v>53</v>
      </c>
      <c r="C491" s="6" t="str">
        <f aca="false">HYPERLINK("https://partner.tcgplayer.com/c/6278691/1780961/21018?u=https%3A%2F%2Fwww.tcgplayer.com%2Fproduct%2F557004%3Futm_source%3Dimpact%26utm_medium%3Daffiliate%26utm_campaign%3Dpoke%2Bcottage","Charcadet")</f>
        <v>Charcadet</v>
      </c>
      <c r="D491" s="5" t="s">
        <v>334</v>
      </c>
      <c r="E491" s="5"/>
      <c r="F491" s="5"/>
      <c r="G491" s="5"/>
      <c r="H491" s="7"/>
    </row>
    <row r="492" customFormat="false" ht="30" hidden="false" customHeight="true" outlineLevel="0" collapsed="false">
      <c r="A492" s="4" t="s">
        <v>6</v>
      </c>
      <c r="B492" s="5" t="s">
        <v>53</v>
      </c>
      <c r="C492" s="6" t="str">
        <f aca="false">HYPERLINK("https://partner.tcgplayer.com/c/6278691/1780961/21018?u=https%3A%2F%2Fwww.tcgplayer.com%2Fproduct%2F557005%3Futm_source%3Dimpact%26utm_medium%3Daffiliate%26utm_campaign%3Dpoke%2Bcottage","Charcadet")</f>
        <v>Charcadet</v>
      </c>
      <c r="D492" s="5" t="s">
        <v>335</v>
      </c>
      <c r="E492" s="5"/>
      <c r="F492" s="5"/>
      <c r="G492" s="5"/>
      <c r="H492" s="7"/>
    </row>
    <row r="493" customFormat="false" ht="30" hidden="false" customHeight="true" outlineLevel="0" collapsed="false">
      <c r="A493" s="4" t="s">
        <v>6</v>
      </c>
      <c r="B493" s="5" t="s">
        <v>53</v>
      </c>
      <c r="C493" s="6" t="str">
        <f aca="false">HYPERLINK("https://partner.tcgplayer.com/c/6278691/1780961/21018?u=https%3A%2F%2Fwww.tcgplayer.com%2Fproduct%2F557006%3Futm_source%3Dimpact%26utm_medium%3Daffiliate%26utm_campaign%3Dpoke%2Bcottage","Charcadet")</f>
        <v>Charcadet</v>
      </c>
      <c r="D493" s="5" t="s">
        <v>336</v>
      </c>
      <c r="E493" s="5"/>
      <c r="F493" s="5"/>
      <c r="G493" s="5"/>
      <c r="H493" s="7"/>
    </row>
    <row r="494" customFormat="false" ht="30" hidden="false" customHeight="true" outlineLevel="0" collapsed="false">
      <c r="A494" s="4" t="s">
        <v>6</v>
      </c>
      <c r="B494" s="5" t="s">
        <v>57</v>
      </c>
      <c r="C494" s="5" t="s">
        <v>337</v>
      </c>
      <c r="D494" s="5" t="s">
        <v>338</v>
      </c>
      <c r="E494" s="5"/>
      <c r="F494" s="5" t="str">
        <f aca="false">HYPERLINK("https://www.ebay.com/sch/i.html?_nkw=Gyarados+Cosmos+Holo+Paldea+Evolved+43+pokemon+card&amp;_sacat=0&amp;_from=R40&amp;_trksid=p4624852.m570.l1313&amp;mkcid=1&amp;mkrid=711-53200-19255-0&amp;siteid=0&amp;campid=5339158445&amp;customid=pokecottage&amp;toolid=10001&amp;mkevt=1","FIND ON EBAY")</f>
        <v>FIND ON EBAY</v>
      </c>
      <c r="G494" s="5"/>
      <c r="H494" s="7"/>
    </row>
    <row r="495" customFormat="false" ht="30" hidden="false" customHeight="true" outlineLevel="0" collapsed="false">
      <c r="A495" s="4" t="s">
        <v>6</v>
      </c>
      <c r="B495" s="5" t="s">
        <v>60</v>
      </c>
      <c r="C495" s="6" t="str">
        <f aca="false">HYPERLINK("https://partner.tcgplayer.com/c/6278691/1780961/21018?u=https%3A%2F%2Fwww.tcgplayer.com%2Fproduct%2F650941%3Futm_source%3Dimpact%26utm_medium%3Daffiliate%26utm_campaign%3Dpoke%2Bcottage","Delibird")</f>
        <v>Delibird</v>
      </c>
      <c r="D495" s="5" t="s">
        <v>339</v>
      </c>
      <c r="E495" s="5"/>
      <c r="F495" s="5"/>
      <c r="G495" s="5"/>
      <c r="H495" s="7"/>
    </row>
    <row r="496" customFormat="false" ht="30" hidden="false" customHeight="true" outlineLevel="0" collapsed="false">
      <c r="A496" s="4" t="s">
        <v>6</v>
      </c>
      <c r="B496" s="5" t="s">
        <v>64</v>
      </c>
      <c r="C496" s="6" t="str">
        <f aca="false">HYPERLINK("https://partner.tcgplayer.com/c/6278691/1780961/21018?u=https%3A%2F%2Fwww.tcgplayer.com%2Fproduct%2F505069%3Futm_source%3Dimpact%26utm_medium%3Daffiliate%26utm_campaign%3Dpoke%2Bcottage","Quaxly")</f>
        <v>Quaxly</v>
      </c>
      <c r="D496" s="5" t="s">
        <v>16</v>
      </c>
      <c r="E496" s="5"/>
      <c r="F496" s="5"/>
      <c r="G496" s="5"/>
      <c r="H496" s="7"/>
    </row>
    <row r="497" customFormat="false" ht="30" hidden="false" customHeight="true" outlineLevel="0" collapsed="false">
      <c r="A497" s="4" t="s">
        <v>6</v>
      </c>
      <c r="B497" s="5" t="s">
        <v>64</v>
      </c>
      <c r="C497" s="6" t="str">
        <f aca="false">HYPERLINK("https://partner.tcgplayer.com/c/6278691/1780961/21018?u=https%3A%2F%2Fwww.tcgplayer.com%2Fproduct%2F568513%3Futm_source%3Dimpact%26utm_medium%3Daffiliate%26utm_campaign%3Dpoke%2Bcottage","Quaxly")</f>
        <v>Quaxly</v>
      </c>
      <c r="D497" s="5" t="s">
        <v>329</v>
      </c>
      <c r="E497" s="5"/>
      <c r="F497" s="5"/>
      <c r="G497" s="5"/>
      <c r="H497" s="7"/>
    </row>
    <row r="498" customFormat="false" ht="30" hidden="false" customHeight="true" outlineLevel="0" collapsed="false">
      <c r="A498" s="4" t="s">
        <v>6</v>
      </c>
      <c r="B498" s="5" t="s">
        <v>67</v>
      </c>
      <c r="C498" s="6" t="str">
        <f aca="false">HYPERLINK("https://partner.tcgplayer.com/c/6278691/1780961/21018?u=https%3A%2F%2Fwww.tcgplayer.com%2Fproduct%2F565438%3Futm_source%3Dimpact%26utm_medium%3Daffiliate%26utm_campaign%3Dpoke%2Bcottage","Cetoddle")</f>
        <v>Cetoddle</v>
      </c>
      <c r="D498" s="5" t="s">
        <v>340</v>
      </c>
      <c r="E498" s="5"/>
      <c r="F498" s="5"/>
      <c r="G498" s="5"/>
      <c r="H498" s="7"/>
    </row>
    <row r="499" customFormat="false" ht="30" hidden="false" customHeight="true" outlineLevel="0" collapsed="false">
      <c r="A499" s="4" t="s">
        <v>6</v>
      </c>
      <c r="B499" s="5" t="s">
        <v>72</v>
      </c>
      <c r="C499" s="6" t="str">
        <f aca="false">HYPERLINK("https://partner.tcgplayer.com/c/6278691/1780961/21018?u=https%3A%2F%2Fwww.tcgplayer.com%2Fproduct%2F565439%3Futm_source%3Dimpact%26utm_medium%3Daffiliate%26utm_campaign%3Dpoke%2Bcottage","Frigibax")</f>
        <v>Frigibax</v>
      </c>
      <c r="D499" s="5" t="s">
        <v>340</v>
      </c>
      <c r="E499" s="5"/>
      <c r="F499" s="5"/>
      <c r="G499" s="5"/>
      <c r="H499" s="7"/>
    </row>
    <row r="500" customFormat="false" ht="30" hidden="false" customHeight="true" outlineLevel="0" collapsed="false">
      <c r="A500" s="4" t="s">
        <v>6</v>
      </c>
      <c r="B500" s="5" t="s">
        <v>74</v>
      </c>
      <c r="C500" s="6" t="str">
        <f aca="false">HYPERLINK("https://partner.tcgplayer.com/c/6278691/1780961/21018?u=https%3A%2F%2Fwww.tcgplayer.com%2Fproduct%2F505070%3Futm_source%3Dimpact%26utm_medium%3Daffiliate%26utm_campaign%3Dpoke%2Bcottage","Baxcalibur")</f>
        <v>Baxcalibur</v>
      </c>
      <c r="D500" s="5" t="s">
        <v>341</v>
      </c>
      <c r="E500" s="5"/>
      <c r="F500" s="5"/>
      <c r="G500" s="5"/>
      <c r="H500" s="7"/>
    </row>
    <row r="501" customFormat="false" ht="30" hidden="false" customHeight="true" outlineLevel="0" collapsed="false">
      <c r="A501" s="4" t="s">
        <v>6</v>
      </c>
      <c r="B501" s="5" t="s">
        <v>74</v>
      </c>
      <c r="C501" s="5" t="s">
        <v>342</v>
      </c>
      <c r="D501" s="5" t="s">
        <v>338</v>
      </c>
      <c r="E501" s="5"/>
      <c r="F501" s="5" t="str">
        <f aca="false">HYPERLINK("https://www.ebay.com/sch/i.html?_nkw=Baxcalibur+Cosmos+Holo+Paldea+Evolved+60+pokemon+card&amp;_sacat=0&amp;_from=R40&amp;_trksid=p4624852.m570.l1313&amp;mkcid=1&amp;mkrid=711-53200-19255-0&amp;siteid=0&amp;campid=5339158445&amp;customid=pokecottage&amp;toolid=10001&amp;mkevt=1","FIND ON EBAY")</f>
        <v>FIND ON EBAY</v>
      </c>
      <c r="G501" s="5"/>
      <c r="H501" s="7"/>
    </row>
    <row r="502" customFormat="false" ht="30" hidden="false" customHeight="true" outlineLevel="0" collapsed="false">
      <c r="A502" s="4" t="s">
        <v>6</v>
      </c>
      <c r="B502" s="5" t="s">
        <v>74</v>
      </c>
      <c r="C502" s="6" t="str">
        <f aca="false">HYPERLINK("https://partner.tcgplayer.com/c/6278691/1780961/21018?u=https%3A%2F%2Fwww.tcgplayer.com%2Fproduct%2F538705%3Futm_source%3Dimpact%26utm_medium%3Daffiliate%26utm_campaign%3Dpoke%2Bcottage","Baxcalibur")</f>
        <v>Baxcalibur</v>
      </c>
      <c r="D502" s="5" t="s">
        <v>327</v>
      </c>
      <c r="E502" s="5"/>
      <c r="F502" s="5"/>
      <c r="G502" s="5"/>
      <c r="H502" s="7"/>
    </row>
    <row r="503" customFormat="false" ht="30" hidden="false" customHeight="true" outlineLevel="0" collapsed="false">
      <c r="A503" s="4" t="s">
        <v>6</v>
      </c>
      <c r="B503" s="5" t="s">
        <v>74</v>
      </c>
      <c r="C503" s="5" t="s">
        <v>342</v>
      </c>
      <c r="D503" s="5" t="s">
        <v>343</v>
      </c>
      <c r="E503" s="5"/>
      <c r="F503" s="5" t="str">
        <f aca="false">HYPERLINK("https://www.ebay.com/sch/i.html?_nkw=Baxcalibur+Pokemon+TCG+Gym+Paldea+Evolved+60+pokemon+card&amp;_sacat=0&amp;_from=R40&amp;_trksid=p4624852.m570.l1313&amp;mkcid=1&amp;mkrid=711-53200-19255-0&amp;siteid=0&amp;campid=5339158445&amp;customid=pokecottage&amp;toolid=10001&amp;mkevt=1","FIND ON EBAY")</f>
        <v>FIND ON EBAY</v>
      </c>
      <c r="G503" s="5"/>
      <c r="H503" s="7"/>
    </row>
    <row r="504" customFormat="false" ht="30" hidden="false" customHeight="true" outlineLevel="0" collapsed="false">
      <c r="A504" s="4" t="s">
        <v>6</v>
      </c>
      <c r="B504" s="5" t="s">
        <v>75</v>
      </c>
      <c r="C504" s="6" t="str">
        <f aca="false">HYPERLINK("https://partner.tcgplayer.com/c/6278691/1780961/21018?u=https%3A%2F%2Fwww.tcgplayer.com%2Fproduct%2F538710%3Futm_source%3Dimpact%26utm_medium%3Daffiliate%26utm_campaign%3Dpoke%2Bcottage","Chien-Pao ex")</f>
        <v>Chien-Pao ex</v>
      </c>
      <c r="D504" s="5" t="s">
        <v>327</v>
      </c>
      <c r="E504" s="5"/>
      <c r="F504" s="5"/>
      <c r="G504" s="5"/>
      <c r="H504" s="7"/>
    </row>
    <row r="505" customFormat="false" ht="30" hidden="false" customHeight="true" outlineLevel="0" collapsed="false">
      <c r="A505" s="4" t="s">
        <v>6</v>
      </c>
      <c r="B505" s="5" t="s">
        <v>75</v>
      </c>
      <c r="C505" s="6" t="str">
        <f aca="false">HYPERLINK("https://partner.tcgplayer.com/c/6278691/1780961/21018?u=https%3A%2F%2Fwww.tcgplayer.com%2Fproduct%2F565431%3Futm_source%3Dimpact%26utm_medium%3Daffiliate%26utm_campaign%3Dpoke%2Bcottage","Chien-Pao ex")</f>
        <v>Chien-Pao ex</v>
      </c>
      <c r="D505" s="5" t="s">
        <v>340</v>
      </c>
      <c r="E505" s="5"/>
      <c r="F505" s="5"/>
      <c r="G505" s="5"/>
      <c r="H505" s="7"/>
    </row>
    <row r="506" customFormat="false" ht="30" hidden="false" customHeight="true" outlineLevel="0" collapsed="false">
      <c r="A506" s="4" t="s">
        <v>6</v>
      </c>
      <c r="B506" s="5" t="s">
        <v>75</v>
      </c>
      <c r="C506" s="5" t="s">
        <v>344</v>
      </c>
      <c r="D506" s="5" t="s">
        <v>345</v>
      </c>
      <c r="E506" s="5"/>
      <c r="F506" s="5" t="str">
        <f aca="false">HYPERLINK("https://www.ebay.com/sch/i.html?_nkw=Chien-Pao+ex+Hong+Kong+National+Championships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06" s="5"/>
      <c r="H506" s="7"/>
    </row>
    <row r="507" customFormat="false" ht="30" hidden="false" customHeight="true" outlineLevel="0" collapsed="false">
      <c r="A507" s="4" t="s">
        <v>6</v>
      </c>
      <c r="B507" s="5" t="s">
        <v>75</v>
      </c>
      <c r="C507" s="5" t="s">
        <v>344</v>
      </c>
      <c r="D507" s="5" t="s">
        <v>346</v>
      </c>
      <c r="E507" s="5"/>
      <c r="F507" s="5" t="str">
        <f aca="false">HYPERLINK("https://www.ebay.com/sch/i.html?_nkw=Chien-Pao+ex+Hong+Kong+Regional+League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07" s="5"/>
      <c r="H507" s="7"/>
    </row>
    <row r="508" customFormat="false" ht="30" hidden="false" customHeight="true" outlineLevel="0" collapsed="false">
      <c r="A508" s="4" t="s">
        <v>6</v>
      </c>
      <c r="B508" s="5" t="s">
        <v>75</v>
      </c>
      <c r="C508" s="6" t="str">
        <f aca="false">HYPERLINK("https://partner.tcgplayer.com/c/6278691/1780961/21018?u=https%3A%2F%2Fwww.tcgplayer.com%2Fproduct%2F587370%3Futm_source%3Dimpact%26utm_medium%3Daffiliate%26utm_campaign%3Dpoke%2Bcottage","Chien-Pao ex")</f>
        <v>Chien-Pao ex</v>
      </c>
      <c r="D508" s="5" t="s">
        <v>347</v>
      </c>
      <c r="E508" s="5"/>
      <c r="F508" s="5"/>
      <c r="G508" s="5"/>
      <c r="H508" s="7"/>
    </row>
    <row r="509" customFormat="false" ht="30" hidden="false" customHeight="true" outlineLevel="0" collapsed="false">
      <c r="A509" s="4" t="s">
        <v>6</v>
      </c>
      <c r="B509" s="5" t="s">
        <v>75</v>
      </c>
      <c r="C509" s="5" t="s">
        <v>344</v>
      </c>
      <c r="D509" s="5" t="s">
        <v>348</v>
      </c>
      <c r="E509" s="5"/>
      <c r="F509" s="5" t="str">
        <f aca="false">HYPERLINK("https://www.ebay.com/sch/i.html?_nkw=Chien-Pao+ex+Malaysia+National+Championships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09" s="5"/>
      <c r="H509" s="7"/>
    </row>
    <row r="510" customFormat="false" ht="30" hidden="false" customHeight="true" outlineLevel="0" collapsed="false">
      <c r="A510" s="4" t="s">
        <v>6</v>
      </c>
      <c r="B510" s="5" t="s">
        <v>75</v>
      </c>
      <c r="C510" s="5" t="s">
        <v>344</v>
      </c>
      <c r="D510" s="5" t="s">
        <v>349</v>
      </c>
      <c r="E510" s="5"/>
      <c r="F510" s="5" t="str">
        <f aca="false">HYPERLINK("https://www.ebay.com/sch/i.html?_nkw=Chien-Pao+ex+Malaysia+Regional+League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10" s="5"/>
      <c r="H510" s="7"/>
    </row>
    <row r="511" customFormat="false" ht="30" hidden="false" customHeight="true" outlineLevel="0" collapsed="false">
      <c r="A511" s="4" t="s">
        <v>6</v>
      </c>
      <c r="B511" s="5" t="s">
        <v>75</v>
      </c>
      <c r="C511" s="5" t="s">
        <v>344</v>
      </c>
      <c r="D511" s="5" t="s">
        <v>350</v>
      </c>
      <c r="E511" s="5"/>
      <c r="F511" s="5" t="str">
        <f aca="false">HYPERLINK("https://www.ebay.com/sch/i.html?_nkw=Chien-Pao+ex+Philippines+National+Championships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11" s="5"/>
      <c r="H511" s="7"/>
    </row>
    <row r="512" customFormat="false" ht="30" hidden="false" customHeight="true" outlineLevel="0" collapsed="false">
      <c r="A512" s="4" t="s">
        <v>6</v>
      </c>
      <c r="B512" s="5" t="s">
        <v>75</v>
      </c>
      <c r="C512" s="5" t="s">
        <v>344</v>
      </c>
      <c r="D512" s="5" t="s">
        <v>351</v>
      </c>
      <c r="E512" s="5"/>
      <c r="F512" s="5" t="str">
        <f aca="false">HYPERLINK("https://www.ebay.com/sch/i.html?_nkw=Chien-Pao+ex+Philippines+Regional+League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12" s="5"/>
      <c r="H512" s="7"/>
    </row>
    <row r="513" customFormat="false" ht="30" hidden="false" customHeight="true" outlineLevel="0" collapsed="false">
      <c r="A513" s="4" t="s">
        <v>6</v>
      </c>
      <c r="B513" s="5" t="s">
        <v>75</v>
      </c>
      <c r="C513" s="5" t="s">
        <v>344</v>
      </c>
      <c r="D513" s="5" t="s">
        <v>352</v>
      </c>
      <c r="E513" s="5"/>
      <c r="F513" s="5" t="str">
        <f aca="false">HYPERLINK("https://www.ebay.com/sch/i.html?_nkw=Chien-Pao+ex+Singapore+National+Championships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13" s="5"/>
      <c r="H513" s="7"/>
    </row>
    <row r="514" customFormat="false" ht="30" hidden="false" customHeight="true" outlineLevel="0" collapsed="false">
      <c r="A514" s="4" t="s">
        <v>6</v>
      </c>
      <c r="B514" s="5" t="s">
        <v>75</v>
      </c>
      <c r="C514" s="5" t="s">
        <v>344</v>
      </c>
      <c r="D514" s="5" t="s">
        <v>353</v>
      </c>
      <c r="E514" s="5"/>
      <c r="F514" s="5" t="str">
        <f aca="false">HYPERLINK("https://www.ebay.com/sch/i.html?_nkw=Chien-Pao+ex+Singapore+Regional+League+Paldea+Evolved+61+pokemon+card&amp;_sacat=0&amp;_from=R40&amp;_trksid=p4624852.m570.l1313&amp;mkcid=1&amp;mkrid=711-53200-19255-0&amp;siteid=0&amp;campid=5339158445&amp;customid=pokecottage&amp;toolid=10001&amp;mkevt=1","FIND ON EBAY")</f>
        <v>FIND ON EBAY</v>
      </c>
      <c r="G514" s="5"/>
      <c r="H514" s="7"/>
    </row>
    <row r="515" customFormat="false" ht="30" hidden="false" customHeight="true" outlineLevel="0" collapsed="false">
      <c r="A515" s="4" t="s">
        <v>6</v>
      </c>
      <c r="B515" s="5" t="s">
        <v>76</v>
      </c>
      <c r="C515" s="6" t="str">
        <f aca="false">HYPERLINK("https://partner.tcgplayer.com/c/6278691/1780961/21018?u=https%3A%2F%2Fwww.tcgplayer.com%2Fproduct%2F593275%3Futm_source%3Dimpact%26utm_medium%3Daffiliate%26utm_campaign%3Dpoke%2Bcottage","Pikachu")</f>
        <v>Pikachu</v>
      </c>
      <c r="D515" s="5" t="s">
        <v>354</v>
      </c>
      <c r="E515" s="5"/>
      <c r="F515" s="5"/>
      <c r="G515" s="5"/>
      <c r="H515" s="7"/>
    </row>
    <row r="516" customFormat="false" ht="30" hidden="false" customHeight="true" outlineLevel="0" collapsed="false">
      <c r="A516" s="4" t="s">
        <v>6</v>
      </c>
      <c r="B516" s="5" t="s">
        <v>76</v>
      </c>
      <c r="C516" s="6" t="str">
        <f aca="false">HYPERLINK("https://partner.tcgplayer.com/c/6278691/1780961/21018?u=https%3A%2F%2Fwww.tcgplayer.com%2Fproduct%2F515654%3Futm_source%3Dimpact%26utm_medium%3Daffiliate%26utm_campaign%3Dpoke%2Bcottage","Pikachu")</f>
        <v>Pikachu</v>
      </c>
      <c r="D516" s="5" t="s">
        <v>355</v>
      </c>
      <c r="E516" s="5"/>
      <c r="F516" s="5"/>
      <c r="G516" s="5"/>
      <c r="H516" s="7"/>
    </row>
    <row r="517" customFormat="false" ht="30" hidden="false" customHeight="true" outlineLevel="0" collapsed="false">
      <c r="A517" s="4" t="s">
        <v>6</v>
      </c>
      <c r="B517" s="5" t="s">
        <v>77</v>
      </c>
      <c r="C517" s="6" t="str">
        <f aca="false">HYPERLINK("https://partner.tcgplayer.com/c/6278691/1780961/21018?u=https%3A%2F%2Fwww.tcgplayer.com%2Fproduct%2F565437%3Futm_source%3Dimpact%26utm_medium%3Daffiliate%26utm_campaign%3Dpoke%2Bcottage","Pikachu ex")</f>
        <v>Pikachu ex</v>
      </c>
      <c r="D517" s="5" t="s">
        <v>340</v>
      </c>
      <c r="E517" s="5"/>
      <c r="F517" s="5"/>
      <c r="G517" s="5"/>
      <c r="H517" s="7"/>
    </row>
    <row r="518" customFormat="false" ht="30" hidden="false" customHeight="true" outlineLevel="0" collapsed="false">
      <c r="A518" s="4" t="s">
        <v>6</v>
      </c>
      <c r="B518" s="5" t="s">
        <v>80</v>
      </c>
      <c r="C518" s="6" t="str">
        <f aca="false">HYPERLINK("https://partner.tcgplayer.com/c/6278691/1780961/21018?u=https%3A%2F%2Fwww.tcgplayer.com%2Fproduct%2F651981%3Futm_source%3Dimpact%26utm_medium%3Daffiliate%26utm_campaign%3Dpoke%2Bcottage","Voltorb")</f>
        <v>Voltorb</v>
      </c>
      <c r="D518" s="5" t="s">
        <v>356</v>
      </c>
      <c r="E518" s="5"/>
      <c r="F518" s="5"/>
      <c r="G518" s="5"/>
      <c r="H518" s="7"/>
    </row>
    <row r="519" customFormat="false" ht="30" hidden="false" customHeight="true" outlineLevel="0" collapsed="false">
      <c r="A519" s="4" t="s">
        <v>6</v>
      </c>
      <c r="B519" s="5" t="s">
        <v>80</v>
      </c>
      <c r="C519" s="6" t="str">
        <f aca="false">HYPERLINK("https://partner.tcgplayer.com/c/6278691/1780961/21018?u=https%3A%2F%2Fwww.tcgplayer.com%2Fproduct%2F556937%3Futm_source%3Dimpact%26utm_medium%3Daffiliate%26utm_campaign%3Dpoke%2Bcottage","Voltorb")</f>
        <v>Voltorb</v>
      </c>
      <c r="D519" s="5" t="s">
        <v>357</v>
      </c>
      <c r="E519" s="5"/>
      <c r="F519" s="5"/>
      <c r="G519" s="5"/>
      <c r="H519" s="7"/>
    </row>
    <row r="520" customFormat="false" ht="30" hidden="false" customHeight="true" outlineLevel="0" collapsed="false">
      <c r="A520" s="4" t="s">
        <v>6</v>
      </c>
      <c r="B520" s="5" t="s">
        <v>80</v>
      </c>
      <c r="C520" s="6" t="str">
        <f aca="false">HYPERLINK("https://partner.tcgplayer.com/c/6278691/1780961/21018?u=https%3A%2F%2Fwww.tcgplayer.com%2Fproduct%2F556939%3Futm_source%3Dimpact%26utm_medium%3Daffiliate%26utm_campaign%3Dpoke%2Bcottage","Voltorb")</f>
        <v>Voltorb</v>
      </c>
      <c r="D520" s="5" t="s">
        <v>358</v>
      </c>
      <c r="E520" s="5"/>
      <c r="F520" s="5"/>
      <c r="G520" s="5"/>
      <c r="H520" s="7"/>
    </row>
    <row r="521" customFormat="false" ht="30" hidden="false" customHeight="true" outlineLevel="0" collapsed="false">
      <c r="A521" s="4" t="s">
        <v>6</v>
      </c>
      <c r="B521" s="5" t="s">
        <v>80</v>
      </c>
      <c r="C521" s="6" t="str">
        <f aca="false">HYPERLINK("https://partner.tcgplayer.com/c/6278691/1780961/21018?u=https%3A%2F%2Fwww.tcgplayer.com%2Fproduct%2F556940%3Futm_source%3Dimpact%26utm_medium%3Daffiliate%26utm_campaign%3Dpoke%2Bcottage","Voltorb")</f>
        <v>Voltorb</v>
      </c>
      <c r="D521" s="5" t="s">
        <v>359</v>
      </c>
      <c r="E521" s="5"/>
      <c r="F521" s="5"/>
      <c r="G521" s="5"/>
      <c r="H521" s="7"/>
    </row>
    <row r="522" customFormat="false" ht="30" hidden="false" customHeight="true" outlineLevel="0" collapsed="false">
      <c r="A522" s="4" t="s">
        <v>6</v>
      </c>
      <c r="B522" s="5" t="s">
        <v>80</v>
      </c>
      <c r="C522" s="6" t="str">
        <f aca="false">HYPERLINK("https://partner.tcgplayer.com/c/6278691/1780961/21018?u=https%3A%2F%2Fwww.tcgplayer.com%2Fproduct%2F556941%3Futm_source%3Dimpact%26utm_medium%3Daffiliate%26utm_campaign%3Dpoke%2Bcottage","Voltorb")</f>
        <v>Voltorb</v>
      </c>
      <c r="D522" s="5" t="s">
        <v>360</v>
      </c>
      <c r="E522" s="5"/>
      <c r="F522" s="5"/>
      <c r="G522" s="5"/>
      <c r="H522" s="7"/>
    </row>
    <row r="523" customFormat="false" ht="30" hidden="false" customHeight="true" outlineLevel="0" collapsed="false">
      <c r="A523" s="4" t="s">
        <v>6</v>
      </c>
      <c r="B523" s="5" t="s">
        <v>81</v>
      </c>
      <c r="C523" s="6" t="str">
        <f aca="false">HYPERLINK("https://partner.tcgplayer.com/c/6278691/1780961/21018?u=https%3A%2F%2Fwww.tcgplayer.com%2Fproduct%2F556889%3Futm_source%3Dimpact%26utm_medium%3Daffiliate%26utm_campaign%3Dpoke%2Bcottage","Electrode")</f>
        <v>Electrode</v>
      </c>
      <c r="D523" s="5" t="s">
        <v>361</v>
      </c>
      <c r="E523" s="5"/>
      <c r="F523" s="5"/>
      <c r="G523" s="5"/>
      <c r="H523" s="7"/>
    </row>
    <row r="524" customFormat="false" ht="30" hidden="false" customHeight="true" outlineLevel="0" collapsed="false">
      <c r="A524" s="4" t="s">
        <v>6</v>
      </c>
      <c r="B524" s="5" t="s">
        <v>81</v>
      </c>
      <c r="C524" s="5" t="s">
        <v>362</v>
      </c>
      <c r="D524" s="5" t="s">
        <v>363</v>
      </c>
      <c r="E524" s="5"/>
      <c r="F524" s="5" t="str">
        <f aca="false">HYPERLINK("https://www.ebay.com/sch/i.html?_nkw=Electrode+Battle+Academy+2024+Pikachu+Deck+Stamp+56+Paldea+Evolved+67+pokemon+card&amp;_sacat=0&amp;_from=R40&amp;_trksid=p4624852.m570.l1313&amp;mkcid=1&amp;mkrid=711-53200-19255-0&amp;siteid=0&amp;campid=5339158445&amp;customid=pokecottage&amp;toolid=10001&amp;mkevt=1","FIND ON EBAY")</f>
        <v>FIND ON EBAY</v>
      </c>
      <c r="G524" s="5"/>
      <c r="H524" s="7"/>
    </row>
    <row r="525" customFormat="false" ht="30" hidden="false" customHeight="true" outlineLevel="0" collapsed="false">
      <c r="A525" s="4" t="s">
        <v>6</v>
      </c>
      <c r="B525" s="5" t="s">
        <v>81</v>
      </c>
      <c r="C525" s="6" t="str">
        <f aca="false">HYPERLINK("https://partner.tcgplayer.com/c/6278691/1780961/21018?u=https%3A%2F%2Fwww.tcgplayer.com%2Fproduct%2F556887%3Futm_source%3Dimpact%26utm_medium%3Daffiliate%26utm_campaign%3Dpoke%2Bcottage","Electrode")</f>
        <v>Electrode</v>
      </c>
      <c r="D525" s="5" t="s">
        <v>364</v>
      </c>
      <c r="E525" s="5"/>
      <c r="F525" s="5"/>
      <c r="G525" s="5"/>
      <c r="H525" s="7"/>
    </row>
    <row r="526" customFormat="false" ht="30" hidden="false" customHeight="true" outlineLevel="0" collapsed="false">
      <c r="A526" s="4" t="s">
        <v>6</v>
      </c>
      <c r="B526" s="5" t="s">
        <v>85</v>
      </c>
      <c r="C526" s="6" t="str">
        <f aca="false">HYPERLINK("https://partner.tcgplayer.com/c/6278691/1780961/21018?u=https%3A%2F%2Fwww.tcgplayer.com%2Fproduct%2F549291%3Futm_source%3Dimpact%26utm_medium%3Daffiliate%26utm_campaign%3Dpoke%2Bcottage","Luxray")</f>
        <v>Luxray</v>
      </c>
      <c r="D526" s="5" t="s">
        <v>338</v>
      </c>
      <c r="E526" s="5"/>
      <c r="F526" s="5"/>
      <c r="G526" s="5"/>
      <c r="H526" s="7"/>
    </row>
    <row r="527" customFormat="false" ht="30" hidden="false" customHeight="true" outlineLevel="0" collapsed="false">
      <c r="A527" s="4" t="s">
        <v>6</v>
      </c>
      <c r="B527" s="5" t="s">
        <v>85</v>
      </c>
      <c r="C527" s="6" t="str">
        <f aca="false">HYPERLINK("https://partner.tcgplayer.com/c/6278691/1780961/21018?u=https%3A%2F%2Fwww.tcgplayer.com%2Fproduct%2F542319%3Futm_source%3Dimpact%26utm_medium%3Daffiliate%26utm_campaign%3Dpoke%2Bcottage","Luxray")</f>
        <v>Luxray</v>
      </c>
      <c r="D527" s="5" t="s">
        <v>327</v>
      </c>
      <c r="E527" s="5"/>
      <c r="F527" s="5"/>
      <c r="G527" s="5"/>
      <c r="H527" s="7"/>
    </row>
    <row r="528" customFormat="false" ht="30" hidden="false" customHeight="true" outlineLevel="0" collapsed="false">
      <c r="A528" s="4" t="s">
        <v>6</v>
      </c>
      <c r="B528" s="5" t="s">
        <v>85</v>
      </c>
      <c r="C528" s="5" t="s">
        <v>365</v>
      </c>
      <c r="D528" s="5" t="s">
        <v>343</v>
      </c>
      <c r="E528" s="5"/>
      <c r="F528" s="5" t="str">
        <f aca="false">HYPERLINK("https://www.ebay.com/sch/i.html?_nkw=Luxray+Pokemon+TCG+Gym+Paldea+Evolved+71+pokemon+card&amp;_sacat=0&amp;_from=R40&amp;_trksid=p4624852.m570.l1313&amp;mkcid=1&amp;mkrid=711-53200-19255-0&amp;siteid=0&amp;campid=5339158445&amp;customid=pokecottage&amp;toolid=10001&amp;mkevt=1","FIND ON EBAY")</f>
        <v>FIND ON EBAY</v>
      </c>
      <c r="G528" s="5"/>
      <c r="H528" s="7"/>
    </row>
    <row r="529" customFormat="false" ht="30" hidden="false" customHeight="true" outlineLevel="0" collapsed="false">
      <c r="A529" s="4" t="s">
        <v>6</v>
      </c>
      <c r="B529" s="5" t="s">
        <v>88</v>
      </c>
      <c r="C529" s="6" t="str">
        <f aca="false">HYPERLINK("https://partner.tcgplayer.com/c/6278691/1780961/21018?u=https%3A%2F%2Fwww.tcgplayer.com%2Fproduct%2F543583%3Futm_source%3Dimpact%26utm_medium%3Daffiliate%26utm_campaign%3Dpoke%2Bcottage","Pawmi")</f>
        <v>Pawmi</v>
      </c>
      <c r="D529" s="5" t="s">
        <v>338</v>
      </c>
      <c r="E529" s="5"/>
      <c r="F529" s="5"/>
      <c r="G529" s="5"/>
      <c r="H529" s="7"/>
    </row>
    <row r="530" customFormat="false" ht="30" hidden="false" customHeight="true" outlineLevel="0" collapsed="false">
      <c r="A530" s="4" t="s">
        <v>6</v>
      </c>
      <c r="B530" s="5" t="s">
        <v>89</v>
      </c>
      <c r="C530" s="6" t="str">
        <f aca="false">HYPERLINK("https://partner.tcgplayer.com/c/6278691/1780961/21018?u=https%3A%2F%2Fwww.tcgplayer.com%2Fproduct%2F543584%3Futm_source%3Dimpact%26utm_medium%3Daffiliate%26utm_campaign%3Dpoke%2Bcottage","Pawmo")</f>
        <v>Pawmo</v>
      </c>
      <c r="D530" s="5" t="s">
        <v>338</v>
      </c>
      <c r="E530" s="5"/>
      <c r="F530" s="5"/>
      <c r="G530" s="5"/>
      <c r="H530" s="7"/>
    </row>
    <row r="531" customFormat="false" ht="30" hidden="false" customHeight="true" outlineLevel="0" collapsed="false">
      <c r="A531" s="4" t="s">
        <v>6</v>
      </c>
      <c r="B531" s="5" t="s">
        <v>90</v>
      </c>
      <c r="C531" s="6" t="str">
        <f aca="false">HYPERLINK("https://partner.tcgplayer.com/c/6278691/1780961/21018?u=https%3A%2F%2Fwww.tcgplayer.com%2Fproduct%2F515435%3Futm_source%3Dimpact%26utm_medium%3Daffiliate%26utm_campaign%3Dpoke%2Bcottage","Pawmot")</f>
        <v>Pawmot</v>
      </c>
      <c r="D531" s="5" t="s">
        <v>366</v>
      </c>
      <c r="E531" s="5"/>
      <c r="F531" s="5"/>
      <c r="G531" s="5"/>
      <c r="H531" s="7"/>
    </row>
    <row r="532" customFormat="false" ht="30" hidden="false" customHeight="true" outlineLevel="0" collapsed="false">
      <c r="A532" s="4" t="s">
        <v>6</v>
      </c>
      <c r="B532" s="5" t="s">
        <v>96</v>
      </c>
      <c r="C532" s="5" t="s">
        <v>367</v>
      </c>
      <c r="D532" s="5" t="s">
        <v>368</v>
      </c>
      <c r="E532" s="5"/>
      <c r="F532" s="5" t="str">
        <f aca="false">HYPERLINK("https://www.ebay.com/sch/i.html?_nkw=Kilowattrel+Battle+Academy+2024+Pikachu+Deck+Paldea+Evolved+82+pokemon+card&amp;_sacat=0&amp;_from=R40&amp;_trksid=p4624852.m570.l1313&amp;mkcid=1&amp;mkrid=711-53200-19255-0&amp;siteid=0&amp;campid=5339158445&amp;customid=pokecottage&amp;toolid=10001&amp;mkevt=1","FIND ON EBAY")</f>
        <v>FIND ON EBAY</v>
      </c>
      <c r="G532" s="5"/>
      <c r="H532" s="7"/>
    </row>
    <row r="533" customFormat="false" ht="30" hidden="false" customHeight="true" outlineLevel="0" collapsed="false">
      <c r="A533" s="4" t="s">
        <v>6</v>
      </c>
      <c r="B533" s="5" t="s">
        <v>102</v>
      </c>
      <c r="C533" s="6" t="str">
        <f aca="false">HYPERLINK("https://partner.tcgplayer.com/c/6278691/1780961/21018?u=https%3A%2F%2Fwww.tcgplayer.com%2Fproduct%2F515668%3Futm_source%3Dimpact%26utm_medium%3Daffiliate%26utm_campaign%3Dpoke%2Bcottage","Mismagius")</f>
        <v>Mismagius</v>
      </c>
      <c r="D533" s="5" t="s">
        <v>355</v>
      </c>
      <c r="E533" s="5"/>
      <c r="F533" s="5"/>
      <c r="G533" s="5"/>
      <c r="H533" s="7"/>
    </row>
    <row r="534" customFormat="false" ht="30" hidden="false" customHeight="true" outlineLevel="0" collapsed="false">
      <c r="A534" s="4" t="s">
        <v>6</v>
      </c>
      <c r="B534" s="5" t="s">
        <v>103</v>
      </c>
      <c r="C534" s="6" t="str">
        <f aca="false">HYPERLINK("https://partner.tcgplayer.com/c/6278691/1780961/21018?u=https%3A%2F%2Fwww.tcgplayer.com%2Fproduct%2F538740%3Futm_source%3Dimpact%26utm_medium%3Daffiliate%26utm_campaign%3Dpoke%2Bcottage","Spiritomb")</f>
        <v>Spiritomb</v>
      </c>
      <c r="D534" s="5" t="s">
        <v>369</v>
      </c>
      <c r="E534" s="5"/>
      <c r="F534" s="5"/>
      <c r="G534" s="5"/>
      <c r="H534" s="7"/>
    </row>
    <row r="535" customFormat="false" ht="30" hidden="false" customHeight="true" outlineLevel="0" collapsed="false">
      <c r="A535" s="4" t="s">
        <v>6</v>
      </c>
      <c r="B535" s="5" t="s">
        <v>107</v>
      </c>
      <c r="C535" s="6" t="str">
        <f aca="false">HYPERLINK("https://partner.tcgplayer.com/c/6278691/1780961/21018?u=https%3A%2F%2Fwww.tcgplayer.com%2Fproduct%2F538721%3Futm_source%3Dimpact%26utm_medium%3Daffiliate%26utm_campaign%3Dpoke%2Bcottage","Dedenne ex")</f>
        <v>Dedenne ex</v>
      </c>
      <c r="D535" s="5" t="s">
        <v>327</v>
      </c>
      <c r="E535" s="5"/>
      <c r="F535" s="5"/>
      <c r="G535" s="5"/>
      <c r="H535" s="7"/>
    </row>
    <row r="536" customFormat="false" ht="30" hidden="false" customHeight="true" outlineLevel="0" collapsed="false">
      <c r="A536" s="4" t="s">
        <v>6</v>
      </c>
      <c r="B536" s="5" t="s">
        <v>111</v>
      </c>
      <c r="C536" s="6" t="str">
        <f aca="false">HYPERLINK("https://partner.tcgplayer.com/c/6278691/1780961/21018?u=https%3A%2F%2Fwww.tcgplayer.com%2Fproduct%2F538734%3Futm_source%3Dimpact%26utm_medium%3Daffiliate%26utm_campaign%3Dpoke%2Bcottage","Mimikyu")</f>
        <v>Mimikyu</v>
      </c>
      <c r="D536" s="5" t="s">
        <v>327</v>
      </c>
      <c r="E536" s="5"/>
      <c r="F536" s="5"/>
      <c r="G536" s="5"/>
      <c r="H536" s="7"/>
    </row>
    <row r="537" customFormat="false" ht="30" hidden="false" customHeight="true" outlineLevel="0" collapsed="false">
      <c r="A537" s="4" t="s">
        <v>6</v>
      </c>
      <c r="B537" s="5" t="s">
        <v>111</v>
      </c>
      <c r="C537" s="5" t="s">
        <v>370</v>
      </c>
      <c r="D537" s="5" t="s">
        <v>343</v>
      </c>
      <c r="E537" s="5"/>
      <c r="F537" s="5" t="str">
        <f aca="false">HYPERLINK("https://www.ebay.com/sch/i.html?_nkw=Mimikyu+Pokemon+TCG+Gym+Paldea+Evolved+97+pokemon+card&amp;_sacat=0&amp;_from=R40&amp;_trksid=p4624852.m570.l1313&amp;mkcid=1&amp;mkrid=711-53200-19255-0&amp;siteid=0&amp;campid=5339158445&amp;customid=pokecottage&amp;toolid=10001&amp;mkevt=1","FIND ON EBAY")</f>
        <v>FIND ON EBAY</v>
      </c>
      <c r="G537" s="5"/>
      <c r="H537" s="7"/>
    </row>
    <row r="538" customFormat="false" ht="30" hidden="false" customHeight="true" outlineLevel="0" collapsed="false">
      <c r="A538" s="4" t="s">
        <v>6</v>
      </c>
      <c r="B538" s="5" t="s">
        <v>111</v>
      </c>
      <c r="C538" s="6" t="str">
        <f aca="false">HYPERLINK("https://partner.tcgplayer.com/c/6278691/1780961/21018?u=https%3A%2F%2Fwww.tcgplayer.com%2Fproduct%2F515672%3Futm_source%3Dimpact%26utm_medium%3Daffiliate%26utm_campaign%3Dpoke%2Bcottage","Mimikyu")</f>
        <v>Mimikyu</v>
      </c>
      <c r="D538" s="5" t="s">
        <v>355</v>
      </c>
      <c r="E538" s="5"/>
      <c r="F538" s="5"/>
      <c r="G538" s="5"/>
      <c r="H538" s="7"/>
    </row>
    <row r="539" customFormat="false" ht="30" hidden="false" customHeight="true" outlineLevel="0" collapsed="false">
      <c r="A539" s="4" t="s">
        <v>6</v>
      </c>
      <c r="B539" s="5" t="s">
        <v>112</v>
      </c>
      <c r="C539" s="6" t="str">
        <f aca="false">HYPERLINK("https://partner.tcgplayer.com/c/6278691/1780961/21018?u=https%3A%2F%2Fwww.tcgplayer.com%2Fproduct%2F538029%3Futm_source%3Dimpact%26utm_medium%3Daffiliate%26utm_campaign%3Dpoke%2Bcottage","Ceruledge")</f>
        <v>Ceruledge</v>
      </c>
      <c r="D539" s="5" t="s">
        <v>338</v>
      </c>
      <c r="E539" s="5"/>
      <c r="F539" s="5"/>
      <c r="G539" s="5"/>
      <c r="H539" s="7"/>
    </row>
    <row r="540" customFormat="false" ht="30" hidden="false" customHeight="true" outlineLevel="0" collapsed="false">
      <c r="A540" s="4" t="s">
        <v>6</v>
      </c>
      <c r="B540" s="5" t="s">
        <v>119</v>
      </c>
      <c r="C540" s="5" t="s">
        <v>371</v>
      </c>
      <c r="D540" s="5" t="s">
        <v>338</v>
      </c>
      <c r="E540" s="5"/>
      <c r="F540" s="5" t="str">
        <f aca="false">HYPERLINK("https://www.ebay.com/sch/i.html?_nkw=Tinkaton+Cosmos+Holo+Paldea+Evolved+105+pokemon+card&amp;_sacat=0&amp;_from=R40&amp;_trksid=p4624852.m570.l1313&amp;mkcid=1&amp;mkrid=711-53200-19255-0&amp;siteid=0&amp;campid=5339158445&amp;customid=pokecottage&amp;toolid=10001&amp;mkevt=1","FIND ON EBAY")</f>
        <v>FIND ON EBAY</v>
      </c>
      <c r="G540" s="5"/>
      <c r="H540" s="7"/>
    </row>
    <row r="541" customFormat="false" ht="30" hidden="false" customHeight="true" outlineLevel="0" collapsed="false">
      <c r="A541" s="4" t="s">
        <v>6</v>
      </c>
      <c r="B541" s="5" t="s">
        <v>119</v>
      </c>
      <c r="C541" s="6" t="str">
        <f aca="false">HYPERLINK("https://partner.tcgplayer.com/c/6278691/1780961/21018?u=https%3A%2F%2Fwww.tcgplayer.com%2Fproduct%2F505071%3Futm_source%3Dimpact%26utm_medium%3Daffiliate%26utm_campaign%3Dpoke%2Bcottage","Tinkaton")</f>
        <v>Tinkaton</v>
      </c>
      <c r="D541" s="5" t="s">
        <v>330</v>
      </c>
      <c r="E541" s="5"/>
      <c r="F541" s="5"/>
      <c r="G541" s="5"/>
      <c r="H541" s="7"/>
    </row>
    <row r="542" customFormat="false" ht="30" hidden="false" customHeight="true" outlineLevel="0" collapsed="false">
      <c r="A542" s="4" t="s">
        <v>6</v>
      </c>
      <c r="B542" s="5" t="s">
        <v>119</v>
      </c>
      <c r="C542" s="6" t="str">
        <f aca="false">HYPERLINK("https://partner.tcgplayer.com/c/6278691/1780961/21018?u=https%3A%2F%2Fwww.tcgplayer.com%2Fproduct%2F505072%3Futm_source%3Dimpact%26utm_medium%3Daffiliate%26utm_campaign%3Dpoke%2Bcottage","Tinkaton")</f>
        <v>Tinkaton</v>
      </c>
      <c r="D542" s="5" t="s">
        <v>372</v>
      </c>
      <c r="E542" s="5"/>
      <c r="F542" s="5"/>
      <c r="G542" s="5"/>
      <c r="H542" s="7"/>
    </row>
    <row r="543" customFormat="false" ht="30" hidden="false" customHeight="true" outlineLevel="0" collapsed="false">
      <c r="A543" s="4" t="s">
        <v>6</v>
      </c>
      <c r="B543" s="5" t="s">
        <v>119</v>
      </c>
      <c r="C543" s="6" t="str">
        <f aca="false">HYPERLINK("https://partner.tcgplayer.com/c/6278691/1780961/21018?u=https%3A%2F%2Fwww.tcgplayer.com%2Fproduct%2F502625%3Futm_source%3Dimpact%26utm_medium%3Daffiliate%26utm_campaign%3Dpoke%2Bcottage","Tinkaton")</f>
        <v>Tinkaton</v>
      </c>
      <c r="D543" s="5" t="s">
        <v>373</v>
      </c>
      <c r="E543" s="5"/>
      <c r="F543" s="5"/>
      <c r="G543" s="5"/>
      <c r="H543" s="7"/>
    </row>
    <row r="544" customFormat="false" ht="30" hidden="false" customHeight="true" outlineLevel="0" collapsed="false">
      <c r="A544" s="4" t="s">
        <v>6</v>
      </c>
      <c r="B544" s="5" t="s">
        <v>120</v>
      </c>
      <c r="C544" s="6" t="str">
        <f aca="false">HYPERLINK("https://partner.tcgplayer.com/c/6278691/1780961/21018?u=https%3A%2F%2Fwww.tcgplayer.com%2Fproduct%2F504791%3Futm_source%3Dimpact%26utm_medium%3Daffiliate%26utm_campaign%3Dpoke%2Bcottage","Mankey")</f>
        <v>Mankey</v>
      </c>
      <c r="D544" s="5" t="s">
        <v>338</v>
      </c>
      <c r="E544" s="5"/>
      <c r="F544" s="5"/>
      <c r="G544" s="5"/>
      <c r="H544" s="7"/>
    </row>
    <row r="545" customFormat="false" ht="30" hidden="false" customHeight="true" outlineLevel="0" collapsed="false">
      <c r="A545" s="4" t="s">
        <v>6</v>
      </c>
      <c r="B545" s="5" t="s">
        <v>121</v>
      </c>
      <c r="C545" s="6" t="str">
        <f aca="false">HYPERLINK("https://partner.tcgplayer.com/c/6278691/1780961/21018?u=https%3A%2F%2Fwww.tcgplayer.com%2Fproduct%2F504789%3Futm_source%3Dimpact%26utm_medium%3Daffiliate%26utm_campaign%3Dpoke%2Bcottage","Primeape")</f>
        <v>Primeape</v>
      </c>
      <c r="D545" s="5" t="s">
        <v>338</v>
      </c>
      <c r="E545" s="5"/>
      <c r="F545" s="5"/>
      <c r="G545" s="5"/>
      <c r="H545" s="7"/>
    </row>
    <row r="546" customFormat="false" ht="30" hidden="false" customHeight="true" outlineLevel="0" collapsed="false">
      <c r="A546" s="4" t="s">
        <v>6</v>
      </c>
      <c r="B546" s="5" t="s">
        <v>124</v>
      </c>
      <c r="C546" s="6" t="str">
        <f aca="false">HYPERLINK("https://partner.tcgplayer.com/c/6278691/1780961/21018?u=https%3A%2F%2Fwww.tcgplayer.com%2Fproduct%2F610124%3Futm_source%3Dimpact%26utm_medium%3Daffiliate%26utm_campaign%3Dpoke%2Bcottage","Larvitar")</f>
        <v>Larvitar</v>
      </c>
      <c r="D546" s="5" t="s">
        <v>338</v>
      </c>
      <c r="E546" s="5"/>
      <c r="F546" s="5"/>
      <c r="G546" s="5"/>
      <c r="H546" s="7"/>
    </row>
    <row r="547" customFormat="false" ht="30" hidden="false" customHeight="true" outlineLevel="0" collapsed="false">
      <c r="A547" s="4" t="s">
        <v>6</v>
      </c>
      <c r="B547" s="5" t="s">
        <v>125</v>
      </c>
      <c r="C547" s="6" t="str">
        <f aca="false">HYPERLINK("https://partner.tcgplayer.com/c/6278691/1780961/21018?u=https%3A%2F%2Fwww.tcgplayer.com%2Fproduct%2F610123%3Futm_source%3Dimpact%26utm_medium%3Daffiliate%26utm_campaign%3Dpoke%2Bcottage","Pupitar")</f>
        <v>Pupitar</v>
      </c>
      <c r="D547" s="5" t="s">
        <v>338</v>
      </c>
      <c r="E547" s="5"/>
      <c r="F547" s="5"/>
      <c r="G547" s="5"/>
      <c r="H547" s="7"/>
    </row>
    <row r="548" customFormat="false" ht="30" hidden="false" customHeight="true" outlineLevel="0" collapsed="false">
      <c r="A548" s="4" t="s">
        <v>6</v>
      </c>
      <c r="B548" s="5" t="s">
        <v>130</v>
      </c>
      <c r="C548" s="6" t="str">
        <f aca="false">HYPERLINK("https://partner.tcgplayer.com/c/6278691/1780961/21018?u=https%3A%2F%2Fwww.tcgplayer.com%2Fproduct%2F678764%3Futm_source%3Dimpact%26utm_medium%3Daffiliate%26utm_campaign%3Dpoke%2Bcottage","Rockruff")</f>
        <v>Rockruff</v>
      </c>
      <c r="D548" s="5" t="s">
        <v>338</v>
      </c>
      <c r="E548" s="5"/>
      <c r="F548" s="5"/>
      <c r="G548" s="5"/>
      <c r="H548" s="7"/>
    </row>
    <row r="549" customFormat="false" ht="30" hidden="false" customHeight="true" outlineLevel="0" collapsed="false">
      <c r="A549" s="4" t="s">
        <v>6</v>
      </c>
      <c r="B549" s="5" t="s">
        <v>131</v>
      </c>
      <c r="C549" s="5" t="s">
        <v>374</v>
      </c>
      <c r="D549" s="5" t="s">
        <v>375</v>
      </c>
      <c r="E549" s="5"/>
      <c r="F549" s="5" t="str">
        <f aca="false">HYPERLINK("https://www.ebay.com/sch/i.html?_nkw=Lycanroc+ex+Jumbo+Paldea+Evolved+117+pokemon+card&amp;_sacat=0&amp;_from=R40&amp;_trksid=p4624852.m570.l1313&amp;mkcid=1&amp;mkrid=711-53200-19255-0&amp;siteid=0&amp;campid=5339158445&amp;customid=pokecottage&amp;toolid=10001&amp;mkevt=1","FIND ON EBAY")</f>
        <v>FIND ON EBAY</v>
      </c>
      <c r="G549" s="5"/>
      <c r="H549" s="7"/>
    </row>
    <row r="550" customFormat="false" ht="30" hidden="false" customHeight="true" outlineLevel="0" collapsed="false">
      <c r="A550" s="4" t="s">
        <v>6</v>
      </c>
      <c r="B550" s="5" t="s">
        <v>137</v>
      </c>
      <c r="C550" s="6" t="str">
        <f aca="false">HYPERLINK("https://partner.tcgplayer.com/c/6278691/1780961/21018?u=https%3A%2F%2Fwww.tcgplayer.com%2Fproduct%2F556981%3Futm_source%3Dimpact%26utm_medium%3Daffiliate%26utm_campaign%3Dpoke%2Bcottage","Garganacl")</f>
        <v>Garganacl</v>
      </c>
      <c r="D550" s="5" t="s">
        <v>338</v>
      </c>
      <c r="E550" s="5"/>
      <c r="F550" s="5"/>
      <c r="G550" s="5"/>
      <c r="H550" s="7"/>
    </row>
    <row r="551" customFormat="false" ht="30" hidden="false" customHeight="true" outlineLevel="0" collapsed="false">
      <c r="A551" s="4" t="s">
        <v>6</v>
      </c>
      <c r="B551" s="5" t="s">
        <v>140</v>
      </c>
      <c r="C551" s="6" t="str">
        <f aca="false">HYPERLINK("https://partner.tcgplayer.com/c/6278691/1780961/21018?u=https%3A%2F%2Fwww.tcgplayer.com%2Fproduct%2F538219%3Futm_source%3Dimpact%26utm_medium%3Daffiliate%26utm_campaign%3Dpoke%2Bcottage","Glimmora")</f>
        <v>Glimmora</v>
      </c>
      <c r="D551" s="5" t="s">
        <v>338</v>
      </c>
      <c r="E551" s="5"/>
      <c r="F551" s="5"/>
      <c r="G551" s="5"/>
      <c r="H551" s="7"/>
    </row>
    <row r="552" customFormat="false" ht="30" hidden="false" customHeight="true" outlineLevel="0" collapsed="false">
      <c r="A552" s="4" t="s">
        <v>6</v>
      </c>
      <c r="B552" s="5" t="s">
        <v>141</v>
      </c>
      <c r="C552" s="6" t="str">
        <f aca="false">HYPERLINK("https://partner.tcgplayer.com/c/6278691/1780961/21018?u=https%3A%2F%2Fwww.tcgplayer.com%2Fproduct%2F538742%3Futm_source%3Dimpact%26utm_medium%3Daffiliate%26utm_campaign%3Dpoke%2Bcottage","Ting-Lu ex")</f>
        <v>Ting-Lu ex</v>
      </c>
      <c r="D552" s="5" t="s">
        <v>327</v>
      </c>
      <c r="E552" s="5"/>
      <c r="F552" s="5"/>
      <c r="G552" s="5"/>
      <c r="H552" s="7"/>
    </row>
    <row r="553" customFormat="false" ht="30" hidden="false" customHeight="true" outlineLevel="0" collapsed="false">
      <c r="A553" s="4" t="s">
        <v>6</v>
      </c>
      <c r="B553" s="5" t="s">
        <v>145</v>
      </c>
      <c r="C553" s="6" t="str">
        <f aca="false">HYPERLINK("https://partner.tcgplayer.com/c/6278691/1780961/21018?u=https%3A%2F%2Fwww.tcgplayer.com%2Fproduct%2F515680%3Futm_source%3Dimpact%26utm_medium%3Daffiliate%26utm_campaign%3Dpoke%2Bcottage","Murkrow")</f>
        <v>Murkrow</v>
      </c>
      <c r="D553" s="5" t="s">
        <v>355</v>
      </c>
      <c r="E553" s="5"/>
      <c r="F553" s="5"/>
      <c r="G553" s="5"/>
      <c r="H553" s="7"/>
    </row>
    <row r="554" customFormat="false" ht="30" hidden="false" customHeight="true" outlineLevel="0" collapsed="false">
      <c r="A554" s="4" t="s">
        <v>6</v>
      </c>
      <c r="B554" s="5" t="s">
        <v>149</v>
      </c>
      <c r="C554" s="6" t="str">
        <f aca="false">HYPERLINK("https://partner.tcgplayer.com/c/6278691/1780961/21018?u=https%3A%2F%2Fwww.tcgplayer.com%2Fproduct%2F610125%3Futm_source%3Dimpact%26utm_medium%3Daffiliate%26utm_campaign%3Dpoke%2Bcottage","Tyranitar")</f>
        <v>Tyranitar</v>
      </c>
      <c r="D554" s="5" t="s">
        <v>338</v>
      </c>
      <c r="E554" s="5"/>
      <c r="F554" s="5"/>
      <c r="G554" s="5"/>
      <c r="H554" s="7"/>
    </row>
    <row r="555" customFormat="false" ht="30" hidden="false" customHeight="true" outlineLevel="0" collapsed="false">
      <c r="A555" s="4" t="s">
        <v>6</v>
      </c>
      <c r="B555" s="5" t="s">
        <v>149</v>
      </c>
      <c r="C555" s="6" t="str">
        <f aca="false">HYPERLINK("https://partner.tcgplayer.com/c/6278691/1780961/21018?u=https%3A%2F%2Fwww.tcgplayer.com%2Fproduct%2F652747%3Futm_source%3Dimpact%26utm_medium%3Daffiliate%26utm_campaign%3Dpoke%2Bcottage","Tyranitar")</f>
        <v>Tyranitar</v>
      </c>
      <c r="D555" s="5" t="s">
        <v>372</v>
      </c>
      <c r="E555" s="5"/>
      <c r="F555" s="5"/>
      <c r="G555" s="5"/>
      <c r="H555" s="7"/>
    </row>
    <row r="556" customFormat="false" ht="30" hidden="false" customHeight="true" outlineLevel="0" collapsed="false">
      <c r="A556" s="4" t="s">
        <v>6</v>
      </c>
      <c r="B556" s="5" t="s">
        <v>150</v>
      </c>
      <c r="C556" s="5" t="s">
        <v>376</v>
      </c>
      <c r="D556" s="5" t="s">
        <v>338</v>
      </c>
      <c r="E556" s="5"/>
      <c r="F556" s="5" t="str">
        <f aca="false">HYPERLINK("https://www.ebay.com/sch/i.html?_nkw=Sableye+Cosmos+Holo+Paldea+Evolved+136+pokemon+card&amp;_sacat=0&amp;_from=R40&amp;_trksid=p4624852.m570.l1313&amp;mkcid=1&amp;mkrid=711-53200-19255-0&amp;siteid=0&amp;campid=5339158445&amp;customid=pokecottage&amp;toolid=10001&amp;mkevt=1","FIND ON EBAY")</f>
        <v>FIND ON EBAY</v>
      </c>
      <c r="G556" s="5"/>
      <c r="H556" s="7"/>
    </row>
    <row r="557" customFormat="false" ht="30" hidden="false" customHeight="true" outlineLevel="0" collapsed="false">
      <c r="A557" s="4" t="s">
        <v>6</v>
      </c>
      <c r="B557" s="5" t="s">
        <v>151</v>
      </c>
      <c r="C557" s="6" t="str">
        <f aca="false">HYPERLINK("https://partner.tcgplayer.com/c/6278691/1780961/21018?u=https%3A%2F%2Fwww.tcgplayer.com%2Fproduct%2F556891%3Futm_source%3Dimpact%26utm_medium%3Daffiliate%26utm_campaign%3Dpoke%2Bcottage","Seviper")</f>
        <v>Seviper</v>
      </c>
      <c r="D557" s="5" t="s">
        <v>377</v>
      </c>
      <c r="E557" s="5"/>
      <c r="F557" s="5"/>
      <c r="G557" s="5"/>
      <c r="H557" s="7"/>
    </row>
    <row r="558" customFormat="false" ht="30" hidden="false" customHeight="true" outlineLevel="0" collapsed="false">
      <c r="A558" s="4" t="s">
        <v>6</v>
      </c>
      <c r="B558" s="5" t="s">
        <v>154</v>
      </c>
      <c r="C558" s="5" t="s">
        <v>378</v>
      </c>
      <c r="D558" s="5" t="s">
        <v>338</v>
      </c>
      <c r="E558" s="5"/>
      <c r="F558" s="5" t="str">
        <f aca="false">HYPERLINK("https://www.ebay.com/sch/i.html?_nkw=Hydreigon+Cosmos+Holo+Paldea+Evolved+140+pokemon+card&amp;_sacat=0&amp;_from=R40&amp;_trksid=p4624852.m570.l1313&amp;mkcid=1&amp;mkrid=711-53200-19255-0&amp;siteid=0&amp;campid=5339158445&amp;customid=pokecottage&amp;toolid=10001&amp;mkevt=1","FIND ON EBAY")</f>
        <v>FIND ON EBAY</v>
      </c>
      <c r="G558" s="5"/>
      <c r="H558" s="7"/>
    </row>
    <row r="559" customFormat="false" ht="30" hidden="false" customHeight="true" outlineLevel="0" collapsed="false">
      <c r="A559" s="4" t="s">
        <v>6</v>
      </c>
      <c r="B559" s="5" t="s">
        <v>156</v>
      </c>
      <c r="C559" s="6" t="str">
        <f aca="false">HYPERLINK("https://partner.tcgplayer.com/c/6278691/1780961/21018?u=https%3A%2F%2Fwww.tcgplayer.com%2Fproduct%2F544444%3Futm_source%3Dimpact%26utm_medium%3Daffiliate%26utm_campaign%3Dpoke%2Bcottage","Maschiff")</f>
        <v>Maschiff</v>
      </c>
      <c r="D559" s="5" t="s">
        <v>338</v>
      </c>
      <c r="E559" s="5"/>
      <c r="F559" s="5"/>
      <c r="G559" s="5"/>
      <c r="H559" s="7"/>
    </row>
    <row r="560" customFormat="false" ht="30" hidden="false" customHeight="true" outlineLevel="0" collapsed="false">
      <c r="A560" s="4" t="s">
        <v>6</v>
      </c>
      <c r="B560" s="5" t="s">
        <v>165</v>
      </c>
      <c r="C560" s="5" t="s">
        <v>379</v>
      </c>
      <c r="D560" s="5" t="s">
        <v>338</v>
      </c>
      <c r="E560" s="5"/>
      <c r="F560" s="5" t="str">
        <f aca="false">HYPERLINK("https://www.ebay.com/sch/i.html?_nkw=Orthworm+Cosmos+Holo+Paldea+Evolved+151+pokemon+card&amp;_sacat=0&amp;_from=R40&amp;_trksid=p4624852.m570.l1313&amp;mkcid=1&amp;mkrid=711-53200-19255-0&amp;siteid=0&amp;campid=5339158445&amp;customid=pokecottage&amp;toolid=10001&amp;mkevt=1","FIND ON EBAY")</f>
        <v>FIND ON EBAY</v>
      </c>
      <c r="G560" s="5"/>
      <c r="H560" s="7"/>
    </row>
    <row r="561" customFormat="false" ht="30" hidden="false" customHeight="true" outlineLevel="0" collapsed="false">
      <c r="A561" s="4" t="s">
        <v>6</v>
      </c>
      <c r="B561" s="5" t="s">
        <v>165</v>
      </c>
      <c r="C561" s="6" t="str">
        <f aca="false">HYPERLINK("https://partner.tcgplayer.com/c/6278691/1780961/21018?u=https%3A%2F%2Fwww.tcgplayer.com%2Fproduct%2F547651%3Futm_source%3Dimpact%26utm_medium%3Daffiliate%26utm_campaign%3Dpoke%2Bcottage","Orthworm")</f>
        <v>Orthworm</v>
      </c>
      <c r="D561" s="5" t="s">
        <v>380</v>
      </c>
      <c r="E561" s="5"/>
      <c r="F561" s="5"/>
      <c r="G561" s="5"/>
      <c r="H561" s="7"/>
    </row>
    <row r="562" customFormat="false" ht="30" hidden="false" customHeight="true" outlineLevel="0" collapsed="false">
      <c r="A562" s="4" t="s">
        <v>6</v>
      </c>
      <c r="B562" s="5" t="s">
        <v>167</v>
      </c>
      <c r="C562" s="6" t="str">
        <f aca="false">HYPERLINK("https://partner.tcgplayer.com/c/6278691/1780961/21018?u=https%3A%2F%2Fwww.tcgplayer.com%2Fproduct%2F538735%3Futm_source%3Dimpact%26utm_medium%3Daffiliate%26utm_campaign%3Dpoke%2Bcottage","Noivern ex")</f>
        <v>Noivern ex</v>
      </c>
      <c r="D562" s="5" t="s">
        <v>327</v>
      </c>
      <c r="E562" s="5"/>
      <c r="F562" s="5"/>
      <c r="G562" s="5"/>
      <c r="H562" s="7"/>
    </row>
    <row r="563" customFormat="false" ht="30" hidden="false" customHeight="true" outlineLevel="0" collapsed="false">
      <c r="A563" s="4" t="s">
        <v>6</v>
      </c>
      <c r="B563" s="5" t="s">
        <v>173</v>
      </c>
      <c r="C563" s="6" t="str">
        <f aca="false">HYPERLINK("https://partner.tcgplayer.com/c/6278691/1780961/21018?u=https%3A%2F%2Fwww.tcgplayer.com%2Fproduct%2F538736%3Futm_source%3Dimpact%26utm_medium%3Daffiliate%26utm_campaign%3Dpoke%2Bcottage","Pelipper")</f>
        <v>Pelipper</v>
      </c>
      <c r="D563" s="5" t="s">
        <v>327</v>
      </c>
      <c r="E563" s="5"/>
      <c r="F563" s="5"/>
      <c r="G563" s="5"/>
      <c r="H563" s="7"/>
    </row>
    <row r="564" customFormat="false" ht="30" hidden="false" customHeight="true" outlineLevel="0" collapsed="false">
      <c r="A564" s="4" t="s">
        <v>6</v>
      </c>
      <c r="B564" s="5" t="s">
        <v>174</v>
      </c>
      <c r="C564" s="6" t="str">
        <f aca="false">HYPERLINK("https://partner.tcgplayer.com/c/6278691/1780961/21018?u=https%3A%2F%2Fwww.tcgplayer.com%2Fproduct%2F617568%3Futm_source%3Dimpact%26utm_medium%3Daffiliate%26utm_campaign%3Dpoke%2Bcottage","Slakoth")</f>
        <v>Slakoth</v>
      </c>
      <c r="D564" s="5" t="s">
        <v>338</v>
      </c>
      <c r="E564" s="5"/>
      <c r="F564" s="5"/>
      <c r="G564" s="5"/>
      <c r="H564" s="7"/>
    </row>
    <row r="565" customFormat="false" ht="30" hidden="false" customHeight="true" outlineLevel="0" collapsed="false">
      <c r="A565" s="4" t="s">
        <v>6</v>
      </c>
      <c r="B565" s="5" t="s">
        <v>175</v>
      </c>
      <c r="C565" s="6" t="str">
        <f aca="false">HYPERLINK("https://partner.tcgplayer.com/c/6278691/1780961/21018?u=https%3A%2F%2Fwww.tcgplayer.com%2Fproduct%2F617570%3Futm_source%3Dimpact%26utm_medium%3Daffiliate%26utm_campaign%3Dpoke%2Bcottage","Vigoroth")</f>
        <v>Vigoroth</v>
      </c>
      <c r="D565" s="5" t="s">
        <v>338</v>
      </c>
      <c r="E565" s="5"/>
      <c r="F565" s="5"/>
      <c r="G565" s="5"/>
      <c r="H565" s="7"/>
    </row>
    <row r="566" customFormat="false" ht="30" hidden="false" customHeight="true" outlineLevel="0" collapsed="false">
      <c r="A566" s="4" t="s">
        <v>6</v>
      </c>
      <c r="B566" s="5" t="s">
        <v>176</v>
      </c>
      <c r="C566" s="6" t="str">
        <f aca="false">HYPERLINK("https://partner.tcgplayer.com/c/6278691/1780961/21018?u=https%3A%2F%2Fwww.tcgplayer.com%2Fproduct%2F617569%3Futm_source%3Dimpact%26utm_medium%3Daffiliate%26utm_campaign%3Dpoke%2Bcottage","Slaking")</f>
        <v>Slaking</v>
      </c>
      <c r="D566" s="5" t="s">
        <v>338</v>
      </c>
      <c r="E566" s="5"/>
      <c r="F566" s="5"/>
      <c r="G566" s="5"/>
      <c r="H566" s="7"/>
    </row>
    <row r="567" customFormat="false" ht="30" hidden="false" customHeight="true" outlineLevel="0" collapsed="false">
      <c r="A567" s="4" t="s">
        <v>6</v>
      </c>
      <c r="B567" s="5" t="s">
        <v>181</v>
      </c>
      <c r="C567" s="6" t="str">
        <f aca="false">HYPERLINK("https://partner.tcgplayer.com/c/6278691/1780961/21018?u=https%3A%2F%2Fwww.tcgplayer.com%2Fproduct%2F543585%3Futm_source%3Dimpact%26utm_medium%3Daffiliate%26utm_campaign%3Dpoke%2Bcottage","Tandemaus")</f>
        <v>Tandemaus</v>
      </c>
      <c r="D567" s="5" t="s">
        <v>338</v>
      </c>
      <c r="E567" s="5"/>
      <c r="F567" s="5"/>
      <c r="G567" s="5"/>
      <c r="H567" s="7"/>
    </row>
    <row r="568" customFormat="false" ht="30" hidden="false" customHeight="true" outlineLevel="0" collapsed="false">
      <c r="A568" s="4" t="s">
        <v>6</v>
      </c>
      <c r="B568" s="5" t="s">
        <v>183</v>
      </c>
      <c r="C568" s="6" t="str">
        <f aca="false">HYPERLINK("https://partner.tcgplayer.com/c/6278691/1780961/21018?u=https%3A%2F%2Fwww.tcgplayer.com%2Fproduct%2F538741%3Futm_source%3Dimpact%26utm_medium%3Daffiliate%26utm_campaign%3Dpoke%2Bcottage","Squawkabilly ex")</f>
        <v>Squawkabilly ex</v>
      </c>
      <c r="D568" s="5" t="s">
        <v>327</v>
      </c>
      <c r="E568" s="5"/>
      <c r="F568" s="5"/>
      <c r="G568" s="5"/>
      <c r="H568" s="7"/>
    </row>
    <row r="569" customFormat="false" ht="30" hidden="false" customHeight="true" outlineLevel="0" collapsed="false">
      <c r="A569" s="4" t="s">
        <v>6</v>
      </c>
      <c r="B569" s="5" t="s">
        <v>183</v>
      </c>
      <c r="C569" s="6" t="str">
        <f aca="false">HYPERLINK("https://partner.tcgplayer.com/c/6278691/1780961/21018?u=https%3A%2F%2Fwww.tcgplayer.com%2Fproduct%2F637550%3Futm_source%3Dimpact%26utm_medium%3Daffiliate%26utm_campaign%3Dpoke%2Bcottage","Squawkabilly ex")</f>
        <v>Squawkabilly ex</v>
      </c>
      <c r="D569" s="5" t="s">
        <v>381</v>
      </c>
      <c r="E569" s="5"/>
      <c r="F569" s="5"/>
      <c r="G569" s="5"/>
      <c r="H569" s="7"/>
    </row>
    <row r="570" customFormat="false" ht="30" hidden="false" customHeight="true" outlineLevel="0" collapsed="false">
      <c r="A570" s="4" t="s">
        <v>6</v>
      </c>
      <c r="B570" s="5" t="s">
        <v>183</v>
      </c>
      <c r="C570" s="6" t="str">
        <f aca="false">HYPERLINK("https://partner.tcgplayer.com/c/6278691/1780961/21018?u=https%3A%2F%2Fwww.tcgplayer.com%2Fproduct%2F637555%3Futm_source%3Dimpact%26utm_medium%3Daffiliate%26utm_campaign%3Dpoke%2Bcottage","Squawkabilly ex")</f>
        <v>Squawkabilly ex</v>
      </c>
      <c r="D570" s="5" t="s">
        <v>382</v>
      </c>
      <c r="E570" s="5"/>
      <c r="F570" s="5"/>
      <c r="G570" s="5"/>
      <c r="H570" s="7"/>
    </row>
    <row r="571" customFormat="false" ht="30" hidden="false" customHeight="true" outlineLevel="0" collapsed="false">
      <c r="A571" s="4" t="s">
        <v>6</v>
      </c>
      <c r="B571" s="5" t="s">
        <v>183</v>
      </c>
      <c r="C571" s="5" t="s">
        <v>383</v>
      </c>
      <c r="D571" s="5" t="s">
        <v>384</v>
      </c>
      <c r="E571" s="5"/>
      <c r="F571" s="5" t="str">
        <f aca="false">HYPERLINK("https://www.ebay.com/sch/i.html?_nkw=Squawkabilly+ex+World+Championships+Deck+2025+JP+Raging+Bolt+by+Yuya+Okita+Paldea+Evolved+169+pokemon+card&amp;_sacat=0&amp;_from=R40&amp;_trksid=p4624852.m570.l1313&amp;mkcid=1&amp;mkrid=711-53200-19255-0&amp;siteid=0&amp;campid=5339158445&amp;customid=pokecottage&amp;toolid=10001&amp;mkevt=1","FIND ON EBAY")</f>
        <v>FIND ON EBAY</v>
      </c>
      <c r="G571" s="5"/>
      <c r="H571" s="7"/>
    </row>
    <row r="572" customFormat="false" ht="30" hidden="false" customHeight="true" outlineLevel="0" collapsed="false">
      <c r="A572" s="4" t="s">
        <v>6</v>
      </c>
      <c r="B572" s="5" t="s">
        <v>185</v>
      </c>
      <c r="C572" s="6" t="str">
        <f aca="false">HYPERLINK("https://partner.tcgplayer.com/c/6278691/1780961/21018?u=https%3A%2F%2Fwww.tcgplayer.com%2Fproduct%2F538753%3Futm_source%3Dimpact%26utm_medium%3Daffiliate%26utm_campaign%3Dpoke%2Bcottage","Artazon")</f>
        <v>Artazon</v>
      </c>
      <c r="D572" s="5" t="s">
        <v>327</v>
      </c>
      <c r="E572" s="5"/>
      <c r="F572" s="5"/>
      <c r="G572" s="5"/>
      <c r="H572" s="7"/>
    </row>
    <row r="573" customFormat="false" ht="30" hidden="false" customHeight="true" outlineLevel="0" collapsed="false">
      <c r="A573" s="4" t="s">
        <v>6</v>
      </c>
      <c r="B573" s="5" t="s">
        <v>185</v>
      </c>
      <c r="C573" s="6" t="str">
        <f aca="false">HYPERLINK("https://partner.tcgplayer.com/c/6278691/1780961/21018?u=https%3A%2F%2Fwww.tcgplayer.com%2Fproduct%2F538753%3Futm_source%3Dimpact%26utm_medium%3Daffiliate%26utm_campaign%3Dpoke%2Bcottage","Artazon")</f>
        <v>Artazon</v>
      </c>
      <c r="D573" s="5" t="s">
        <v>369</v>
      </c>
      <c r="E573" s="5"/>
      <c r="F573" s="5"/>
      <c r="G573" s="5"/>
      <c r="H573" s="7"/>
    </row>
    <row r="574" customFormat="false" ht="30" hidden="false" customHeight="true" outlineLevel="0" collapsed="false">
      <c r="A574" s="4" t="s">
        <v>6</v>
      </c>
      <c r="B574" s="5" t="s">
        <v>185</v>
      </c>
      <c r="C574" s="5" t="s">
        <v>385</v>
      </c>
      <c r="D574" s="5" t="s">
        <v>343</v>
      </c>
      <c r="E574" s="5"/>
      <c r="F574" s="5" t="str">
        <f aca="false">HYPERLINK("https://www.ebay.com/sch/i.html?_nkw=Artazon+Pokemon+TCG+Gym+Paldea+Evolved+171+pokemon+card&amp;_sacat=0&amp;_from=R40&amp;_trksid=p4624852.m570.l1313&amp;mkcid=1&amp;mkrid=711-53200-19255-0&amp;siteid=0&amp;campid=5339158445&amp;customid=pokecottage&amp;toolid=10001&amp;mkevt=1","FIND ON EBAY")</f>
        <v>FIND ON EBAY</v>
      </c>
      <c r="G574" s="5"/>
      <c r="H574" s="7"/>
    </row>
    <row r="575" customFormat="false" ht="30" hidden="false" customHeight="true" outlineLevel="0" collapsed="false">
      <c r="A575" s="4" t="s">
        <v>6</v>
      </c>
      <c r="B575" s="5" t="s">
        <v>185</v>
      </c>
      <c r="C575" s="6" t="str">
        <f aca="false">HYPERLINK("https://partner.tcgplayer.com/c/6278691/1780961/21018?u=https%3A%2F%2Fwww.tcgplayer.com%2Fproduct%2F542059%3Futm_source%3Dimpact%26utm_medium%3Daffiliate%26utm_campaign%3Dpoke%2Bcottage","Artazon")</f>
        <v>Artazon</v>
      </c>
      <c r="D575" s="5" t="s">
        <v>386</v>
      </c>
      <c r="E575" s="5"/>
      <c r="F575" s="5"/>
      <c r="G575" s="5"/>
      <c r="H575" s="7"/>
    </row>
    <row r="576" customFormat="false" ht="30" hidden="false" customHeight="true" outlineLevel="0" collapsed="false">
      <c r="A576" s="4" t="s">
        <v>6</v>
      </c>
      <c r="B576" s="5" t="s">
        <v>185</v>
      </c>
      <c r="C576" s="6" t="str">
        <f aca="false">HYPERLINK("https://partner.tcgplayer.com/c/6278691/1780961/21018?u=https%3A%2F%2Fwww.tcgplayer.com%2Fproduct%2F689027%3Futm_source%3Dimpact%26utm_medium%3Daffiliate%26utm_campaign%3Dpoke%2Bcottage","Artazon")</f>
        <v>Artazon</v>
      </c>
      <c r="D576" s="5" t="s">
        <v>387</v>
      </c>
      <c r="E576" s="5"/>
      <c r="F576" s="5"/>
      <c r="G576" s="5"/>
      <c r="H576" s="7"/>
    </row>
    <row r="577" customFormat="false" ht="30" hidden="false" customHeight="true" outlineLevel="0" collapsed="false">
      <c r="A577" s="4" t="s">
        <v>6</v>
      </c>
      <c r="B577" s="5" t="s">
        <v>186</v>
      </c>
      <c r="C577" s="6" t="str">
        <f aca="false">HYPERLINK("https://partner.tcgplayer.com/c/6278691/1780961/21018?u=https%3A%2F%2Fwww.tcgplayer.com%2Fproduct%2F501480%3Futm_source%3Dimpact%26utm_medium%3Daffiliate%26utm_campaign%3Dpoke%2Bcottage","Boss's Orders (Ghetsis)")</f>
        <v>Boss's Orders (Ghetsis)</v>
      </c>
      <c r="D577" s="5" t="s">
        <v>341</v>
      </c>
      <c r="E577" s="5"/>
      <c r="F577" s="5"/>
      <c r="G577" s="5"/>
      <c r="H577" s="7"/>
    </row>
    <row r="578" customFormat="false" ht="30" hidden="false" customHeight="true" outlineLevel="0" collapsed="false">
      <c r="A578" s="4" t="s">
        <v>6</v>
      </c>
      <c r="B578" s="5" t="s">
        <v>186</v>
      </c>
      <c r="C578" s="6" t="str">
        <f aca="false">HYPERLINK("https://partner.tcgplayer.com/c/6278691/1780961/21018?u=https%3A%2F%2Fwww.tcgplayer.com%2Fproduct%2F538754%3Futm_source%3Dimpact%26utm_medium%3Daffiliate%26utm_campaign%3Dpoke%2Bcottage","Boss's Orders (Ghetsis)")</f>
        <v>Boss's Orders (Ghetsis)</v>
      </c>
      <c r="D578" s="5" t="s">
        <v>366</v>
      </c>
      <c r="E578" s="5"/>
      <c r="F578" s="5"/>
      <c r="G578" s="5"/>
      <c r="H578" s="7"/>
    </row>
    <row r="579" customFormat="false" ht="30" hidden="false" customHeight="true" outlineLevel="0" collapsed="false">
      <c r="A579" s="4" t="s">
        <v>6</v>
      </c>
      <c r="B579" s="5" t="s">
        <v>186</v>
      </c>
      <c r="C579" s="6" t="str">
        <f aca="false">HYPERLINK("https://partner.tcgplayer.com/c/6278691/1780961/21018?u=https%3A%2F%2Fwww.tcgplayer.com%2Fproduct%2F538754%3Futm_source%3Dimpact%26utm_medium%3Daffiliate%26utm_campaign%3Dpoke%2Bcottage","Boss's Orders (Ghetsis)")</f>
        <v>Boss's Orders (Ghetsis)</v>
      </c>
      <c r="D579" s="5" t="s">
        <v>369</v>
      </c>
      <c r="E579" s="5"/>
      <c r="F579" s="5"/>
      <c r="G579" s="5"/>
      <c r="H579" s="7"/>
    </row>
    <row r="580" customFormat="false" ht="30" hidden="false" customHeight="true" outlineLevel="0" collapsed="false">
      <c r="A580" s="4" t="s">
        <v>6</v>
      </c>
      <c r="B580" s="5" t="s">
        <v>186</v>
      </c>
      <c r="C580" s="5" t="s">
        <v>388</v>
      </c>
      <c r="D580" s="5" t="s">
        <v>389</v>
      </c>
      <c r="E580" s="5"/>
      <c r="F580" s="5" t="str">
        <f aca="false">HYPERLINK("https://www.ebay.com/sch/i.html?_nkw=Boss+s+Orders+Ghetsis+Asia+Championship+Series+Paldea+Evolved+172+pokemon+card&amp;_sacat=0&amp;_from=R40&amp;_trksid=p4624852.m570.l1313&amp;mkcid=1&amp;mkrid=711-53200-19255-0&amp;siteid=0&amp;campid=5339158445&amp;customid=pokecottage&amp;toolid=10001&amp;mkevt=1","FIND ON EBAY")</f>
        <v>FIND ON EBAY</v>
      </c>
      <c r="G580" s="5"/>
      <c r="H580" s="7"/>
    </row>
    <row r="581" customFormat="false" ht="30" hidden="false" customHeight="true" outlineLevel="0" collapsed="false">
      <c r="A581" s="4" t="s">
        <v>6</v>
      </c>
      <c r="B581" s="5" t="s">
        <v>186</v>
      </c>
      <c r="C581" s="6" t="str">
        <f aca="false">HYPERLINK("https://partner.tcgplayer.com/c/6278691/1780961/21018?u=https%3A%2F%2Fwww.tcgplayer.com%2Fproduct%2F556818%3Futm_source%3Dimpact%26utm_medium%3Daffiliate%26utm_campaign%3Dpoke%2Bcottage","Boss's Orders (Ghetsis)")</f>
        <v>Boss's Orders (Ghetsis)</v>
      </c>
      <c r="D581" s="5" t="s">
        <v>377</v>
      </c>
      <c r="E581" s="5"/>
      <c r="F581" s="5"/>
      <c r="G581" s="5"/>
      <c r="H581" s="7"/>
    </row>
    <row r="582" customFormat="false" ht="30" hidden="false" customHeight="true" outlineLevel="0" collapsed="false">
      <c r="A582" s="4" t="s">
        <v>6</v>
      </c>
      <c r="B582" s="5" t="s">
        <v>186</v>
      </c>
      <c r="C582" s="6" t="str">
        <f aca="false">HYPERLINK("https://partner.tcgplayer.com/c/6278691/1780961/21018?u=https%3A%2F%2Fwww.tcgplayer.com%2Fproduct%2F541782%3Futm_source%3Dimpact%26utm_medium%3Daffiliate%26utm_campaign%3Dpoke%2Bcottage","Boss's Orders (Ghetsis)")</f>
        <v>Boss's Orders (Ghetsis)</v>
      </c>
      <c r="D582" s="5" t="s">
        <v>390</v>
      </c>
      <c r="E582" s="5"/>
      <c r="F582" s="5"/>
      <c r="G582" s="5"/>
      <c r="H582" s="7"/>
    </row>
    <row r="583" customFormat="false" ht="30" hidden="false" customHeight="true" outlineLevel="0" collapsed="false">
      <c r="A583" s="4" t="s">
        <v>6</v>
      </c>
      <c r="B583" s="5" t="s">
        <v>186</v>
      </c>
      <c r="C583" s="6" t="str">
        <f aca="false">HYPERLINK("https://partner.tcgplayer.com/c/6278691/1780961/21018?u=https%3A%2F%2Fwww.tcgplayer.com%2Fproduct%2F541816%3Futm_source%3Dimpact%26utm_medium%3Daffiliate%26utm_campaign%3Dpoke%2Bcottage","Boss's Orders (Ghetsis)")</f>
        <v>Boss's Orders (Ghetsis)</v>
      </c>
      <c r="D583" s="5" t="s">
        <v>391</v>
      </c>
      <c r="E583" s="5"/>
      <c r="F583" s="5"/>
      <c r="G583" s="5"/>
      <c r="H583" s="7"/>
    </row>
    <row r="584" customFormat="false" ht="30" hidden="false" customHeight="true" outlineLevel="0" collapsed="false">
      <c r="A584" s="4" t="s">
        <v>6</v>
      </c>
      <c r="B584" s="5" t="s">
        <v>186</v>
      </c>
      <c r="C584" s="6" t="str">
        <f aca="false">HYPERLINK("https://partner.tcgplayer.com/c/6278691/1780961/21018?u=https%3A%2F%2Fwww.tcgplayer.com%2Fproduct%2F542057%3Futm_source%3Dimpact%26utm_medium%3Daffiliate%26utm_campaign%3Dpoke%2Bcottage","Boss's Orders (Ghetsis)")</f>
        <v>Boss's Orders (Ghetsis)</v>
      </c>
      <c r="D584" s="5" t="s">
        <v>386</v>
      </c>
      <c r="E584" s="5"/>
      <c r="F584" s="5"/>
      <c r="G584" s="5"/>
      <c r="H584" s="7"/>
    </row>
    <row r="585" customFormat="false" ht="30" hidden="false" customHeight="true" outlineLevel="0" collapsed="false">
      <c r="A585" s="4" t="s">
        <v>6</v>
      </c>
      <c r="B585" s="5" t="s">
        <v>186</v>
      </c>
      <c r="C585" s="6" t="str">
        <f aca="false">HYPERLINK("https://partner.tcgplayer.com/c/6278691/1780961/21018?u=https%3A%2F%2Fwww.tcgplayer.com%2Fproduct%2F637547%3Futm_source%3Dimpact%26utm_medium%3Daffiliate%26utm_campaign%3Dpoke%2Bcottage","Boss's Orders (Ghetsis)")</f>
        <v>Boss's Orders (Ghetsis)</v>
      </c>
      <c r="D585" s="5" t="s">
        <v>392</v>
      </c>
      <c r="E585" s="5"/>
      <c r="F585" s="5"/>
      <c r="G585" s="5"/>
      <c r="H585" s="7"/>
    </row>
    <row r="586" customFormat="false" ht="30" hidden="false" customHeight="true" outlineLevel="0" collapsed="false">
      <c r="A586" s="4" t="s">
        <v>6</v>
      </c>
      <c r="B586" s="5" t="s">
        <v>186</v>
      </c>
      <c r="C586" s="6" t="str">
        <f aca="false">HYPERLINK("https://partner.tcgplayer.com/c/6278691/1780961/21018?u=https%3A%2F%2Fwww.tcgplayer.com%2Fproduct%2F637558%3Futm_source%3Dimpact%26utm_medium%3Daffiliate%26utm_campaign%3Dpoke%2Bcottage","Boss's Orders (Ghetsis)")</f>
        <v>Boss's Orders (Ghetsis)</v>
      </c>
      <c r="D586" s="5" t="s">
        <v>393</v>
      </c>
      <c r="E586" s="5"/>
      <c r="F586" s="5"/>
      <c r="G586" s="5"/>
      <c r="H586" s="7"/>
    </row>
    <row r="587" customFormat="false" ht="30" hidden="false" customHeight="true" outlineLevel="0" collapsed="false">
      <c r="A587" s="4" t="s">
        <v>6</v>
      </c>
      <c r="B587" s="5" t="s">
        <v>186</v>
      </c>
      <c r="C587" s="6" t="str">
        <f aca="false">HYPERLINK("https://partner.tcgplayer.com/c/6278691/1780961/21018?u=https%3A%2F%2Fwww.tcgplayer.com%2Fproduct%2F637552%3Futm_source%3Dimpact%26utm_medium%3Daffiliate%26utm_campaign%3Dpoke%2Bcottage","Boss's Orders (Ghetsis)")</f>
        <v>Boss's Orders (Ghetsis)</v>
      </c>
      <c r="D587" s="5" t="s">
        <v>381</v>
      </c>
      <c r="E587" s="5"/>
      <c r="F587" s="5"/>
      <c r="G587" s="5"/>
      <c r="H587" s="7"/>
    </row>
    <row r="588" customFormat="false" ht="30" hidden="false" customHeight="true" outlineLevel="0" collapsed="false">
      <c r="A588" s="4" t="s">
        <v>6</v>
      </c>
      <c r="B588" s="5" t="s">
        <v>186</v>
      </c>
      <c r="C588" s="6" t="str">
        <f aca="false">HYPERLINK("https://partner.tcgplayer.com/c/6278691/1780961/21018?u=https%3A%2F%2Fwww.tcgplayer.com%2Fproduct%2F637556%3Futm_source%3Dimpact%26utm_medium%3Daffiliate%26utm_campaign%3Dpoke%2Bcottage","Boss's Orders (Ghetsis)")</f>
        <v>Boss's Orders (Ghetsis)</v>
      </c>
      <c r="D588" s="5" t="s">
        <v>382</v>
      </c>
      <c r="E588" s="5"/>
      <c r="F588" s="5"/>
      <c r="G588" s="5"/>
      <c r="H588" s="7"/>
    </row>
    <row r="589" customFormat="false" ht="30" hidden="false" customHeight="true" outlineLevel="0" collapsed="false">
      <c r="A589" s="4" t="s">
        <v>6</v>
      </c>
      <c r="B589" s="5" t="s">
        <v>186</v>
      </c>
      <c r="C589" s="5" t="s">
        <v>388</v>
      </c>
      <c r="D589" s="5" t="s">
        <v>394</v>
      </c>
      <c r="E589" s="5"/>
      <c r="F589" s="5" t="str">
        <f aca="false">HYPERLINK("https://www.ebay.com/sch/i.html?_nkw=Boss+s+Orders+Ghetsis+World+Championships+Deck+2025+Joltdengo+by+Liao+Fu+Guan+Paldea+Evolved+172+pokemon+card&amp;_sacat=0&amp;_from=R40&amp;_trksid=p4624852.m570.l1313&amp;mkcid=1&amp;mkrid=711-53200-19255-0&amp;siteid=0&amp;campid=5339158445&amp;customid=pokecottage&amp;toolid=10001&amp;mkevt=1","FIND ON EBAY")</f>
        <v>FIND ON EBAY</v>
      </c>
      <c r="G589" s="5"/>
      <c r="H589" s="7"/>
    </row>
    <row r="590" customFormat="false" ht="30" hidden="false" customHeight="true" outlineLevel="0" collapsed="false">
      <c r="A590" s="4" t="s">
        <v>6</v>
      </c>
      <c r="B590" s="5" t="s">
        <v>186</v>
      </c>
      <c r="C590" s="5" t="s">
        <v>388</v>
      </c>
      <c r="D590" s="5" t="s">
        <v>384</v>
      </c>
      <c r="E590" s="5"/>
      <c r="F590" s="5" t="str">
        <f aca="false">HYPERLINK("https://www.ebay.com/sch/i.html?_nkw=Boss+s+Orders+Ghetsis+World+Championships+Deck+2025+JP+Raging+Bolt+by+Yuya+Okita+Paldea+Evolved+172+pokemon+card&amp;_sacat=0&amp;_from=R40&amp;_trksid=p4624852.m570.l1313&amp;mkcid=1&amp;mkrid=711-53200-19255-0&amp;siteid=0&amp;campid=5339158445&amp;customid=pokecottage&amp;toolid=10001&amp;mkevt=1","FIND ON EBAY")</f>
        <v>FIND ON EBAY</v>
      </c>
      <c r="G590" s="5"/>
      <c r="H590" s="7"/>
    </row>
    <row r="591" customFormat="false" ht="30" hidden="false" customHeight="true" outlineLevel="0" collapsed="false">
      <c r="A591" s="4" t="s">
        <v>6</v>
      </c>
      <c r="B591" s="5" t="s">
        <v>186</v>
      </c>
      <c r="C591" s="5" t="s">
        <v>388</v>
      </c>
      <c r="D591" s="5" t="s">
        <v>395</v>
      </c>
      <c r="E591" s="5"/>
      <c r="F591" s="5" t="str">
        <f aca="false">HYPERLINK("https://www.ebay.com/sch/i.html?_nkw=Boss+s+Orders+Ghetsis+World+Championships+Deck+2025+Pult+Bomb+by+Jose+Cruz+Galindo-Resendiz+Paldea+Evolved+172+pokemon+card&amp;_sacat=0&amp;_from=R40&amp;_trksid=p4624852.m570.l1313&amp;mkcid=1&amp;mkrid=711-53200-19255-0&amp;siteid=0&amp;campid=5339158445&amp;customid=pokecottage&amp;toolid=10001&amp;mkevt=1","FIND ON EBAY")</f>
        <v>FIND ON EBAY</v>
      </c>
      <c r="G591" s="5"/>
      <c r="H591" s="7"/>
    </row>
    <row r="592" customFormat="false" ht="30" hidden="false" customHeight="true" outlineLevel="0" collapsed="false">
      <c r="A592" s="4" t="s">
        <v>6</v>
      </c>
      <c r="B592" s="5" t="s">
        <v>187</v>
      </c>
      <c r="C592" s="6" t="str">
        <f aca="false">HYPERLINK("https://partner.tcgplayer.com/c/6278691/1780961/21018?u=https%3A%2F%2Fwww.tcgplayer.com%2Fproduct%2F538755%3Futm_source%3Dimpact%26utm_medium%3Daffiliate%26utm_campaign%3Dpoke%2Bcottage","Bravery Charm")</f>
        <v>Bravery Charm</v>
      </c>
      <c r="D592" s="5" t="s">
        <v>327</v>
      </c>
      <c r="E592" s="5"/>
      <c r="F592" s="5"/>
      <c r="G592" s="5"/>
      <c r="H592" s="7"/>
    </row>
    <row r="593" customFormat="false" ht="30" hidden="false" customHeight="true" outlineLevel="0" collapsed="false">
      <c r="A593" s="4" t="s">
        <v>6</v>
      </c>
      <c r="B593" s="5" t="s">
        <v>187</v>
      </c>
      <c r="C593" s="6" t="str">
        <f aca="false">HYPERLINK("https://partner.tcgplayer.com/c/6278691/1780961/21018?u=https%3A%2F%2Fwww.tcgplayer.com%2Fproduct%2F538755%3Futm_source%3Dimpact%26utm_medium%3Daffiliate%26utm_campaign%3Dpoke%2Bcottage","Bravery Charm")</f>
        <v>Bravery Charm</v>
      </c>
      <c r="D593" s="5" t="s">
        <v>369</v>
      </c>
      <c r="E593" s="5"/>
      <c r="F593" s="5"/>
      <c r="G593" s="5"/>
      <c r="H593" s="7"/>
    </row>
    <row r="594" customFormat="false" ht="30" hidden="false" customHeight="true" outlineLevel="0" collapsed="false">
      <c r="A594" s="4" t="s">
        <v>6</v>
      </c>
      <c r="B594" s="5" t="s">
        <v>187</v>
      </c>
      <c r="C594" s="5" t="s">
        <v>396</v>
      </c>
      <c r="D594" s="5" t="s">
        <v>343</v>
      </c>
      <c r="E594" s="5"/>
      <c r="F594" s="5" t="str">
        <f aca="false">HYPERLINK("https://www.ebay.com/sch/i.html?_nkw=Bravery+Charm+Pokemon+TCG+Gym+Paldea+Evolved+173+pokemon+card&amp;_sacat=0&amp;_from=R40&amp;_trksid=p4624852.m570.l1313&amp;mkcid=1&amp;mkrid=711-53200-19255-0&amp;siteid=0&amp;campid=5339158445&amp;customid=pokecottage&amp;toolid=10001&amp;mkevt=1","FIND ON EBAY")</f>
        <v>FIND ON EBAY</v>
      </c>
      <c r="G594" s="5"/>
      <c r="H594" s="7"/>
    </row>
    <row r="595" customFormat="false" ht="30" hidden="false" customHeight="true" outlineLevel="0" collapsed="false">
      <c r="A595" s="4" t="s">
        <v>6</v>
      </c>
      <c r="B595" s="5" t="s">
        <v>187</v>
      </c>
      <c r="C595" s="6" t="str">
        <f aca="false">HYPERLINK("https://partner.tcgplayer.com/c/6278691/1780961/21018?u=https%3A%2F%2Fwww.tcgplayer.com%2Fproduct%2F637557%3Futm_source%3Dimpact%26utm_medium%3Daffiliate%26utm_campaign%3Dpoke%2Bcottage","Bravery Charm")</f>
        <v>Bravery Charm</v>
      </c>
      <c r="D595" s="5" t="s">
        <v>382</v>
      </c>
      <c r="E595" s="5"/>
      <c r="F595" s="5"/>
      <c r="G595" s="5"/>
      <c r="H595" s="7"/>
    </row>
    <row r="596" customFormat="false" ht="30" hidden="false" customHeight="true" outlineLevel="0" collapsed="false">
      <c r="A596" s="4" t="s">
        <v>6</v>
      </c>
      <c r="B596" s="5" t="s">
        <v>187</v>
      </c>
      <c r="C596" s="6" t="str">
        <f aca="false">HYPERLINK("https://partner.tcgplayer.com/c/6278691/1780961/21018?u=https%3A%2F%2Fwww.tcgplayer.com%2Fproduct%2F689125%3Futm_source%3Dimpact%26utm_medium%3Daffiliate%26utm_campaign%3Dpoke%2Bcottage","Bravery Charm")</f>
        <v>Bravery Charm</v>
      </c>
      <c r="D596" s="5" t="s">
        <v>387</v>
      </c>
      <c r="E596" s="5"/>
      <c r="F596" s="5"/>
      <c r="G596" s="5"/>
      <c r="H596" s="7"/>
    </row>
    <row r="597" customFormat="false" ht="30" hidden="false" customHeight="true" outlineLevel="0" collapsed="false">
      <c r="A597" s="4" t="s">
        <v>6</v>
      </c>
      <c r="B597" s="5" t="s">
        <v>187</v>
      </c>
      <c r="C597" s="6" t="str">
        <f aca="false">HYPERLINK("https://partner.tcgplayer.com/c/6278691/1780961/21018?u=https%3A%2F%2Fwww.tcgplayer.com%2Fproduct%2F690280%3Futm_source%3Dimpact%26utm_medium%3Daffiliate%26utm_campaign%3Dpoke%2Bcottage","Bravery Charm")</f>
        <v>Bravery Charm</v>
      </c>
      <c r="D597" s="5" t="s">
        <v>394</v>
      </c>
      <c r="E597" s="5"/>
      <c r="F597" s="5"/>
      <c r="G597" s="5"/>
      <c r="H597" s="7"/>
    </row>
    <row r="598" customFormat="false" ht="30" hidden="false" customHeight="true" outlineLevel="0" collapsed="false">
      <c r="A598" s="4" t="s">
        <v>6</v>
      </c>
      <c r="B598" s="5" t="s">
        <v>190</v>
      </c>
      <c r="C598" s="6" t="str">
        <f aca="false">HYPERLINK("https://partner.tcgplayer.com/c/6278691/1780961/21018?u=https%3A%2F%2Fwww.tcgplayer.com%2Fproduct%2F696117%3Futm_source%3Dimpact%26utm_medium%3Daffiliate%26utm_campaign%3Dpoke%2Bcottage","Choice Belt")</f>
        <v>Choice Belt</v>
      </c>
      <c r="D598" s="5" t="s">
        <v>390</v>
      </c>
      <c r="E598" s="5"/>
      <c r="F598" s="5"/>
      <c r="G598" s="5"/>
      <c r="H598" s="7"/>
    </row>
    <row r="599" customFormat="false" ht="30" hidden="false" customHeight="true" outlineLevel="0" collapsed="false">
      <c r="A599" s="4" t="s">
        <v>6</v>
      </c>
      <c r="B599" s="5" t="s">
        <v>190</v>
      </c>
      <c r="C599" s="6" t="str">
        <f aca="false">HYPERLINK("https://partner.tcgplayer.com/c/6278691/1780961/21018?u=https%3A%2F%2Fwww.tcgplayer.com%2Fproduct%2F542036%3Futm_source%3Dimpact%26utm_medium%3Daffiliate%26utm_campaign%3Dpoke%2Bcottage","Choice Belt")</f>
        <v>Choice Belt</v>
      </c>
      <c r="D599" s="5" t="s">
        <v>391</v>
      </c>
      <c r="E599" s="5"/>
      <c r="F599" s="5"/>
      <c r="G599" s="5"/>
      <c r="H599" s="7"/>
    </row>
    <row r="600" customFormat="false" ht="30" hidden="false" customHeight="true" outlineLevel="0" collapsed="false">
      <c r="A600" s="4" t="s">
        <v>6</v>
      </c>
      <c r="B600" s="5" t="s">
        <v>191</v>
      </c>
      <c r="C600" s="6" t="str">
        <f aca="false">HYPERLINK("https://partner.tcgplayer.com/c/6278691/1780961/21018?u=https%3A%2F%2Fwww.tcgplayer.com%2Fproduct%2F538757%3Futm_source%3Dimpact%26utm_medium%3Daffiliate%26utm_campaign%3Dpoke%2Bcottage","Clavell")</f>
        <v>Clavell</v>
      </c>
      <c r="D600" s="5" t="s">
        <v>369</v>
      </c>
      <c r="E600" s="5"/>
      <c r="F600" s="5"/>
      <c r="G600" s="5"/>
      <c r="H600" s="7"/>
    </row>
    <row r="601" customFormat="false" ht="30" hidden="false" customHeight="true" outlineLevel="0" collapsed="false">
      <c r="A601" s="4" t="s">
        <v>6</v>
      </c>
      <c r="B601" s="5" t="s">
        <v>195</v>
      </c>
      <c r="C601" s="6" t="str">
        <f aca="false">HYPERLINK("https://partner.tcgplayer.com/c/6278691/1780961/21018?u=https%3A%2F%2Fwww.tcgplayer.com%2Fproduct%2F538759%3Futm_source%3Dimpact%26utm_medium%3Daffiliate%26utm_campaign%3Dpoke%2Bcottage","Fighting Au Lait")</f>
        <v>Fighting Au Lait</v>
      </c>
      <c r="D601" s="5" t="s">
        <v>327</v>
      </c>
      <c r="E601" s="5"/>
      <c r="F601" s="5"/>
      <c r="G601" s="5"/>
      <c r="H601" s="7"/>
    </row>
    <row r="602" customFormat="false" ht="30" hidden="false" customHeight="true" outlineLevel="0" collapsed="false">
      <c r="A602" s="4" t="s">
        <v>6</v>
      </c>
      <c r="B602" s="5" t="s">
        <v>196</v>
      </c>
      <c r="C602" s="5" t="s">
        <v>397</v>
      </c>
      <c r="D602" s="5" t="s">
        <v>343</v>
      </c>
      <c r="E602" s="5"/>
      <c r="F602" s="5" t="str">
        <f aca="false">HYPERLINK("https://www.ebay.com/sch/i.html?_nkw=Giacomo+Pokemon+TCG+Gym+Paldea+Evolved+182+pokemon+card&amp;_sacat=0&amp;_from=R40&amp;_trksid=p4624852.m570.l1313&amp;mkcid=1&amp;mkrid=711-53200-19255-0&amp;siteid=0&amp;campid=5339158445&amp;customid=pokecottage&amp;toolid=10001&amp;mkevt=1","FIND ON EBAY")</f>
        <v>FIND ON EBAY</v>
      </c>
      <c r="G602" s="5"/>
      <c r="H602" s="7"/>
    </row>
    <row r="603" customFormat="false" ht="30" hidden="false" customHeight="true" outlineLevel="0" collapsed="false">
      <c r="A603" s="4" t="s">
        <v>6</v>
      </c>
      <c r="B603" s="5" t="s">
        <v>197</v>
      </c>
      <c r="C603" s="6" t="str">
        <f aca="false">HYPERLINK("https://partner.tcgplayer.com/c/6278691/1780961/21018?u=https%3A%2F%2Fwww.tcgplayer.com%2Fproduct%2F557042%3Futm_source%3Dimpact%26utm_medium%3Daffiliate%26utm_campaign%3Dpoke%2Bcottage","Great Ball")</f>
        <v>Great Ball</v>
      </c>
      <c r="D603" s="5" t="s">
        <v>398</v>
      </c>
      <c r="E603" s="5"/>
      <c r="F603" s="5"/>
      <c r="G603" s="5"/>
      <c r="H603" s="7"/>
    </row>
    <row r="604" customFormat="false" ht="30" hidden="false" customHeight="true" outlineLevel="0" collapsed="false">
      <c r="A604" s="4" t="s">
        <v>6</v>
      </c>
      <c r="B604" s="5" t="s">
        <v>197</v>
      </c>
      <c r="C604" s="6" t="str">
        <f aca="false">HYPERLINK("https://partner.tcgplayer.com/c/6278691/1780961/21018?u=https%3A%2F%2Fwww.tcgplayer.com%2Fproduct%2F557041%3Futm_source%3Dimpact%26utm_medium%3Daffiliate%26utm_campaign%3Dpoke%2Bcottage","Great Ball")</f>
        <v>Great Ball</v>
      </c>
      <c r="D604" s="5" t="s">
        <v>399</v>
      </c>
      <c r="E604" s="5"/>
      <c r="F604" s="5"/>
      <c r="G604" s="5"/>
      <c r="H604" s="7"/>
    </row>
    <row r="605" customFormat="false" ht="30" hidden="false" customHeight="true" outlineLevel="0" collapsed="false">
      <c r="A605" s="4" t="s">
        <v>6</v>
      </c>
      <c r="B605" s="5" t="s">
        <v>197</v>
      </c>
      <c r="C605" s="6" t="str">
        <f aca="false">HYPERLINK("https://partner.tcgplayer.com/c/6278691/1780961/21018?u=https%3A%2F%2Fwww.tcgplayer.com%2Fproduct%2F557043%3Futm_source%3Dimpact%26utm_medium%3Daffiliate%26utm_campaign%3Dpoke%2Bcottage","Great Ball")</f>
        <v>Great Ball</v>
      </c>
      <c r="D605" s="5" t="s">
        <v>400</v>
      </c>
      <c r="E605" s="5"/>
      <c r="F605" s="5"/>
      <c r="G605" s="5"/>
      <c r="H605" s="7"/>
    </row>
    <row r="606" customFormat="false" ht="30" hidden="false" customHeight="true" outlineLevel="0" collapsed="false">
      <c r="A606" s="4" t="s">
        <v>6</v>
      </c>
      <c r="B606" s="5" t="s">
        <v>197</v>
      </c>
      <c r="C606" s="6" t="str">
        <f aca="false">HYPERLINK("https://partner.tcgplayer.com/c/6278691/1780961/21018?u=https%3A%2F%2Fwww.tcgplayer.com%2Fproduct%2F557044%3Futm_source%3Dimpact%26utm_medium%3Daffiliate%26utm_campaign%3Dpoke%2Bcottage","Great Ball")</f>
        <v>Great Ball</v>
      </c>
      <c r="D606" s="5" t="s">
        <v>401</v>
      </c>
      <c r="E606" s="5"/>
      <c r="F606" s="5"/>
      <c r="G606" s="5"/>
      <c r="H606" s="7"/>
    </row>
    <row r="607" customFormat="false" ht="30" hidden="false" customHeight="true" outlineLevel="0" collapsed="false">
      <c r="A607" s="4" t="s">
        <v>6</v>
      </c>
      <c r="B607" s="5" t="s">
        <v>197</v>
      </c>
      <c r="C607" s="6" t="str">
        <f aca="false">HYPERLINK("https://partner.tcgplayer.com/c/6278691/1780961/21018?u=https%3A%2F%2Fwww.tcgplayer.com%2Fproduct%2F556829%3Futm_source%3Dimpact%26utm_medium%3Daffiliate%26utm_campaign%3Dpoke%2Bcottage","Great Ball")</f>
        <v>Great Ball</v>
      </c>
      <c r="D607" s="5" t="s">
        <v>377</v>
      </c>
      <c r="E607" s="5"/>
      <c r="F607" s="5"/>
      <c r="G607" s="5"/>
      <c r="H607" s="7"/>
    </row>
    <row r="608" customFormat="false" ht="30" hidden="false" customHeight="true" outlineLevel="0" collapsed="false">
      <c r="A608" s="4" t="s">
        <v>6</v>
      </c>
      <c r="B608" s="5" t="s">
        <v>197</v>
      </c>
      <c r="C608" s="6" t="str">
        <f aca="false">HYPERLINK("https://partner.tcgplayer.com/c/6278691/1780961/21018?u=https%3A%2F%2Fwww.tcgplayer.com%2Fproduct%2F556913%3Futm_source%3Dimpact%26utm_medium%3Daffiliate%26utm_campaign%3Dpoke%2Bcottage","Great Ball")</f>
        <v>Great Ball</v>
      </c>
      <c r="D608" s="5" t="s">
        <v>402</v>
      </c>
      <c r="E608" s="5"/>
      <c r="F608" s="5"/>
      <c r="G608" s="5"/>
      <c r="H608" s="7"/>
    </row>
    <row r="609" customFormat="false" ht="30" hidden="false" customHeight="true" outlineLevel="0" collapsed="false">
      <c r="A609" s="4" t="s">
        <v>6</v>
      </c>
      <c r="B609" s="5" t="s">
        <v>197</v>
      </c>
      <c r="C609" s="6" t="str">
        <f aca="false">HYPERLINK("https://partner.tcgplayer.com/c/6278691/1780961/21018?u=https%3A%2F%2Fwww.tcgplayer.com%2Fproduct%2F556914%3Futm_source%3Dimpact%26utm_medium%3Daffiliate%26utm_campaign%3Dpoke%2Bcottage","Great Ball")</f>
        <v>Great Ball</v>
      </c>
      <c r="D609" s="5" t="s">
        <v>403</v>
      </c>
      <c r="E609" s="5"/>
      <c r="F609" s="5"/>
      <c r="G609" s="5"/>
      <c r="H609" s="7"/>
    </row>
    <row r="610" customFormat="false" ht="30" hidden="false" customHeight="true" outlineLevel="0" collapsed="false">
      <c r="A610" s="4" t="s">
        <v>6</v>
      </c>
      <c r="B610" s="5" t="s">
        <v>197</v>
      </c>
      <c r="C610" s="6" t="str">
        <f aca="false">HYPERLINK("https://partner.tcgplayer.com/c/6278691/1780961/21018?u=https%3A%2F%2Fwww.tcgplayer.com%2Fproduct%2F556915%3Futm_source%3Dimpact%26utm_medium%3Daffiliate%26utm_campaign%3Dpoke%2Bcottage","Great Ball")</f>
        <v>Great Ball</v>
      </c>
      <c r="D610" s="5" t="s">
        <v>404</v>
      </c>
      <c r="E610" s="5"/>
      <c r="F610" s="5"/>
      <c r="G610" s="5"/>
      <c r="H610" s="7"/>
    </row>
    <row r="611" customFormat="false" ht="30" hidden="false" customHeight="true" outlineLevel="0" collapsed="false">
      <c r="A611" s="4" t="s">
        <v>6</v>
      </c>
      <c r="B611" s="5" t="s">
        <v>197</v>
      </c>
      <c r="C611" s="6" t="str">
        <f aca="false">HYPERLINK("https://partner.tcgplayer.com/c/6278691/1780961/21018?u=https%3A%2F%2Fwww.tcgplayer.com%2Fproduct%2F556916%3Futm_source%3Dimpact%26utm_medium%3Daffiliate%26utm_campaign%3Dpoke%2Bcottage","Great Ball")</f>
        <v>Great Ball</v>
      </c>
      <c r="D611" s="5" t="s">
        <v>405</v>
      </c>
      <c r="E611" s="5"/>
      <c r="F611" s="5"/>
      <c r="G611" s="5"/>
      <c r="H611" s="7"/>
    </row>
    <row r="612" customFormat="false" ht="30" hidden="false" customHeight="true" outlineLevel="0" collapsed="false">
      <c r="A612" s="4" t="s">
        <v>6</v>
      </c>
      <c r="B612" s="5" t="s">
        <v>199</v>
      </c>
      <c r="C612" s="6" t="str">
        <f aca="false">HYPERLINK("https://partner.tcgplayer.com/c/6278691/1780961/21018?u=https%3A%2F%2Fwww.tcgplayer.com%2Fproduct%2F516561%3Futm_source%3Dimpact%26utm_medium%3Daffiliate%26utm_campaign%3Dpoke%2Bcottage","Iono")</f>
        <v>Iono</v>
      </c>
      <c r="D612" s="5" t="s">
        <v>406</v>
      </c>
      <c r="E612" s="5"/>
      <c r="F612" s="5"/>
      <c r="G612" s="5"/>
      <c r="H612" s="7"/>
    </row>
    <row r="613" customFormat="false" ht="30" hidden="false" customHeight="true" outlineLevel="0" collapsed="false">
      <c r="A613" s="4" t="s">
        <v>6</v>
      </c>
      <c r="B613" s="5" t="s">
        <v>199</v>
      </c>
      <c r="C613" s="6" t="str">
        <f aca="false">HYPERLINK("https://partner.tcgplayer.com/c/6278691/1780961/21018?u=https%3A%2F%2Fwww.tcgplayer.com%2Fproduct%2F516562%3Futm_source%3Dimpact%26utm_medium%3Daffiliate%26utm_campaign%3Dpoke%2Bcottage","Iono")</f>
        <v>Iono</v>
      </c>
      <c r="D613" s="5" t="s">
        <v>407</v>
      </c>
      <c r="E613" s="5"/>
      <c r="F613" s="5"/>
      <c r="G613" s="5"/>
      <c r="H613" s="7"/>
    </row>
    <row r="614" customFormat="false" ht="30" hidden="false" customHeight="true" outlineLevel="0" collapsed="false">
      <c r="A614" s="4" t="s">
        <v>6</v>
      </c>
      <c r="B614" s="5" t="s">
        <v>199</v>
      </c>
      <c r="C614" s="6" t="str">
        <f aca="false">HYPERLINK("https://partner.tcgplayer.com/c/6278691/1780961/21018?u=https%3A%2F%2Fwww.tcgplayer.com%2Fproduct%2F538760%3Futm_source%3Dimpact%26utm_medium%3Daffiliate%26utm_campaign%3Dpoke%2Bcottage","Iono")</f>
        <v>Iono</v>
      </c>
      <c r="D614" s="5" t="s">
        <v>366</v>
      </c>
      <c r="E614" s="5"/>
      <c r="F614" s="5"/>
      <c r="G614" s="5"/>
      <c r="H614" s="7"/>
    </row>
    <row r="615" customFormat="false" ht="30" hidden="false" customHeight="true" outlineLevel="0" collapsed="false">
      <c r="A615" s="4" t="s">
        <v>6</v>
      </c>
      <c r="B615" s="5" t="s">
        <v>199</v>
      </c>
      <c r="C615" s="6" t="str">
        <f aca="false">HYPERLINK("https://partner.tcgplayer.com/c/6278691/1780961/21018?u=https%3A%2F%2Fwww.tcgplayer.com%2Fproduct%2F538760%3Futm_source%3Dimpact%26utm_medium%3Daffiliate%26utm_campaign%3Dpoke%2Bcottage","Iono")</f>
        <v>Iono</v>
      </c>
      <c r="D615" s="5" t="s">
        <v>369</v>
      </c>
      <c r="E615" s="5"/>
      <c r="F615" s="5"/>
      <c r="G615" s="5"/>
      <c r="H615" s="7"/>
    </row>
    <row r="616" customFormat="false" ht="30" hidden="false" customHeight="true" outlineLevel="0" collapsed="false">
      <c r="A616" s="4" t="s">
        <v>6</v>
      </c>
      <c r="B616" s="5" t="s">
        <v>199</v>
      </c>
      <c r="C616" s="5" t="s">
        <v>408</v>
      </c>
      <c r="D616" s="5" t="s">
        <v>346</v>
      </c>
      <c r="E616" s="5"/>
      <c r="F616" s="5" t="str">
        <f aca="false">HYPERLINK("https://www.ebay.com/sch/i.html?_nkw=Iono+Hong+Kong+Regional+League+Paldea+Evolved+185+pokemon+card&amp;_sacat=0&amp;_from=R40&amp;_trksid=p4624852.m570.l1313&amp;mkcid=1&amp;mkrid=711-53200-19255-0&amp;siteid=0&amp;campid=5339158445&amp;customid=pokecottage&amp;toolid=10001&amp;mkevt=1","FIND ON EBAY")</f>
        <v>FIND ON EBAY</v>
      </c>
      <c r="G616" s="5"/>
      <c r="H616" s="7"/>
    </row>
    <row r="617" customFormat="false" ht="30" hidden="false" customHeight="true" outlineLevel="0" collapsed="false">
      <c r="A617" s="4" t="s">
        <v>6</v>
      </c>
      <c r="B617" s="5" t="s">
        <v>199</v>
      </c>
      <c r="C617" s="6" t="str">
        <f aca="false">HYPERLINK("https://partner.tcgplayer.com/c/6278691/1780961/21018?u=https%3A%2F%2Fwww.tcgplayer.com%2Fproduct%2F545695%3Futm_source%3Dimpact%26utm_medium%3Daffiliate%26utm_campaign%3Dpoke%2Bcottage","Iono")</f>
        <v>Iono</v>
      </c>
      <c r="D617" s="5" t="s">
        <v>409</v>
      </c>
      <c r="E617" s="5"/>
      <c r="F617" s="5"/>
      <c r="G617" s="5"/>
      <c r="H617" s="7"/>
    </row>
    <row r="618" customFormat="false" ht="30" hidden="false" customHeight="true" outlineLevel="0" collapsed="false">
      <c r="A618" s="4" t="s">
        <v>6</v>
      </c>
      <c r="B618" s="5" t="s">
        <v>199</v>
      </c>
      <c r="C618" s="5" t="s">
        <v>408</v>
      </c>
      <c r="D618" s="5" t="s">
        <v>349</v>
      </c>
      <c r="E618" s="5"/>
      <c r="F618" s="5" t="str">
        <f aca="false">HYPERLINK("https://www.ebay.com/sch/i.html?_nkw=Iono+Malaysia+Regional+League+Paldea+Evolved+185+pokemon+card&amp;_sacat=0&amp;_from=R40&amp;_trksid=p4624852.m570.l1313&amp;mkcid=1&amp;mkrid=711-53200-19255-0&amp;siteid=0&amp;campid=5339158445&amp;customid=pokecottage&amp;toolid=10001&amp;mkevt=1","FIND ON EBAY")</f>
        <v>FIND ON EBAY</v>
      </c>
      <c r="G618" s="5"/>
      <c r="H618" s="7"/>
    </row>
    <row r="619" customFormat="false" ht="30" hidden="false" customHeight="true" outlineLevel="0" collapsed="false">
      <c r="A619" s="4" t="s">
        <v>6</v>
      </c>
      <c r="B619" s="5" t="s">
        <v>199</v>
      </c>
      <c r="C619" s="5" t="s">
        <v>408</v>
      </c>
      <c r="D619" s="5" t="s">
        <v>351</v>
      </c>
      <c r="E619" s="5"/>
      <c r="F619" s="5" t="str">
        <f aca="false">HYPERLINK("https://www.ebay.com/sch/i.html?_nkw=Iono+Philippines+Regional+League+Paldea+Evolved+185+pokemon+card&amp;_sacat=0&amp;_from=R40&amp;_trksid=p4624852.m570.l1313&amp;mkcid=1&amp;mkrid=711-53200-19255-0&amp;siteid=0&amp;campid=5339158445&amp;customid=pokecottage&amp;toolid=10001&amp;mkevt=1","FIND ON EBAY")</f>
        <v>FIND ON EBAY</v>
      </c>
      <c r="G619" s="5"/>
      <c r="H619" s="7"/>
    </row>
    <row r="620" customFormat="false" ht="30" hidden="false" customHeight="true" outlineLevel="0" collapsed="false">
      <c r="A620" s="4" t="s">
        <v>6</v>
      </c>
      <c r="B620" s="5" t="s">
        <v>199</v>
      </c>
      <c r="C620" s="5" t="s">
        <v>408</v>
      </c>
      <c r="D620" s="5" t="s">
        <v>353</v>
      </c>
      <c r="E620" s="5"/>
      <c r="F620" s="5" t="str">
        <f aca="false">HYPERLINK("https://www.ebay.com/sch/i.html?_nkw=Iono+Singapore+Regional+League+Paldea+Evolved+185+pokemon+card&amp;_sacat=0&amp;_from=R40&amp;_trksid=p4624852.m570.l1313&amp;mkcid=1&amp;mkrid=711-53200-19255-0&amp;siteid=0&amp;campid=5339158445&amp;customid=pokecottage&amp;toolid=10001&amp;mkevt=1","FIND ON EBAY")</f>
        <v>FIND ON EBAY</v>
      </c>
      <c r="G620" s="5"/>
      <c r="H620" s="7"/>
    </row>
    <row r="621" customFormat="false" ht="30" hidden="false" customHeight="true" outlineLevel="0" collapsed="false">
      <c r="A621" s="4" t="s">
        <v>6</v>
      </c>
      <c r="B621" s="5" t="s">
        <v>199</v>
      </c>
      <c r="C621" s="6" t="str">
        <f aca="false">HYPERLINK("https://partner.tcgplayer.com/c/6278691/1780961/21018?u=https%3A%2F%2Fwww.tcgplayer.com%2Fproduct%2F541783%3Futm_source%3Dimpact%26utm_medium%3Daffiliate%26utm_campaign%3Dpoke%2Bcottage","Iono")</f>
        <v>Iono</v>
      </c>
      <c r="D621" s="5" t="s">
        <v>390</v>
      </c>
      <c r="E621" s="5"/>
      <c r="F621" s="5"/>
      <c r="G621" s="5"/>
      <c r="H621" s="7"/>
    </row>
    <row r="622" customFormat="false" ht="30" hidden="false" customHeight="true" outlineLevel="0" collapsed="false">
      <c r="A622" s="4" t="s">
        <v>6</v>
      </c>
      <c r="B622" s="5" t="s">
        <v>199</v>
      </c>
      <c r="C622" s="6" t="str">
        <f aca="false">HYPERLINK("https://partner.tcgplayer.com/c/6278691/1780961/21018?u=https%3A%2F%2Fwww.tcgplayer.com%2Fproduct%2F541818%3Futm_source%3Dimpact%26utm_medium%3Daffiliate%26utm_campaign%3Dpoke%2Bcottage","Iono")</f>
        <v>Iono</v>
      </c>
      <c r="D622" s="5" t="s">
        <v>391</v>
      </c>
      <c r="E622" s="5"/>
      <c r="F622" s="5"/>
      <c r="G622" s="5"/>
      <c r="H622" s="7"/>
    </row>
    <row r="623" customFormat="false" ht="30" hidden="false" customHeight="true" outlineLevel="0" collapsed="false">
      <c r="A623" s="4" t="s">
        <v>6</v>
      </c>
      <c r="B623" s="5" t="s">
        <v>199</v>
      </c>
      <c r="C623" s="6" t="str">
        <f aca="false">HYPERLINK("https://partner.tcgplayer.com/c/6278691/1780961/21018?u=https%3A%2F%2Fwww.tcgplayer.com%2Fproduct%2F542056%3Futm_source%3Dimpact%26utm_medium%3Daffiliate%26utm_campaign%3Dpoke%2Bcottage","Iono")</f>
        <v>Iono</v>
      </c>
      <c r="D623" s="5" t="s">
        <v>386</v>
      </c>
      <c r="E623" s="5"/>
      <c r="F623" s="5"/>
      <c r="G623" s="5"/>
      <c r="H623" s="7"/>
    </row>
    <row r="624" customFormat="false" ht="30" hidden="false" customHeight="true" outlineLevel="0" collapsed="false">
      <c r="A624" s="4" t="s">
        <v>6</v>
      </c>
      <c r="B624" s="5" t="s">
        <v>199</v>
      </c>
      <c r="C624" s="6" t="str">
        <f aca="false">HYPERLINK("https://partner.tcgplayer.com/c/6278691/1780961/21018?u=https%3A%2F%2Fwww.tcgplayer.com%2Fproduct%2F637559%3Futm_source%3Dimpact%26utm_medium%3Daffiliate%26utm_campaign%3Dpoke%2Bcottage","Iono")</f>
        <v>Iono</v>
      </c>
      <c r="D624" s="5" t="s">
        <v>393</v>
      </c>
      <c r="E624" s="5"/>
      <c r="F624" s="5"/>
      <c r="G624" s="5"/>
      <c r="H624" s="7"/>
    </row>
    <row r="625" customFormat="false" ht="30" hidden="false" customHeight="true" outlineLevel="0" collapsed="false">
      <c r="A625" s="4" t="s">
        <v>6</v>
      </c>
      <c r="B625" s="5" t="s">
        <v>199</v>
      </c>
      <c r="C625" s="6" t="str">
        <f aca="false">HYPERLINK("https://partner.tcgplayer.com/c/6278691/1780961/21018?u=https%3A%2F%2Fwww.tcgplayer.com%2Fproduct%2F637551%3Futm_source%3Dimpact%26utm_medium%3Daffiliate%26utm_campaign%3Dpoke%2Bcottage","Iono")</f>
        <v>Iono</v>
      </c>
      <c r="D625" s="5" t="s">
        <v>381</v>
      </c>
      <c r="E625" s="5"/>
      <c r="F625" s="5"/>
      <c r="G625" s="5"/>
      <c r="H625" s="7"/>
    </row>
    <row r="626" customFormat="false" ht="30" hidden="false" customHeight="true" outlineLevel="0" collapsed="false">
      <c r="A626" s="4" t="s">
        <v>6</v>
      </c>
      <c r="B626" s="5" t="s">
        <v>199</v>
      </c>
      <c r="C626" s="6" t="str">
        <f aca="false">HYPERLINK("https://partner.tcgplayer.com/c/6278691/1780961/21018?u=https%3A%2F%2Fwww.tcgplayer.com%2Fproduct%2F689024%3Futm_source%3Dimpact%26utm_medium%3Daffiliate%26utm_campaign%3Dpoke%2Bcottage","Iono")</f>
        <v>Iono</v>
      </c>
      <c r="D626" s="5" t="s">
        <v>387</v>
      </c>
      <c r="E626" s="5"/>
      <c r="F626" s="5"/>
      <c r="G626" s="5"/>
      <c r="H626" s="7"/>
    </row>
    <row r="627" customFormat="false" ht="30" hidden="false" customHeight="true" outlineLevel="0" collapsed="false">
      <c r="A627" s="4" t="s">
        <v>6</v>
      </c>
      <c r="B627" s="5" t="s">
        <v>199</v>
      </c>
      <c r="C627" s="5" t="s">
        <v>408</v>
      </c>
      <c r="D627" s="5" t="s">
        <v>384</v>
      </c>
      <c r="E627" s="5"/>
      <c r="F627" s="5" t="str">
        <f aca="false">HYPERLINK("https://www.ebay.com/sch/i.html?_nkw=Iono+World+Championships+Deck+2025+JP+Raging+Bolt+by+Yuya+Okita+Paldea+Evolved+185+pokemon+card&amp;_sacat=0&amp;_from=R40&amp;_trksid=p4624852.m570.l1313&amp;mkcid=1&amp;mkrid=711-53200-19255-0&amp;siteid=0&amp;campid=5339158445&amp;customid=pokecottage&amp;toolid=10001&amp;mkevt=1","FIND ON EBAY")</f>
        <v>FIND ON EBAY</v>
      </c>
      <c r="G627" s="5"/>
      <c r="H627" s="7"/>
    </row>
    <row r="628" customFormat="false" ht="30" hidden="false" customHeight="true" outlineLevel="0" collapsed="false">
      <c r="A628" s="4" t="s">
        <v>6</v>
      </c>
      <c r="B628" s="5" t="s">
        <v>199</v>
      </c>
      <c r="C628" s="6" t="str">
        <f aca="false">HYPERLINK("https://partner.tcgplayer.com/c/6278691/1780961/21018?u=https%3A%2F%2Fwww.tcgplayer.com%2Fproduct%2F690495%3Futm_source%3Dimpact%26utm_medium%3Daffiliate%26utm_campaign%3Dpoke%2Bcottage","Iono")</f>
        <v>Iono</v>
      </c>
      <c r="D628" s="5" t="s">
        <v>395</v>
      </c>
      <c r="E628" s="5"/>
      <c r="F628" s="5"/>
      <c r="G628" s="5"/>
      <c r="H628" s="7"/>
    </row>
    <row r="629" customFormat="false" ht="30" hidden="false" customHeight="true" outlineLevel="0" collapsed="false">
      <c r="A629" s="4" t="s">
        <v>6</v>
      </c>
      <c r="B629" s="5" t="s">
        <v>202</v>
      </c>
      <c r="C629" s="6" t="str">
        <f aca="false">HYPERLINK("https://partner.tcgplayer.com/c/6278691/1780961/21018?u=https%3A%2F%2Fwww.tcgplayer.com%2Fproduct%2F538769%3Futm_source%3Dimpact%26utm_medium%3Daffiliate%26utm_campaign%3Dpoke%2Bcottage","Super Rod")</f>
        <v>Super Rod</v>
      </c>
      <c r="D629" s="5" t="s">
        <v>410</v>
      </c>
      <c r="E629" s="5"/>
      <c r="F629" s="5"/>
      <c r="G629" s="5"/>
      <c r="H629" s="7"/>
    </row>
    <row r="630" customFormat="false" ht="30" hidden="false" customHeight="true" outlineLevel="0" collapsed="false">
      <c r="A630" s="4" t="s">
        <v>6</v>
      </c>
      <c r="B630" s="5" t="s">
        <v>202</v>
      </c>
      <c r="C630" s="6" t="str">
        <f aca="false">HYPERLINK("https://partner.tcgplayer.com/c/6278691/1780961/21018?u=https%3A%2F%2Fwww.tcgplayer.com%2Fproduct%2F538769%3Futm_source%3Dimpact%26utm_medium%3Daffiliate%26utm_campaign%3Dpoke%2Bcottage","Super Rod")</f>
        <v>Super Rod</v>
      </c>
      <c r="D630" s="5" t="s">
        <v>366</v>
      </c>
      <c r="E630" s="5"/>
      <c r="F630" s="5"/>
      <c r="G630" s="5"/>
      <c r="H630" s="7"/>
    </row>
    <row r="631" customFormat="false" ht="30" hidden="false" customHeight="true" outlineLevel="0" collapsed="false">
      <c r="A631" s="4" t="s">
        <v>6</v>
      </c>
      <c r="B631" s="5" t="s">
        <v>202</v>
      </c>
      <c r="C631" s="6" t="str">
        <f aca="false">HYPERLINK("https://partner.tcgplayer.com/c/6278691/1780961/21018?u=https%3A%2F%2Fwww.tcgplayer.com%2Fproduct%2F538769%3Futm_source%3Dimpact%26utm_medium%3Daffiliate%26utm_campaign%3Dpoke%2Bcottage","Super Rod")</f>
        <v>Super Rod</v>
      </c>
      <c r="D631" s="5" t="s">
        <v>369</v>
      </c>
      <c r="E631" s="5"/>
      <c r="F631" s="5"/>
      <c r="G631" s="5"/>
      <c r="H631" s="7"/>
    </row>
    <row r="632" customFormat="false" ht="30" hidden="false" customHeight="true" outlineLevel="0" collapsed="false">
      <c r="A632" s="4" t="s">
        <v>6</v>
      </c>
      <c r="B632" s="5" t="s">
        <v>202</v>
      </c>
      <c r="C632" s="6" t="str">
        <f aca="false">HYPERLINK("https://partner.tcgplayer.com/c/6278691/1780961/21018?u=https%3A%2F%2Fwww.tcgplayer.com%2Fproduct%2F554532%3Futm_source%3Dimpact%26utm_medium%3Daffiliate%26utm_campaign%3Dpoke%2Bcottage","Super Rod")</f>
        <v>Super Rod</v>
      </c>
      <c r="D632" s="5" t="s">
        <v>411</v>
      </c>
      <c r="E632" s="5"/>
      <c r="F632" s="5"/>
      <c r="G632" s="5"/>
      <c r="H632" s="7"/>
    </row>
    <row r="633" customFormat="false" ht="30" hidden="false" customHeight="true" outlineLevel="0" collapsed="false">
      <c r="A633" s="4" t="s">
        <v>6</v>
      </c>
      <c r="B633" s="5" t="s">
        <v>202</v>
      </c>
      <c r="C633" s="5" t="s">
        <v>412</v>
      </c>
      <c r="D633" s="5" t="s">
        <v>343</v>
      </c>
      <c r="E633" s="5"/>
      <c r="F633" s="5" t="str">
        <f aca="false">HYPERLINK("https://www.ebay.com/sch/i.html?_nkw=Super+Rod+Pokemon+TCG+Gym+Paldea+Evolved+188+pokemon+card&amp;_sacat=0&amp;_from=R40&amp;_trksid=p4624852.m570.l1313&amp;mkcid=1&amp;mkrid=711-53200-19255-0&amp;siteid=0&amp;campid=5339158445&amp;customid=pokecottage&amp;toolid=10001&amp;mkevt=1","FIND ON EBAY")</f>
        <v>FIND ON EBAY</v>
      </c>
      <c r="G633" s="5"/>
      <c r="H633" s="7"/>
    </row>
    <row r="634" customFormat="false" ht="30" hidden="false" customHeight="true" outlineLevel="0" collapsed="false">
      <c r="A634" s="4" t="s">
        <v>6</v>
      </c>
      <c r="B634" s="5" t="s">
        <v>202</v>
      </c>
      <c r="C634" s="6" t="str">
        <f aca="false">HYPERLINK("https://partner.tcgplayer.com/c/6278691/1780961/21018?u=https%3A%2F%2Fwww.tcgplayer.com%2Fproduct%2F557125%3Futm_source%3Dimpact%26utm_medium%3Daffiliate%26utm_campaign%3Dpoke%2Bcottage","Super Rod")</f>
        <v>Super Rod</v>
      </c>
      <c r="D634" s="5" t="s">
        <v>413</v>
      </c>
      <c r="E634" s="5"/>
      <c r="F634" s="5"/>
      <c r="G634" s="5"/>
      <c r="H634" s="7"/>
    </row>
    <row r="635" customFormat="false" ht="30" hidden="false" customHeight="true" outlineLevel="0" collapsed="false">
      <c r="A635" s="4" t="s">
        <v>6</v>
      </c>
      <c r="B635" s="5" t="s">
        <v>202</v>
      </c>
      <c r="C635" s="6" t="str">
        <f aca="false">HYPERLINK("https://partner.tcgplayer.com/c/6278691/1780961/21018?u=https%3A%2F%2Fwww.tcgplayer.com%2Fproduct%2F542066%3Futm_source%3Dimpact%26utm_medium%3Daffiliate%26utm_campaign%3Dpoke%2Bcottage","Super Rod")</f>
        <v>Super Rod</v>
      </c>
      <c r="D635" s="5" t="s">
        <v>386</v>
      </c>
      <c r="E635" s="5"/>
      <c r="F635" s="5"/>
      <c r="G635" s="5"/>
      <c r="H635" s="7"/>
    </row>
    <row r="636" customFormat="false" ht="30" hidden="false" customHeight="true" outlineLevel="0" collapsed="false">
      <c r="A636" s="4" t="s">
        <v>6</v>
      </c>
      <c r="B636" s="5" t="s">
        <v>202</v>
      </c>
      <c r="C636" s="6" t="str">
        <f aca="false">HYPERLINK("https://partner.tcgplayer.com/c/6278691/1780961/21018?u=https%3A%2F%2Fwww.tcgplayer.com%2Fproduct%2F637549%3Futm_source%3Dimpact%26utm_medium%3Daffiliate%26utm_campaign%3Dpoke%2Bcottage","Super Rod")</f>
        <v>Super Rod</v>
      </c>
      <c r="D636" s="5" t="s">
        <v>392</v>
      </c>
      <c r="E636" s="5"/>
      <c r="F636" s="5"/>
      <c r="G636" s="5"/>
      <c r="H636" s="7"/>
    </row>
    <row r="637" customFormat="false" ht="30" hidden="false" customHeight="true" outlineLevel="0" collapsed="false">
      <c r="A637" s="4" t="s">
        <v>6</v>
      </c>
      <c r="B637" s="5" t="s">
        <v>202</v>
      </c>
      <c r="C637" s="6" t="str">
        <f aca="false">HYPERLINK("https://partner.tcgplayer.com/c/6278691/1780961/21018?u=https%3A%2F%2Fwww.tcgplayer.com%2Fproduct%2F637554%3Futm_source%3Dimpact%26utm_medium%3Daffiliate%26utm_campaign%3Dpoke%2Bcottage","Super Rod")</f>
        <v>Super Rod</v>
      </c>
      <c r="D637" s="5" t="s">
        <v>381</v>
      </c>
      <c r="E637" s="5"/>
      <c r="F637" s="5"/>
      <c r="G637" s="5"/>
      <c r="H637" s="7"/>
    </row>
    <row r="638" customFormat="false" ht="30" hidden="false" customHeight="true" outlineLevel="0" collapsed="false">
      <c r="A638" s="4" t="s">
        <v>6</v>
      </c>
      <c r="B638" s="5" t="s">
        <v>202</v>
      </c>
      <c r="C638" s="6" t="str">
        <f aca="false">HYPERLINK("https://partner.tcgplayer.com/c/6278691/1780961/21018?u=https%3A%2F%2Fwww.tcgplayer.com%2Fproduct%2F689113%3Futm_source%3Dimpact%26utm_medium%3Daffiliate%26utm_campaign%3Dpoke%2Bcottage","Super Rod")</f>
        <v>Super Rod</v>
      </c>
      <c r="D638" s="5" t="s">
        <v>387</v>
      </c>
      <c r="E638" s="5"/>
      <c r="F638" s="5"/>
      <c r="G638" s="5"/>
      <c r="H638" s="7"/>
    </row>
    <row r="639" customFormat="false" ht="30" hidden="false" customHeight="true" outlineLevel="0" collapsed="false">
      <c r="A639" s="4" t="s">
        <v>6</v>
      </c>
      <c r="B639" s="5" t="s">
        <v>203</v>
      </c>
      <c r="C639" s="6" t="str">
        <f aca="false">HYPERLINK("https://partner.tcgplayer.com/c/6278691/1780961/21018?u=https%3A%2F%2Fwww.tcgplayer.com%2Fproduct%2F538770%3Futm_source%3Dimpact%26utm_medium%3Daffiliate%26utm_campaign%3Dpoke%2Bcottage","Superior Energy Retrieval")</f>
        <v>Superior Energy Retrieval</v>
      </c>
      <c r="D639" s="5" t="s">
        <v>327</v>
      </c>
      <c r="E639" s="5"/>
      <c r="F639" s="5"/>
      <c r="G639" s="5"/>
      <c r="H639" s="7"/>
    </row>
    <row r="640" customFormat="false" ht="30" hidden="false" customHeight="true" outlineLevel="0" collapsed="false">
      <c r="A640" s="4" t="s">
        <v>6</v>
      </c>
      <c r="B640" s="5" t="s">
        <v>203</v>
      </c>
      <c r="C640" s="6" t="str">
        <f aca="false">HYPERLINK("https://partner.tcgplayer.com/c/6278691/1780961/21018?u=https%3A%2F%2Fwww.tcgplayer.com%2Fproduct%2F538770%3Futm_source%3Dimpact%26utm_medium%3Daffiliate%26utm_campaign%3Dpoke%2Bcottage","Superior Energy Retrieval")</f>
        <v>Superior Energy Retrieval</v>
      </c>
      <c r="D640" s="5" t="s">
        <v>369</v>
      </c>
      <c r="E640" s="5"/>
      <c r="F640" s="5"/>
      <c r="G640" s="5"/>
      <c r="H640" s="7"/>
    </row>
    <row r="641" customFormat="false" ht="30" hidden="false" customHeight="true" outlineLevel="0" collapsed="false">
      <c r="A641" s="4" t="s">
        <v>6</v>
      </c>
      <c r="B641" s="5" t="s">
        <v>203</v>
      </c>
      <c r="C641" s="5" t="s">
        <v>414</v>
      </c>
      <c r="D641" s="5" t="s">
        <v>343</v>
      </c>
      <c r="E641" s="5"/>
      <c r="F641" s="5" t="str">
        <f aca="false">HYPERLINK("https://www.ebay.com/sch/i.html?_nkw=Superior+Energy+Retrieval+Pokemon+TCG+Gym+Paldea+Evolved+189+pokemon+card&amp;_sacat=0&amp;_from=R40&amp;_trksid=p4624852.m570.l1313&amp;mkcid=1&amp;mkrid=711-53200-19255-0&amp;siteid=0&amp;campid=5339158445&amp;customid=pokecottage&amp;toolid=10001&amp;mkevt=1","FIND ON EBAY")</f>
        <v>FIND ON EBAY</v>
      </c>
      <c r="G641" s="5"/>
      <c r="H641" s="7"/>
    </row>
    <row r="642" customFormat="false" ht="30" hidden="false" customHeight="true" outlineLevel="0" collapsed="false">
      <c r="A642" s="4" t="s">
        <v>6</v>
      </c>
      <c r="B642" s="5" t="s">
        <v>203</v>
      </c>
      <c r="C642" s="6" t="str">
        <f aca="false">HYPERLINK("https://partner.tcgplayer.com/c/6278691/1780961/21018?u=https%3A%2F%2Fwww.tcgplayer.com%2Fproduct%2F637548%3Futm_source%3Dimpact%26utm_medium%3Daffiliate%26utm_campaign%3Dpoke%2Bcottage","Superior Energy Retrieval")</f>
        <v>Superior Energy Retrieval</v>
      </c>
      <c r="D642" s="5" t="s">
        <v>392</v>
      </c>
      <c r="E642" s="5"/>
      <c r="F642" s="5"/>
      <c r="G642" s="5"/>
      <c r="H642" s="7"/>
    </row>
    <row r="643" customFormat="false" ht="30" hidden="false" customHeight="true" outlineLevel="0" collapsed="false">
      <c r="A643" s="4" t="s">
        <v>6</v>
      </c>
      <c r="B643" s="5" t="s">
        <v>203</v>
      </c>
      <c r="C643" s="6" t="str">
        <f aca="false">HYPERLINK("https://partner.tcgplayer.com/c/6278691/1780961/21018?u=https%3A%2F%2Fwww.tcgplayer.com%2Fproduct%2F637553%3Futm_source%3Dimpact%26utm_medium%3Daffiliate%26utm_campaign%3Dpoke%2Bcottage","Superior Energy Retrieval")</f>
        <v>Superior Energy Retrieval</v>
      </c>
      <c r="D643" s="5" t="s">
        <v>381</v>
      </c>
      <c r="E643" s="5"/>
      <c r="F643" s="5"/>
      <c r="G643" s="5"/>
      <c r="H643" s="7"/>
    </row>
    <row r="644" customFormat="false" ht="30" hidden="false" customHeight="true" outlineLevel="0" collapsed="false">
      <c r="A644" s="4" t="s">
        <v>6</v>
      </c>
      <c r="B644" s="5" t="s">
        <v>203</v>
      </c>
      <c r="C644" s="6" t="str">
        <f aca="false">HYPERLINK("https://partner.tcgplayer.com/c/6278691/1780961/21018?u=https%3A%2F%2Fwww.tcgplayer.com%2Fproduct%2F690274%3Futm_source%3Dimpact%26utm_medium%3Daffiliate%26utm_campaign%3Dpoke%2Bcottage","Superior Energy Retrieval")</f>
        <v>Superior Energy Retrieval</v>
      </c>
      <c r="D644" s="5" t="s">
        <v>394</v>
      </c>
      <c r="E644" s="5"/>
      <c r="F644" s="5"/>
      <c r="G644" s="5"/>
      <c r="H644" s="7"/>
    </row>
    <row r="645" customFormat="false" ht="30" hidden="false" customHeight="true" outlineLevel="0" collapsed="false">
      <c r="A645" s="4" t="s">
        <v>6</v>
      </c>
      <c r="B645" s="5" t="s">
        <v>204</v>
      </c>
      <c r="C645" s="5" t="s">
        <v>415</v>
      </c>
      <c r="D645" s="5" t="s">
        <v>327</v>
      </c>
      <c r="E645" s="5"/>
      <c r="F645" s="5" t="str">
        <f aca="false">HYPERLINK("https://www.ebay.com/sch/i.html?_nkw=Jet+Energy+Play%21+Pokemon+Paldea+Evolved+190+pokemon+card&amp;_sacat=0&amp;_from=R40&amp;_trksid=p4624852.m570.l1313&amp;mkcid=1&amp;mkrid=711-53200-19255-0&amp;siteid=0&amp;campid=5339158445&amp;customid=pokecottage&amp;toolid=10001&amp;mkevt=1","FIND ON EBAY")</f>
        <v>FIND ON EBAY</v>
      </c>
      <c r="G645" s="5"/>
      <c r="H645" s="7"/>
    </row>
    <row r="646" customFormat="false" ht="30" hidden="false" customHeight="true" outlineLevel="0" collapsed="false">
      <c r="A646" s="4" t="s">
        <v>6</v>
      </c>
      <c r="B646" s="5" t="s">
        <v>204</v>
      </c>
      <c r="C646" s="6" t="str">
        <f aca="false">HYPERLINK("https://partner.tcgplayer.com/c/6278691/1780961/21018?u=https%3A%2F%2Fwww.tcgplayer.com%2Fproduct%2F538772%3Futm_source%3Dimpact%26utm_medium%3Daffiliate%26utm_campaign%3Dpoke%2Bcottage","Jet Energy")</f>
        <v>Jet Energy</v>
      </c>
      <c r="D646" s="5" t="s">
        <v>369</v>
      </c>
      <c r="E646" s="5"/>
      <c r="F646" s="5"/>
      <c r="G646" s="5"/>
      <c r="H646" s="7"/>
    </row>
    <row r="647" customFormat="false" ht="30" hidden="false" customHeight="true" outlineLevel="0" collapsed="false">
      <c r="A647" s="4" t="s">
        <v>6</v>
      </c>
      <c r="B647" s="5" t="s">
        <v>204</v>
      </c>
      <c r="C647" s="5" t="s">
        <v>415</v>
      </c>
      <c r="D647" s="5" t="s">
        <v>343</v>
      </c>
      <c r="E647" s="5"/>
      <c r="F647" s="5" t="str">
        <f aca="false">HYPERLINK("https://www.ebay.com/sch/i.html?_nkw=Jet+Energy+Pokemon+TCG+Gym+Paldea+Evolved+190+pokemon+card&amp;_sacat=0&amp;_from=R40&amp;_trksid=p4624852.m570.l1313&amp;mkcid=1&amp;mkrid=711-53200-19255-0&amp;siteid=0&amp;campid=5339158445&amp;customid=pokecottage&amp;toolid=10001&amp;mkevt=1","FIND ON EBAY")</f>
        <v>FIND ON EBAY</v>
      </c>
      <c r="G647" s="5"/>
      <c r="H647" s="7"/>
    </row>
    <row r="648" customFormat="false" ht="30" hidden="false" customHeight="true" outlineLevel="0" collapsed="false">
      <c r="A648" s="4" t="s">
        <v>6</v>
      </c>
      <c r="B648" s="5" t="s">
        <v>204</v>
      </c>
      <c r="C648" s="6" t="str">
        <f aca="false">HYPERLINK("https://partner.tcgplayer.com/c/6278691/1780961/21018?u=https%3A%2F%2Fwww.tcgplayer.com%2Fproduct%2F541801%3Futm_source%3Dimpact%26utm_medium%3Daffiliate%26utm_campaign%3Dpoke%2Bcottage","Jet Energy")</f>
        <v>Jet Energy</v>
      </c>
      <c r="D648" s="5" t="s">
        <v>390</v>
      </c>
      <c r="E648" s="5"/>
      <c r="F648" s="5"/>
      <c r="G648" s="5"/>
      <c r="H648" s="7"/>
    </row>
    <row r="649" customFormat="false" ht="30" hidden="false" customHeight="true" outlineLevel="0" collapsed="false">
      <c r="A649" s="4" t="s">
        <v>6</v>
      </c>
      <c r="B649" s="5" t="s">
        <v>205</v>
      </c>
      <c r="C649" s="6" t="str">
        <f aca="false">HYPERLINK("https://partner.tcgplayer.com/c/6278691/1780961/21018?u=https%3A%2F%2Fwww.tcgplayer.com%2Fproduct%2F538773%3Futm_source%3Dimpact%26utm_medium%3Daffiliate%26utm_campaign%3Dpoke%2Bcottage","Luminous Energy")</f>
        <v>Luminous Energy</v>
      </c>
      <c r="D649" s="5" t="s">
        <v>327</v>
      </c>
      <c r="E649" s="5"/>
      <c r="F649" s="5"/>
      <c r="G649" s="5"/>
      <c r="H649" s="7"/>
    </row>
    <row r="650" customFormat="false" ht="30" hidden="false" customHeight="true" outlineLevel="0" collapsed="false">
      <c r="A650" s="4" t="s">
        <v>6</v>
      </c>
      <c r="B650" s="5" t="s">
        <v>205</v>
      </c>
      <c r="C650" s="6" t="str">
        <f aca="false">HYPERLINK("https://partner.tcgplayer.com/c/6278691/1780961/21018?u=https%3A%2F%2Fwww.tcgplayer.com%2Fproduct%2F538773%3Futm_source%3Dimpact%26utm_medium%3Daffiliate%26utm_campaign%3Dpoke%2Bcottage","Luminous Energy")</f>
        <v>Luminous Energy</v>
      </c>
      <c r="D650" s="5" t="s">
        <v>369</v>
      </c>
      <c r="E650" s="5"/>
      <c r="F650" s="5"/>
      <c r="G650" s="5"/>
      <c r="H650" s="7"/>
    </row>
    <row r="651" customFormat="false" ht="30" hidden="false" customHeight="true" outlineLevel="0" collapsed="false">
      <c r="A651" s="4" t="s">
        <v>6</v>
      </c>
      <c r="B651" s="5" t="s">
        <v>205</v>
      </c>
      <c r="C651" s="5" t="s">
        <v>416</v>
      </c>
      <c r="D651" s="5" t="s">
        <v>343</v>
      </c>
      <c r="E651" s="5"/>
      <c r="F651" s="5" t="str">
        <f aca="false">HYPERLINK("https://www.ebay.com/sch/i.html?_nkw=Luminous+Energy+Pokemon+TCG+Gym+Paldea+Evolved+191+pokemon+card&amp;_sacat=0&amp;_from=R40&amp;_trksid=p4624852.m570.l1313&amp;mkcid=1&amp;mkrid=711-53200-19255-0&amp;siteid=0&amp;campid=5339158445&amp;customid=pokecottage&amp;toolid=10001&amp;mkevt=1","FIND ON EBAY")</f>
        <v>FIND ON EBAY</v>
      </c>
      <c r="G651" s="5"/>
      <c r="H651" s="7"/>
    </row>
    <row r="652" customFormat="false" ht="30" hidden="false" customHeight="true" outlineLevel="0" collapsed="false">
      <c r="A652" s="4" t="s">
        <v>6</v>
      </c>
      <c r="B652" s="5" t="s">
        <v>205</v>
      </c>
      <c r="C652" s="5" t="s">
        <v>416</v>
      </c>
      <c r="D652" s="5" t="s">
        <v>395</v>
      </c>
      <c r="E652" s="5"/>
      <c r="F652" s="5" t="str">
        <f aca="false">HYPERLINK("https://www.ebay.com/sch/i.html?_nkw=Luminous+Energy+World+Championships+Deck+2025+Pult+Bomb+by+Jose+Cruz+Galindo-Resendiz+Paldea+Evolved+191+pokemon+card&amp;_sacat=0&amp;_from=R40&amp;_trksid=p4624852.m570.l1313&amp;mkcid=1&amp;mkrid=711-53200-19255-0&amp;siteid=0&amp;campid=5339158445&amp;customid=pokecottage&amp;toolid=10001&amp;mkevt=1","FIND ON EBAY")</f>
        <v>FIND ON EBAY</v>
      </c>
      <c r="G652" s="5"/>
      <c r="H652" s="7"/>
    </row>
    <row r="653" customFormat="false" ht="30" hidden="false" customHeight="true" outlineLevel="0" collapsed="false">
      <c r="A653" s="4" t="s">
        <v>6</v>
      </c>
      <c r="B653" s="5" t="s">
        <v>206</v>
      </c>
      <c r="C653" s="6" t="str">
        <f aca="false">HYPERLINK("https://partner.tcgplayer.com/c/6278691/1780961/21018?u=https%3A%2F%2Fwww.tcgplayer.com%2Fproduct%2F538774%3Futm_source%3Dimpact%26utm_medium%3Daffiliate%26utm_campaign%3Dpoke%2Bcottage","Reversal Energy")</f>
        <v>Reversal Energy</v>
      </c>
      <c r="D653" s="5" t="s">
        <v>327</v>
      </c>
      <c r="E653" s="5"/>
      <c r="F653" s="5"/>
      <c r="G653" s="5"/>
      <c r="H653" s="7"/>
    </row>
    <row r="654" customFormat="false" ht="30" hidden="false" customHeight="true" outlineLevel="0" collapsed="false">
      <c r="A654" s="4" t="s">
        <v>6</v>
      </c>
      <c r="B654" s="5" t="s">
        <v>206</v>
      </c>
      <c r="C654" s="6" t="str">
        <f aca="false">HYPERLINK("https://partner.tcgplayer.com/c/6278691/1780961/21018?u=https%3A%2F%2Fwww.tcgplayer.com%2Fproduct%2F538774%3Futm_source%3Dimpact%26utm_medium%3Daffiliate%26utm_campaign%3Dpoke%2Bcottage","Reversal Energy")</f>
        <v>Reversal Energy</v>
      </c>
      <c r="D654" s="5" t="s">
        <v>369</v>
      </c>
      <c r="E654" s="5"/>
      <c r="F654" s="5"/>
      <c r="G654" s="5"/>
      <c r="H654" s="7"/>
    </row>
    <row r="655" customFormat="false" ht="30" hidden="false" customHeight="true" outlineLevel="0" collapsed="false">
      <c r="A655" s="4" t="s">
        <v>6</v>
      </c>
      <c r="B655" s="5" t="s">
        <v>206</v>
      </c>
      <c r="C655" s="6" t="str">
        <f aca="false">HYPERLINK("https://partner.tcgplayer.com/c/6278691/1780961/21018?u=https%3A%2F%2Fwww.tcgplayer.com%2Fproduct%2F542055%3Futm_source%3Dimpact%26utm_medium%3Daffiliate%26utm_campaign%3Dpoke%2Bcottage","Reversal Energy")</f>
        <v>Reversal Energy</v>
      </c>
      <c r="D655" s="5" t="s">
        <v>386</v>
      </c>
      <c r="E655" s="5"/>
      <c r="F655" s="5"/>
      <c r="G655" s="5"/>
      <c r="H655" s="7"/>
    </row>
    <row r="656" customFormat="false" ht="30" hidden="false" customHeight="true" outlineLevel="0" collapsed="false">
      <c r="A656" s="4" t="s">
        <v>6</v>
      </c>
      <c r="B656" s="5" t="s">
        <v>207</v>
      </c>
      <c r="C656" s="6" t="str">
        <f aca="false">HYPERLINK("https://partner.tcgplayer.com/c/6278691/1780961/21018?u=https%3A%2F%2Fwww.tcgplayer.com%2Fproduct%2F541803%3Futm_source%3Dimpact%26utm_medium%3Daffiliate%26utm_campaign%3Dpoke%2Bcottage","Therapeutic Energy")</f>
        <v>Therapeutic Energy</v>
      </c>
      <c r="D656" s="5" t="s">
        <v>390</v>
      </c>
      <c r="E656" s="5"/>
      <c r="F656" s="5"/>
      <c r="G656" s="5"/>
      <c r="H656" s="7"/>
    </row>
    <row r="657" customFormat="false" ht="30" hidden="false" customHeight="true" outlineLevel="0" collapsed="false">
      <c r="A657" s="4" t="s">
        <v>6</v>
      </c>
      <c r="B657" s="5" t="s">
        <v>218</v>
      </c>
      <c r="C657" s="6" t="str">
        <f aca="false">HYPERLINK("https://partner.tcgplayer.com/c/6278691/1780961/21018?u=https%3A%2F%2Fwww.tcgplayer.com%2Fproduct%2F716210%3Futm_source%3Dimpact%26utm_medium%3Daffiliate%26utm_campaign%3Dpoke%2Bcottage","Magikarp")</f>
        <v>Magikarp</v>
      </c>
      <c r="D657" s="5" t="s">
        <v>417</v>
      </c>
      <c r="E657" s="5"/>
      <c r="F657" s="5"/>
      <c r="G657" s="5"/>
      <c r="H657" s="7"/>
    </row>
    <row r="658" customFormat="false" ht="30" hidden="false" customHeight="true" outlineLevel="0" collapsed="false">
      <c r="A658" s="4" t="s">
        <v>6</v>
      </c>
      <c r="B658" s="5" t="s">
        <v>269</v>
      </c>
      <c r="C658" s="5" t="s">
        <v>418</v>
      </c>
      <c r="D658" s="5" t="s">
        <v>356</v>
      </c>
      <c r="E658" s="5"/>
      <c r="F658" s="5" t="str">
        <f aca="false">HYPERLINK("https://www.ebay.com/sch/i.html?_nkw=Grusha+Professor+Program+Paldea+Evolved+253+pokemon+card&amp;_sacat=0&amp;_from=R40&amp;_trksid=p4624852.m570.l1313&amp;mkcid=1&amp;mkrid=711-53200-19255-0&amp;siteid=0&amp;campid=5339158445&amp;customid=pokecottage&amp;toolid=10001&amp;mkevt=1","FIND ON EBAY")</f>
        <v>FIND ON EBAY</v>
      </c>
      <c r="G658" s="5"/>
      <c r="H658" s="7"/>
    </row>
    <row r="659" customFormat="false" ht="30" hidden="false" customHeight="true" outlineLevel="0" collapsed="false">
      <c r="A659" s="4" t="s">
        <v>6</v>
      </c>
      <c r="B659" s="5" t="s">
        <v>270</v>
      </c>
      <c r="C659" s="5" t="s">
        <v>408</v>
      </c>
      <c r="D659" s="5" t="s">
        <v>356</v>
      </c>
      <c r="E659" s="5"/>
      <c r="F659" s="5" t="str">
        <f aca="false">HYPERLINK("https://www.ebay.com/sch/i.html?_nkw=Iono+Professor+Program+Paldea+Evolved+254+pokemon+card&amp;_sacat=0&amp;_from=R40&amp;_trksid=p4624852.m570.l1313&amp;mkcid=1&amp;mkrid=711-53200-19255-0&amp;siteid=0&amp;campid=5339158445&amp;customid=pokecottage&amp;toolid=10001&amp;mkevt=1","FIND ON EBAY")</f>
        <v>FIND ON EBAY</v>
      </c>
      <c r="G659" s="5"/>
      <c r="H659" s="7"/>
    </row>
    <row r="661" customFormat="false" ht="24" hidden="false" customHeight="true" outlineLevel="0" collapsed="false">
      <c r="A661" s="8" t="s">
        <v>419</v>
      </c>
      <c r="B661" s="8"/>
      <c r="C661" s="8"/>
      <c r="D661" s="8"/>
      <c r="E661" s="8"/>
      <c r="F661" s="8"/>
      <c r="G661" s="8"/>
      <c r="H661" s="8"/>
    </row>
    <row r="662" customFormat="false" ht="24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</row>
  </sheetData>
  <mergeCells count="2">
    <mergeCell ref="A457:H457"/>
    <mergeCell ref="A661:H662"/>
  </mergeCells>
  <dataValidations count="1">
    <dataValidation allowBlank="false" errorStyle="stop" operator="between" showDropDown="false" showErrorMessage="false" showInputMessage="false" sqref="A2:A659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420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HYPERLINK("https://pokecottage.com/paldea-evolved-master-set-guide","Download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421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422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423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421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422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