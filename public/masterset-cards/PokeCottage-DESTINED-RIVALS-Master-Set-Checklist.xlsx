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stined Rival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<sst xmlns="http://schemas.openxmlformats.org/spreadsheetml/2006/main" count="1911" uniqueCount="314">
  <si>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</si>
  <si>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</si>
  <si>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</si>
  <si>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</si>
  <si>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</si>
  <si>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</si>
  <si>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</si>
  <si>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001/182</t>
  </si>
  <si>
    <t xml:space="preserve">Uncommon</t>
  </si>
  <si>
    <t xml:space="preserve">Standard</t>
  </si>
  <si>
    <t xml:space="preserve">Grand Master Set</t>
  </si>
  <si>
    <t xml:space="preserve">Reverse Holo</t>
  </si>
  <si>
    <t xml:space="preserve">002/182</t>
  </si>
  <si>
    <t xml:space="preserve">Common</t>
  </si>
  <si>
    <t xml:space="preserve">003/182</t>
  </si>
  <si>
    <t xml:space="preserve">Double Rare</t>
  </si>
  <si>
    <t xml:space="preserve">Holo</t>
  </si>
  <si>
    <t xml:space="preserve">004/182</t>
  </si>
  <si>
    <t xml:space="preserve">005/182</t>
  </si>
  <si>
    <t xml:space="preserve">006/182</t>
  </si>
  <si>
    <t xml:space="preserve">007/182</t>
  </si>
  <si>
    <t xml:space="preserve">008/182</t>
  </si>
  <si>
    <t xml:space="preserve">Rare</t>
  </si>
  <si>
    <t xml:space="preserve">009/182</t>
  </si>
  <si>
    <t xml:space="preserve">010/182</t>
  </si>
  <si>
    <t xml:space="preserve">011/182</t>
  </si>
  <si>
    <t xml:space="preserve">012/182</t>
  </si>
  <si>
    <t xml:space="preserve">013/182</t>
  </si>
  <si>
    <t xml:space="preserve">014/182</t>
  </si>
  <si>
    <t xml:space="preserve">015/182</t>
  </si>
  <si>
    <t xml:space="preserve">016/182</t>
  </si>
  <si>
    <t xml:space="preserve">017/182</t>
  </si>
  <si>
    <t xml:space="preserve">018/182</t>
  </si>
  <si>
    <t xml:space="preserve">019/182</t>
  </si>
  <si>
    <t xml:space="preserve">020/182</t>
  </si>
  <si>
    <t xml:space="preserve">021/182</t>
  </si>
  <si>
    <t xml:space="preserve">022/182</t>
  </si>
  <si>
    <t xml:space="preserve">023/182</t>
  </si>
  <si>
    <t xml:space="preserve">024/182</t>
  </si>
  <si>
    <t xml:space="preserve">025/182</t>
  </si>
  <si>
    <t xml:space="preserve">026/182</t>
  </si>
  <si>
    <t xml:space="preserve">027/182</t>
  </si>
  <si>
    <t xml:space="preserve">028/182</t>
  </si>
  <si>
    <t xml:space="preserve">029/182</t>
  </si>
  <si>
    <t xml:space="preserve">030/182</t>
  </si>
  <si>
    <t xml:space="preserve">031/182</t>
  </si>
  <si>
    <t xml:space="preserve">032/182</t>
  </si>
  <si>
    <t xml:space="preserve">033/182</t>
  </si>
  <si>
    <t xml:space="preserve">034/182</t>
  </si>
  <si>
    <t xml:space="preserve">035/182</t>
  </si>
  <si>
    <t xml:space="preserve">036/182</t>
  </si>
  <si>
    <t xml:space="preserve">037/182</t>
  </si>
  <si>
    <t xml:space="preserve">038/182</t>
  </si>
  <si>
    <t xml:space="preserve">039/182</t>
  </si>
  <si>
    <t xml:space="preserve">040/182</t>
  </si>
  <si>
    <t xml:space="preserve">041/182</t>
  </si>
  <si>
    <t xml:space="preserve">042/182</t>
  </si>
  <si>
    <t xml:space="preserve">043/182</t>
  </si>
  <si>
    <t xml:space="preserve">044/182</t>
  </si>
  <si>
    <t xml:space="preserve">045/182</t>
  </si>
  <si>
    <t xml:space="preserve">046/182</t>
  </si>
  <si>
    <t xml:space="preserve">047/182</t>
  </si>
  <si>
    <t xml:space="preserve">048/182</t>
  </si>
  <si>
    <t xml:space="preserve">049/182</t>
  </si>
  <si>
    <t xml:space="preserve">050/182</t>
  </si>
  <si>
    <t xml:space="preserve">051/182</t>
  </si>
  <si>
    <t xml:space="preserve">052/182</t>
  </si>
  <si>
    <t xml:space="preserve">053/182</t>
  </si>
  <si>
    <t xml:space="preserve">054/182</t>
  </si>
  <si>
    <t xml:space="preserve">055/182</t>
  </si>
  <si>
    <t xml:space="preserve">056/182</t>
  </si>
  <si>
    <t xml:space="preserve">057/182</t>
  </si>
  <si>
    <t xml:space="preserve">058/182</t>
  </si>
  <si>
    <t xml:space="preserve">059/182</t>
  </si>
  <si>
    <t xml:space="preserve">060/182</t>
  </si>
  <si>
    <t xml:space="preserve">061/182</t>
  </si>
  <si>
    <t xml:space="preserve">062/182</t>
  </si>
  <si>
    <t xml:space="preserve">063/182</t>
  </si>
  <si>
    <t xml:space="preserve">064/182</t>
  </si>
  <si>
    <t xml:space="preserve">065/182</t>
  </si>
  <si>
    <t xml:space="preserve">066/182</t>
  </si>
  <si>
    <t xml:space="preserve">067/182</t>
  </si>
  <si>
    <t xml:space="preserve">068/182</t>
  </si>
  <si>
    <t xml:space="preserve">069/182</t>
  </si>
  <si>
    <t xml:space="preserve">070/182</t>
  </si>
  <si>
    <t xml:space="preserve">071/182</t>
  </si>
  <si>
    <t xml:space="preserve">072/182</t>
  </si>
  <si>
    <t xml:space="preserve">073/182</t>
  </si>
  <si>
    <t xml:space="preserve">074/182</t>
  </si>
  <si>
    <t xml:space="preserve">075/182</t>
  </si>
  <si>
    <t xml:space="preserve">076/182</t>
  </si>
  <si>
    <t xml:space="preserve">077/182</t>
  </si>
  <si>
    <t xml:space="preserve">078/182</t>
  </si>
  <si>
    <t xml:space="preserve">079/182</t>
  </si>
  <si>
    <t xml:space="preserve">080/182</t>
  </si>
  <si>
    <t xml:space="preserve">081/182</t>
  </si>
  <si>
    <t xml:space="preserve">082/182</t>
  </si>
  <si>
    <t xml:space="preserve">083/182</t>
  </si>
  <si>
    <t xml:space="preserve">084/182</t>
  </si>
  <si>
    <t xml:space="preserve">085/182</t>
  </si>
  <si>
    <t xml:space="preserve">086/182</t>
  </si>
  <si>
    <t xml:space="preserve">087/182</t>
  </si>
  <si>
    <t xml:space="preserve">088/182</t>
  </si>
  <si>
    <t xml:space="preserve">089/182</t>
  </si>
  <si>
    <t xml:space="preserve">090/182</t>
  </si>
  <si>
    <t xml:space="preserve">091/182</t>
  </si>
  <si>
    <t xml:space="preserve">092/182</t>
  </si>
  <si>
    <t xml:space="preserve">093/182</t>
  </si>
  <si>
    <t xml:space="preserve">094/182</t>
  </si>
  <si>
    <t xml:space="preserve">095/182</t>
  </si>
  <si>
    <t xml:space="preserve">096/182</t>
  </si>
  <si>
    <t xml:space="preserve">097/182</t>
  </si>
  <si>
    <t xml:space="preserve">098/182</t>
  </si>
  <si>
    <t xml:space="preserve">099/182</t>
  </si>
  <si>
    <t xml:space="preserve">100/182</t>
  </si>
  <si>
    <t xml:space="preserve">101/182</t>
  </si>
  <si>
    <t xml:space="preserve">102/182</t>
  </si>
  <si>
    <t xml:space="preserve">103/182</t>
  </si>
  <si>
    <t xml:space="preserve">104/182</t>
  </si>
  <si>
    <t xml:space="preserve">105/182</t>
  </si>
  <si>
    <t xml:space="preserve">106/182</t>
  </si>
  <si>
    <t xml:space="preserve">107/182</t>
  </si>
  <si>
    <t xml:space="preserve">108/182</t>
  </si>
  <si>
    <t xml:space="preserve">109/182</t>
  </si>
  <si>
    <t xml:space="preserve">110/182</t>
  </si>
  <si>
    <t xml:space="preserve">111/182</t>
  </si>
  <si>
    <t xml:space="preserve">112/182</t>
  </si>
  <si>
    <t xml:space="preserve">113/182</t>
  </si>
  <si>
    <t xml:space="preserve">114/182</t>
  </si>
  <si>
    <t xml:space="preserve">115/182</t>
  </si>
  <si>
    <t xml:space="preserve">116/182</t>
  </si>
  <si>
    <t xml:space="preserve">117/182</t>
  </si>
  <si>
    <t xml:space="preserve">118/182</t>
  </si>
  <si>
    <t xml:space="preserve">119/182</t>
  </si>
  <si>
    <t xml:space="preserve">120/182</t>
  </si>
  <si>
    <t xml:space="preserve">121/182</t>
  </si>
  <si>
    <t xml:space="preserve">122/182</t>
  </si>
  <si>
    <t xml:space="preserve">123/182</t>
  </si>
  <si>
    <t xml:space="preserve">124/182</t>
  </si>
  <si>
    <t xml:space="preserve">125/182</t>
  </si>
  <si>
    <t xml:space="preserve">126/182</t>
  </si>
  <si>
    <t xml:space="preserve">127/182</t>
  </si>
  <si>
    <t xml:space="preserve">128/182</t>
  </si>
  <si>
    <t xml:space="preserve">129/182</t>
  </si>
  <si>
    <t xml:space="preserve">130/182</t>
  </si>
  <si>
    <t xml:space="preserve">131/182</t>
  </si>
  <si>
    <t xml:space="preserve">132/182</t>
  </si>
  <si>
    <t xml:space="preserve">133/182</t>
  </si>
  <si>
    <t xml:space="preserve">134/182</t>
  </si>
  <si>
    <t xml:space="preserve">135/182</t>
  </si>
  <si>
    <t xml:space="preserve">136/182</t>
  </si>
  <si>
    <t xml:space="preserve">137/182</t>
  </si>
  <si>
    <t xml:space="preserve">138/182</t>
  </si>
  <si>
    <t xml:space="preserve">139/182</t>
  </si>
  <si>
    <t xml:space="preserve">140/182</t>
  </si>
  <si>
    <t xml:space="preserve">141/182</t>
  </si>
  <si>
    <t xml:space="preserve">142/182</t>
  </si>
  <si>
    <t xml:space="preserve">143/182</t>
  </si>
  <si>
    <t xml:space="preserve">144/182</t>
  </si>
  <si>
    <t xml:space="preserve">145/182</t>
  </si>
  <si>
    <t xml:space="preserve">146/182</t>
  </si>
  <si>
    <t xml:space="preserve">147/182</t>
  </si>
  <si>
    <t xml:space="preserve">148/182</t>
  </si>
  <si>
    <t xml:space="preserve">149/182</t>
  </si>
  <si>
    <t xml:space="preserve">150/182</t>
  </si>
  <si>
    <t xml:space="preserve">151/182</t>
  </si>
  <si>
    <t xml:space="preserve">152/182</t>
  </si>
  <si>
    <t xml:space="preserve">153/182</t>
  </si>
  <si>
    <t xml:space="preserve">154/182</t>
  </si>
  <si>
    <t xml:space="preserve">155/182</t>
  </si>
  <si>
    <t xml:space="preserve">156/182</t>
  </si>
  <si>
    <t xml:space="preserve">157/182</t>
  </si>
  <si>
    <t xml:space="preserve">158/182</t>
  </si>
  <si>
    <t xml:space="preserve">159/182</t>
  </si>
  <si>
    <t xml:space="preserve">160/182</t>
  </si>
  <si>
    <t xml:space="preserve">161/182</t>
  </si>
  <si>
    <t xml:space="preserve">162/182</t>
  </si>
  <si>
    <t xml:space="preserve">163/182</t>
  </si>
  <si>
    <t xml:space="preserve">164/182</t>
  </si>
  <si>
    <t xml:space="preserve">165/182</t>
  </si>
  <si>
    <t xml:space="preserve">166/182</t>
  </si>
  <si>
    <t xml:space="preserve">167/182</t>
  </si>
  <si>
    <t xml:space="preserve">168/182</t>
  </si>
  <si>
    <t xml:space="preserve">169/182</t>
  </si>
  <si>
    <t xml:space="preserve">170/182</t>
  </si>
  <si>
    <t xml:space="preserve">171/182</t>
  </si>
  <si>
    <t xml:space="preserve">172/182</t>
  </si>
  <si>
    <t xml:space="preserve">173/182</t>
  </si>
  <si>
    <t xml:space="preserve">174/182</t>
  </si>
  <si>
    <t xml:space="preserve">175/182</t>
  </si>
  <si>
    <t xml:space="preserve">176/182</t>
  </si>
  <si>
    <t xml:space="preserve">177/182</t>
  </si>
  <si>
    <t xml:space="preserve">178/182</t>
  </si>
  <si>
    <t xml:space="preserve">179/182</t>
  </si>
  <si>
    <t xml:space="preserve">180/182</t>
  </si>
  <si>
    <t xml:space="preserve">181/182</t>
  </si>
  <si>
    <t xml:space="preserve">182/182</t>
  </si>
  <si>
    <t xml:space="preserve">183/182</t>
  </si>
  <si>
    <t xml:space="preserve">Illustration Rare</t>
  </si>
  <si>
    <t xml:space="preserve">184/182</t>
  </si>
  <si>
    <t xml:space="preserve">185/182</t>
  </si>
  <si>
    <t xml:space="preserve">186/182</t>
  </si>
  <si>
    <t xml:space="preserve">187/182</t>
  </si>
  <si>
    <t xml:space="preserve">188/182</t>
  </si>
  <si>
    <t xml:space="preserve">189/182</t>
  </si>
  <si>
    <t xml:space="preserve">190/182</t>
  </si>
  <si>
    <t xml:space="preserve">191/182</t>
  </si>
  <si>
    <t xml:space="preserve">192/182</t>
  </si>
  <si>
    <t xml:space="preserve">193/182</t>
  </si>
  <si>
    <t xml:space="preserve">194/182</t>
  </si>
  <si>
    <t xml:space="preserve">195/182</t>
  </si>
  <si>
    <t xml:space="preserve">196/182</t>
  </si>
  <si>
    <t xml:space="preserve">197/182</t>
  </si>
  <si>
    <t xml:space="preserve">198/182</t>
  </si>
  <si>
    <t xml:space="preserve">199/182</t>
  </si>
  <si>
    <t xml:space="preserve">200/182</t>
  </si>
  <si>
    <t xml:space="preserve">201/182</t>
  </si>
  <si>
    <t xml:space="preserve">202/182</t>
  </si>
  <si>
    <t xml:space="preserve">203/182</t>
  </si>
  <si>
    <t xml:space="preserve">204/182</t>
  </si>
  <si>
    <t xml:space="preserve">205/182</t>
  </si>
  <si>
    <t xml:space="preserve">206/182</t>
  </si>
  <si>
    <t xml:space="preserve">Ultra Rare</t>
  </si>
  <si>
    <t xml:space="preserve">207/182</t>
  </si>
  <si>
    <t xml:space="preserve">208/182</t>
  </si>
  <si>
    <t xml:space="preserve">209/182</t>
  </si>
  <si>
    <t xml:space="preserve">210/182</t>
  </si>
  <si>
    <t xml:space="preserve">211/182</t>
  </si>
  <si>
    <t xml:space="preserve">212/182</t>
  </si>
  <si>
    <t xml:space="preserve">213/182</t>
  </si>
  <si>
    <t xml:space="preserve">214/182</t>
  </si>
  <si>
    <t xml:space="preserve">215/182</t>
  </si>
  <si>
    <t xml:space="preserve">216/182</t>
  </si>
  <si>
    <t xml:space="preserve">217/182</t>
  </si>
  <si>
    <t xml:space="preserve">218/182</t>
  </si>
  <si>
    <t xml:space="preserve">219/182</t>
  </si>
  <si>
    <t xml:space="preserve">220/182</t>
  </si>
  <si>
    <t xml:space="preserve">221/182</t>
  </si>
  <si>
    <t xml:space="preserve">222/182</t>
  </si>
  <si>
    <t xml:space="preserve">223/182</t>
  </si>
  <si>
    <t xml:space="preserve">224/182</t>
  </si>
  <si>
    <t xml:space="preserve">225/182</t>
  </si>
  <si>
    <t xml:space="preserve">226/182</t>
  </si>
  <si>
    <t xml:space="preserve">227/182</t>
  </si>
  <si>
    <t xml:space="preserve">228/182</t>
  </si>
  <si>
    <t xml:space="preserve">Special Illustration Rare</t>
  </si>
  <si>
    <t xml:space="preserve">229/182</t>
  </si>
  <si>
    <t xml:space="preserve">230/182</t>
  </si>
  <si>
    <t xml:space="preserve">231/182</t>
  </si>
  <si>
    <t xml:space="preserve">232/182</t>
  </si>
  <si>
    <t xml:space="preserve">233/182</t>
  </si>
  <si>
    <t xml:space="preserve">234/182</t>
  </si>
  <si>
    <t xml:space="preserve">235/182</t>
  </si>
  <si>
    <t xml:space="preserve">236/182</t>
  </si>
  <si>
    <t xml:space="preserve">237/182</t>
  </si>
  <si>
    <t xml:space="preserve">238/182</t>
  </si>
  <si>
    <t xml:space="preserve">239/182</t>
  </si>
  <si>
    <t xml:space="preserve">Hyper Rare</t>
  </si>
  <si>
    <t xml:space="preserve">240/182</t>
  </si>
  <si>
    <t xml:space="preserve">241/182</t>
  </si>
  <si>
    <t xml:space="preserve">242/182</t>
  </si>
  <si>
    <t xml:space="preserve">243/182</t>
  </si>
  <si>
    <t xml:space="preserve">244/182</t>
  </si>
  <si>
    <t xml:space="preserve">Promos &amp; Variants - Optional</t>
  </si>
  <si>
    <t xml:space="preserve">SVP 199</t>
  </si>
  <si>
    <t xml:space="preserve">Destined Rivals Single Pack Blister Zarude</t>
  </si>
  <si>
    <t xml:space="preserve">SVP 200</t>
  </si>
  <si>
    <t xml:space="preserve">Destined Rivals Single Pack Blister Eevee</t>
  </si>
  <si>
    <t xml:space="preserve">SVP 201</t>
  </si>
  <si>
    <t xml:space="preserve">Destined Rivals Pack Blister Zebstrika</t>
  </si>
  <si>
    <t xml:space="preserve">SVP 202</t>
  </si>
  <si>
    <t xml:space="preserve">Destined Rivals Pack Blister Kangaskhan</t>
  </si>
  <si>
    <t xml:space="preserve">SVP 203</t>
  </si>
  <si>
    <t xml:space="preserve">Destined Rivals Elite Trainer Box</t>
  </si>
  <si>
    <t xml:space="preserve">Pokémon Center Elite Trainer Box</t>
  </si>
  <si>
    <t xml:space="preserve">SVP 204</t>
  </si>
  <si>
    <t xml:space="preserve">Cynthia’s Garchomp box</t>
  </si>
  <si>
    <t xml:space="preserve">SVP 205</t>
  </si>
  <si>
    <t xml:space="preserve">Mewtwo ex Box</t>
  </si>
  <si>
    <t xml:space="preserve">SVP 206</t>
  </si>
  <si>
    <t xml:space="preserve">Marnie Rival Battle Deck</t>
  </si>
  <si>
    <t xml:space="preserve">SVP 207</t>
  </si>
  <si>
    <t xml:space="preserve">Steven Rival Battle Deck</t>
  </si>
  <si>
    <t xml:space="preserve">SVP 216</t>
  </si>
  <si>
    <t xml:space="preserve">Mewtwo ex Tin</t>
  </si>
  <si>
    <t xml:space="preserve">SVP 217</t>
  </si>
  <si>
    <t xml:space="preserve">Nidoking ex Tin</t>
  </si>
  <si>
    <t xml:space="preserve">SVP 218</t>
  </si>
  <si>
    <t xml:space="preserve">Persian ex Tin</t>
  </si>
  <si>
    <t xml:space="preserve">Play! Pokémon</t>
  </si>
  <si>
    <t xml:space="preserve">Play! Pokémon (Cosmos Holo)</t>
  </si>
  <si>
    <t xml:space="preserve">Shaymin</t>
  </si>
  <si>
    <t xml:space="preserve">Pokémon TCG Gym</t>
  </si>
  <si>
    <t xml:space="preserve">Cosmos Holo</t>
  </si>
  <si>
    <t xml:space="preserve">League Battle Deck — Non-Holo</t>
  </si>
  <si>
    <t xml:space="preserve">Expansion Stamp</t>
  </si>
  <si>
    <t xml:space="preserve">Build &amp; Battle Deck Non-Holo</t>
  </si>
  <si>
    <t xml:space="preserve">Expansion Stamp (Staff)</t>
  </si>
  <si>
    <t xml:space="preserve">Ethan's Ho-Oh ex</t>
  </si>
  <si>
    <t xml:space="preserve">EB Games</t>
  </si>
  <si>
    <t xml:space="preserve">GameStop</t>
  </si>
  <si>
    <t xml:space="preserve">Premier Ball League</t>
  </si>
  <si>
    <t xml:space="preserve">Pokémon Center</t>
  </si>
  <si>
    <t xml:space="preserve">Professor Program</t>
  </si>
  <si>
    <t xml:space="preserve">Regional Championships</t>
  </si>
  <si>
    <t xml:space="preserve">Team Rocket's Giovanni</t>
  </si>
  <si>
    <t xml:space="preserve">Regional Championships (Staff)</t>
  </si>
  <si>
    <t xml:space="preserve">Team Rocket's Petrel</t>
  </si>
  <si>
    <t xml:space="preserve">World Championships Deck 2025: Joltdengo by Liao Fu Guan</t>
  </si>
  <si>
    <t xml:space="preserve">This checklist contains affiliate links for which I may be compensated.</t>
  </si>
  <si>
    <t xml:space="preserve">Want free Destined Rivals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</si>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</sst>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IFERROR((COUNTIF(A2:A410,"☑"))/((COUNTIF(A2:A410,"☑"))+(COUNTIF(A2:A410,"☐"))),0)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HYPERLINK("https://partner.tcgplayer.com/c/6278691/1780961/21018?u=https%3A%2F%2Fwww.tcgplayer.com%2Fproduct%2F632829%3Futm_source%3Dimpact%26utm_medium%3Daffiliate%26utm_campaign%3Dpoke%2Bcottage","Ethan's Pinsir")</f>
        <v>Ethan's Pinsir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IFERROR(COUNTIF(A2:A496,"☑")/(COUNTIF(A2:A496,"☑")+COUNTIF(A2:A496,"☐")),0)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HYPERLINK("https://partner.tcgplayer.com/c/6278691/1780961/21018?u=https%3A%2F%2Fwww.tcgplayer.com%2Fproduct%2F632829%3Futm_source%3Dimpact%26utm_medium%3Daffiliate%26utm_campaign%3Dpoke%2Bcottage","Ethan's Pinsir")</f>
        <v>Ethan's Pinsir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HYPERLINK("https://partner.tcgplayer.com/c/6278691/1780961/21018?u=https%3A%2F%2Fwww.tcgplayer.com%2Fproduct%2F632830%3Futm_source%3Dimpact%26utm_medium%3Daffiliate%26utm_campaign%3Dpoke%2Bcottage","Yanma")</f>
        <v>Yanma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HYPERLINK("https://partner.tcgplayer.com/c/6278691/1780961/21018?u=https%3A%2F%2Fwww.tcgplayer.com%2Fproduct%2F632830%3Futm_source%3Dimpact%26utm_medium%3Daffiliate%26utm_campaign%3Dpoke%2Bcottage","Yanma")</f>
        <v>Yanma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HYPERLINK("https://partner.tcgplayer.com/c/6278691/1780961/21018?u=https%3A%2F%2Fwww.tcgplayer.com%2Fproduct%2F632831%3Futm_source%3Dimpact%26utm_medium%3Daffiliate%26utm_campaign%3Dpoke%2Bcottage","Yanmega ex")</f>
        <v>Yanmega ex</v>
      </c>
      <c r="D6" s="5" t="s">
        <v>15</v>
      </c>
      <c r="E6" s="5" t="s">
        <v>16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17</v>
      </c>
      <c r="C7" s="6" t="str">
        <f aca="false">HYPERLINK("https://partner.tcgplayer.com/c/6278691/1780961/21018?u=https%3A%2F%2Fwww.tcgplayer.com%2Fproduct%2F632832%3Futm_source%3Dimpact%26utm_medium%3Daffiliate%26utm_campaign%3Dpoke%2Bcottage","Pineco")</f>
        <v>Pineco</v>
      </c>
      <c r="D7" s="5" t="s">
        <v>13</v>
      </c>
      <c r="E7" s="5" t="s">
        <v>9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17</v>
      </c>
      <c r="C8" s="6" t="str">
        <f aca="false">HYPERLINK("https://partner.tcgplayer.com/c/6278691/1780961/21018?u=https%3A%2F%2Fwww.tcgplayer.com%2Fproduct%2F632832%3Futm_source%3Dimpact%26utm_medium%3Daffiliate%26utm_campaign%3Dpoke%2Bcottage","Pineco")</f>
        <v>Pineco</v>
      </c>
      <c r="D8" s="5" t="s">
        <v>13</v>
      </c>
      <c r="E8" s="5" t="s">
        <v>11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18</v>
      </c>
      <c r="C9" s="6" t="str">
        <f aca="false">HYPERLINK("https://partner.tcgplayer.com/c/6278691/1780961/21018?u=https%3A%2F%2Fwww.tcgplayer.com%2Fproduct%2F632833%3Futm_source%3Dimpact%26utm_medium%3Daffiliate%26utm_campaign%3Dpoke%2Bcottage","Shroomish")</f>
        <v>Shroomish</v>
      </c>
      <c r="D9" s="5" t="s">
        <v>13</v>
      </c>
      <c r="E9" s="5" t="s">
        <v>9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HYPERLINK("https://partner.tcgplayer.com/c/6278691/1780961/21018?u=https%3A%2F%2Fwww.tcgplayer.com%2Fproduct%2F632833%3Futm_source%3Dimpact%26utm_medium%3Daffiliate%26utm_campaign%3Dpoke%2Bcottage","Shroomish")</f>
        <v>Shroomish</v>
      </c>
      <c r="D10" s="5" t="s">
        <v>13</v>
      </c>
      <c r="E10" s="5" t="s">
        <v>11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19</v>
      </c>
      <c r="C11" s="6" t="str">
        <f aca="false">HYPERLINK("https://partner.tcgplayer.com/c/6278691/1780961/21018?u=https%3A%2F%2Fwww.tcgplayer.com%2Fproduct%2F632834%3Futm_source%3Dimpact%26utm_medium%3Daffiliate%26utm_campaign%3Dpoke%2Bcottage","Breloom")</f>
        <v>Breloom</v>
      </c>
      <c r="D11" s="5" t="s">
        <v>13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19</v>
      </c>
      <c r="C12" s="6" t="str">
        <f aca="false">HYPERLINK("https://partner.tcgplayer.com/c/6278691/1780961/21018?u=https%3A%2F%2Fwww.tcgplayer.com%2Fproduct%2F632834%3Futm_source%3Dimpact%26utm_medium%3Daffiliate%26utm_campaign%3Dpoke%2Bcottage","Breloom")</f>
        <v>Breloom</v>
      </c>
      <c r="D12" s="5" t="s">
        <v>13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20</v>
      </c>
      <c r="C13" s="6" t="str">
        <f aca="false">HYPERLINK("https://partner.tcgplayer.com/c/6278691/1780961/21018?u=https%3A%2F%2Fwww.tcgplayer.com%2Fproduct%2F630803%3Futm_source%3Dimpact%26utm_medium%3Daffiliate%26utm_campaign%3Dpoke%2Bcottage","Cynthia's Roselia")</f>
        <v>Cynthia's Roselia</v>
      </c>
      <c r="D13" s="5" t="s">
        <v>13</v>
      </c>
      <c r="E13" s="5" t="s">
        <v>9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20</v>
      </c>
      <c r="C14" s="6" t="str">
        <f aca="false">HYPERLINK("https://partner.tcgplayer.com/c/6278691/1780961/21018?u=https%3A%2F%2Fwww.tcgplayer.com%2Fproduct%2F630803%3Futm_source%3Dimpact%26utm_medium%3Daffiliate%26utm_campaign%3Dpoke%2Bcottage","Cynthia's Roselia")</f>
        <v>Cynthia's Roselia</v>
      </c>
      <c r="D14" s="5" t="s">
        <v>13</v>
      </c>
      <c r="E14" s="5" t="s">
        <v>11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21</v>
      </c>
      <c r="C15" s="6" t="str">
        <f aca="false">HYPERLINK("https://partner.tcgplayer.com/c/6278691/1780961/21018?u=https%3A%2F%2Fwww.tcgplayer.com%2Fproduct%2F630804%3Futm_source%3Dimpact%26utm_medium%3Daffiliate%26utm_campaign%3Dpoke%2Bcottage","Cynthia's Roserade")</f>
        <v>Cynthia's Roserade</v>
      </c>
      <c r="D15" s="5" t="s">
        <v>22</v>
      </c>
      <c r="E15" s="5" t="s">
        <v>16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21</v>
      </c>
      <c r="C16" s="6" t="str">
        <f aca="false">HYPERLINK("https://partner.tcgplayer.com/c/6278691/1780961/21018?u=https%3A%2F%2Fwww.tcgplayer.com%2Fproduct%2F630804%3Futm_source%3Dimpact%26utm_medium%3Daffiliate%26utm_campaign%3Dpoke%2Bcottage","Cynthia's Roserade")</f>
        <v>Cynthia's Roserade</v>
      </c>
      <c r="D16" s="5" t="s">
        <v>22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23</v>
      </c>
      <c r="C17" s="6" t="str">
        <f aca="false">HYPERLINK("https://partner.tcgplayer.com/c/6278691/1780961/21018?u=https%3A%2F%2Fwww.tcgplayer.com%2Fproduct%2F632835%3Futm_source%3Dimpact%26utm_medium%3Daffiliate%26utm_campaign%3Dpoke%2Bcottage","Mow Rotom")</f>
        <v>Mow Rotom</v>
      </c>
      <c r="D17" s="5" t="s">
        <v>13</v>
      </c>
      <c r="E17" s="5" t="s">
        <v>9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23</v>
      </c>
      <c r="C18" s="6" t="str">
        <f aca="false">HYPERLINK("https://partner.tcgplayer.com/c/6278691/1780961/21018?u=https%3A%2F%2Fwww.tcgplayer.com%2Fproduct%2F632835%3Futm_source%3Dimpact%26utm_medium%3Daffiliate%26utm_campaign%3Dpoke%2Bcottage","Mow Rotom")</f>
        <v>Mow Rotom</v>
      </c>
      <c r="D18" s="5" t="s">
        <v>13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24</v>
      </c>
      <c r="C19" s="6" t="str">
        <f aca="false">HYPERLINK("https://partner.tcgplayer.com/c/6278691/1780961/21018?u=https%3A%2F%2Fwww.tcgplayer.com%2Fproduct%2F632836%3Futm_source%3Dimpact%26utm_medium%3Daffiliate%26utm_campaign%3Dpoke%2Bcottage","Shaymin")</f>
        <v>Shaymin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24</v>
      </c>
      <c r="C20" s="6" t="str">
        <f aca="false">HYPERLINK("https://partner.tcgplayer.com/c/6278691/1780961/21018?u=https%3A%2F%2Fwww.tcgplayer.com%2Fproduct%2F632836%3Futm_source%3Dimpact%26utm_medium%3Daffiliate%26utm_campaign%3Dpoke%2Bcottage","Shaymin")</f>
        <v>Shaymin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25</v>
      </c>
      <c r="C21" s="6" t="str">
        <f aca="false">HYPERLINK("https://partner.tcgplayer.com/c/6278691/1780961/21018?u=https%3A%2F%2Fwww.tcgplayer.com%2Fproduct%2F632837%3Futm_source%3Dimpact%26utm_medium%3Daffiliate%26utm_campaign%3Dpoke%2Bcottage","Dwebble")</f>
        <v>Dwebble</v>
      </c>
      <c r="D21" s="5" t="s">
        <v>13</v>
      </c>
      <c r="E21" s="5" t="s">
        <v>9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25</v>
      </c>
      <c r="C22" s="6" t="str">
        <f aca="false">HYPERLINK("https://partner.tcgplayer.com/c/6278691/1780961/21018?u=https%3A%2F%2Fwww.tcgplayer.com%2Fproduct%2F632837%3Futm_source%3Dimpact%26utm_medium%3Daffiliate%26utm_campaign%3Dpoke%2Bcottage","Dwebble")</f>
        <v>Dwebble</v>
      </c>
      <c r="D22" s="5" t="s">
        <v>13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26</v>
      </c>
      <c r="C23" s="6" t="str">
        <f aca="false">HYPERLINK("https://partner.tcgplayer.com/c/6278691/1780961/21018?u=https%3A%2F%2Fwww.tcgplayer.com%2Fproduct%2F632838%3Futm_source%3Dimpact%26utm_medium%3Daffiliate%26utm_campaign%3Dpoke%2Bcottage","Crustle")</f>
        <v>Crustle</v>
      </c>
      <c r="D23" s="5" t="s">
        <v>22</v>
      </c>
      <c r="E23" s="5" t="s">
        <v>16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26</v>
      </c>
      <c r="C24" s="6" t="str">
        <f aca="false">HYPERLINK("https://partner.tcgplayer.com/c/6278691/1780961/21018?u=https%3A%2F%2Fwww.tcgplayer.com%2Fproduct%2F632838%3Futm_source%3Dimpact%26utm_medium%3Daffiliate%26utm_campaign%3Dpoke%2Bcottage","Crustle")</f>
        <v>Crustle</v>
      </c>
      <c r="D24" s="5" t="s">
        <v>22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HYPERLINK("https://partner.tcgplayer.com/c/6278691/1780961/21018?u=https%3A%2F%2Fwww.tcgplayer.com%2Fproduct%2F632839%3Futm_source%3Dimpact%26utm_medium%3Daffiliate%26utm_campaign%3Dpoke%2Bcottage","Fomantis")</f>
        <v>Fomantis</v>
      </c>
      <c r="D25" s="5" t="s">
        <v>13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HYPERLINK("https://partner.tcgplayer.com/c/6278691/1780961/21018?u=https%3A%2F%2Fwww.tcgplayer.com%2Fproduct%2F632839%3Futm_source%3Dimpact%26utm_medium%3Daffiliate%26utm_campaign%3Dpoke%2Bcottage","Fomantis")</f>
        <v>Fomantis</v>
      </c>
      <c r="D26" s="5" t="s">
        <v>13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HYPERLINK("https://partner.tcgplayer.com/c/6278691/1780961/21018?u=https%3A%2F%2Fwww.tcgplayer.com%2Fproduct%2F632840%3Futm_source%3Dimpact%26utm_medium%3Daffiliate%26utm_campaign%3Dpoke%2Bcottage","Lurantis")</f>
        <v>Lurantis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HYPERLINK("https://partner.tcgplayer.com/c/6278691/1780961/21018?u=https%3A%2F%2Fwww.tcgplayer.com%2Fproduct%2F632840%3Futm_source%3Dimpact%26utm_medium%3Daffiliate%26utm_campaign%3Dpoke%2Bcottage","Lurantis")</f>
        <v>Lurantis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HYPERLINK("https://partner.tcgplayer.com/c/6278691/1780961/21018?u=https%3A%2F%2Fwww.tcgplayer.com%2Fproduct%2F632841%3Futm_source%3Dimpact%26utm_medium%3Daffiliate%26utm_campaign%3Dpoke%2Bcottage","Team Rocket's Blipbug")</f>
        <v>Team Rocket's Blipbug</v>
      </c>
      <c r="D29" s="5" t="s">
        <v>13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29</v>
      </c>
      <c r="C30" s="6" t="str">
        <f aca="false">HYPERLINK("https://partner.tcgplayer.com/c/6278691/1780961/21018?u=https%3A%2F%2Fwww.tcgplayer.com%2Fproduct%2F632841%3Futm_source%3Dimpact%26utm_medium%3Daffiliate%26utm_campaign%3Dpoke%2Bcottage","Team Rocket's Blipbug")</f>
        <v>Team Rocket's Blipbug</v>
      </c>
      <c r="D30" s="5" t="s">
        <v>13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HYPERLINK("https://partner.tcgplayer.com/c/6278691/1780961/21018?u=https%3A%2F%2Fwww.tcgplayer.com%2Fproduct%2F632842%3Futm_source%3Dimpact%26utm_medium%3Daffiliate%26utm_campaign%3Dpoke%2Bcottage","Applin")</f>
        <v>Applin</v>
      </c>
      <c r="D31" s="5" t="s">
        <v>13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30</v>
      </c>
      <c r="C32" s="6" t="str">
        <f aca="false">HYPERLINK("https://partner.tcgplayer.com/c/6278691/1780961/21018?u=https%3A%2F%2Fwww.tcgplayer.com%2Fproduct%2F632842%3Futm_source%3Dimpact%26utm_medium%3Daffiliate%26utm_campaign%3Dpoke%2Bcottage","Applin")</f>
        <v>Applin</v>
      </c>
      <c r="D32" s="5" t="s">
        <v>13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HYPERLINK("https://partner.tcgplayer.com/c/6278691/1780961/21018?u=https%3A%2F%2Fwww.tcgplayer.com%2Fproduct%2F632843%3Futm_source%3Dimpact%26utm_medium%3Daffiliate%26utm_campaign%3Dpoke%2Bcottage","Dipplin")</f>
        <v>Dipplin</v>
      </c>
      <c r="D33" s="5" t="s">
        <v>13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31</v>
      </c>
      <c r="C34" s="6" t="str">
        <f aca="false">HYPERLINK("https://partner.tcgplayer.com/c/6278691/1780961/21018?u=https%3A%2F%2Fwww.tcgplayer.com%2Fproduct%2F632843%3Futm_source%3Dimpact%26utm_medium%3Daffiliate%26utm_campaign%3Dpoke%2Bcottage","Dipplin")</f>
        <v>Dipplin</v>
      </c>
      <c r="D34" s="5" t="s">
        <v>13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HYPERLINK("https://partner.tcgplayer.com/c/6278691/1780961/21018?u=https%3A%2F%2Fwww.tcgplayer.com%2Fproduct%2F632844%3Futm_source%3Dimpact%26utm_medium%3Daffiliate%26utm_campaign%3Dpoke%2Bcottage","Hydrapple")</f>
        <v>Hydrapple</v>
      </c>
      <c r="D35" s="5" t="s">
        <v>22</v>
      </c>
      <c r="E35" s="5" t="s">
        <v>16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32</v>
      </c>
      <c r="C36" s="6" t="str">
        <f aca="false">HYPERLINK("https://partner.tcgplayer.com/c/6278691/1780961/21018?u=https%3A%2F%2Fwww.tcgplayer.com%2Fproduct%2F632844%3Futm_source%3Dimpact%26utm_medium%3Daffiliate%26utm_campaign%3Dpoke%2Bcottage","Hydrapple")</f>
        <v>Hydrapple</v>
      </c>
      <c r="D36" s="5" t="s">
        <v>22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HYPERLINK("https://partner.tcgplayer.com/c/6278691/1780961/21018?u=https%3A%2F%2Fwww.tcgplayer.com%2Fproduct%2F632845%3Futm_source%3Dimpact%26utm_medium%3Daffiliate%26utm_campaign%3Dpoke%2Bcottage","Team Rocket's Tarountula")</f>
        <v>Team Rocket's Tarountula</v>
      </c>
      <c r="D37" s="5" t="s">
        <v>13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33</v>
      </c>
      <c r="C38" s="6" t="str">
        <f aca="false">HYPERLINK("https://partner.tcgplayer.com/c/6278691/1780961/21018?u=https%3A%2F%2Fwww.tcgplayer.com%2Fproduct%2F632845%3Futm_source%3Dimpact%26utm_medium%3Daffiliate%26utm_campaign%3Dpoke%2Bcottage","Team Rocket's Tarountula")</f>
        <v>Team Rocket's Tarountula</v>
      </c>
      <c r="D38" s="5" t="s">
        <v>13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HYPERLINK("https://partner.tcgplayer.com/c/6278691/1780961/21018?u=https%3A%2F%2Fwww.tcgplayer.com%2Fproduct%2F632846%3Futm_source%3Dimpact%26utm_medium%3Daffiliate%26utm_campaign%3Dpoke%2Bcottage","Team Rocket's Spidops")</f>
        <v>Team Rocket's Spidops</v>
      </c>
      <c r="D39" s="5" t="s">
        <v>22</v>
      </c>
      <c r="E39" s="5" t="s">
        <v>16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HYPERLINK("https://partner.tcgplayer.com/c/6278691/1780961/21018?u=https%3A%2F%2Fwww.tcgplayer.com%2Fproduct%2F632846%3Futm_source%3Dimpact%26utm_medium%3Daffiliate%26utm_campaign%3Dpoke%2Bcottage","Team Rocket's Spidops")</f>
        <v>Team Rocket's Spidops</v>
      </c>
      <c r="D40" s="5" t="s">
        <v>22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HYPERLINK("https://partner.tcgplayer.com/c/6278691/1780961/21018?u=https%3A%2F%2Fwww.tcgplayer.com%2Fproduct%2F630805%3Futm_source%3Dimpact%26utm_medium%3Daffiliate%26utm_campaign%3Dpoke%2Bcottage","Smoliv")</f>
        <v>Smoliv</v>
      </c>
      <c r="D41" s="5" t="s">
        <v>13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HYPERLINK("https://partner.tcgplayer.com/c/6278691/1780961/21018?u=https%3A%2F%2Fwww.tcgplayer.com%2Fproduct%2F630805%3Futm_source%3Dimpact%26utm_medium%3Daffiliate%26utm_campaign%3Dpoke%2Bcottage","Smoliv")</f>
        <v>Smoliv</v>
      </c>
      <c r="D42" s="5" t="s">
        <v>13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HYPERLINK("https://partner.tcgplayer.com/c/6278691/1780961/21018?u=https%3A%2F%2Fwww.tcgplayer.com%2Fproduct%2F630806%3Futm_source%3Dimpact%26utm_medium%3Daffiliate%26utm_campaign%3Dpoke%2Bcottage","Dolliv")</f>
        <v>Dolliv</v>
      </c>
      <c r="D43" s="5" t="s">
        <v>13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HYPERLINK("https://partner.tcgplayer.com/c/6278691/1780961/21018?u=https%3A%2F%2Fwww.tcgplayer.com%2Fproduct%2F630806%3Futm_source%3Dimpact%26utm_medium%3Daffiliate%26utm_campaign%3Dpoke%2Bcottage","Dolliv")</f>
        <v>Dolliv</v>
      </c>
      <c r="D44" s="5" t="s">
        <v>13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HYPERLINK("https://partner.tcgplayer.com/c/6278691/1780961/21018?u=https%3A%2F%2Fwww.tcgplayer.com%2Fproduct%2F630807%3Futm_source%3Dimpact%26utm_medium%3Daffiliate%26utm_campaign%3Dpoke%2Bcottage","Arboliva ex")</f>
        <v>Arboliva ex</v>
      </c>
      <c r="D45" s="5" t="s">
        <v>15</v>
      </c>
      <c r="E45" s="5" t="s">
        <v>16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HYPERLINK("https://partner.tcgplayer.com/c/6278691/1780961/21018?u=https%3A%2F%2Fwww.tcgplayer.com%2Fproduct%2F632847%3Futm_source%3Dimpact%26utm_medium%3Daffiliate%26utm_campaign%3Dpoke%2Bcottage","Rellor")</f>
        <v>Rellor</v>
      </c>
      <c r="D46" s="5" t="s">
        <v>13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HYPERLINK("https://partner.tcgplayer.com/c/6278691/1780961/21018?u=https%3A%2F%2Fwww.tcgplayer.com%2Fproduct%2F632847%3Futm_source%3Dimpact%26utm_medium%3Daffiliate%26utm_campaign%3Dpoke%2Bcottage","Rellor")</f>
        <v>Rellor</v>
      </c>
      <c r="D47" s="5" t="s">
        <v>13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HYPERLINK("https://partner.tcgplayer.com/c/6278691/1780961/21018?u=https%3A%2F%2Fwww.tcgplayer.com%2Fproduct%2F632848%3Futm_source%3Dimpact%26utm_medium%3Daffiliate%26utm_campaign%3Dpoke%2Bcottage","Rabsca ex")</f>
        <v>Rabsca ex</v>
      </c>
      <c r="D48" s="5" t="s">
        <v>15</v>
      </c>
      <c r="E48" s="5" t="s">
        <v>16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40</v>
      </c>
      <c r="C49" s="6" t="str">
        <f aca="false">HYPERLINK("https://partner.tcgplayer.com/c/6278691/1780961/21018?u=https%3A%2F%2Fwww.tcgplayer.com%2Fproduct%2F632849%3Futm_source%3Dimpact%26utm_medium%3Daffiliate%26utm_campaign%3Dpoke%2Bcottage","Teal Mask Ogerpon")</f>
        <v>Teal Mask Ogerpon</v>
      </c>
      <c r="D49" s="5" t="s">
        <v>8</v>
      </c>
      <c r="E49" s="5" t="s">
        <v>9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HYPERLINK("https://partner.tcgplayer.com/c/6278691/1780961/21018?u=https%3A%2F%2Fwww.tcgplayer.com%2Fproduct%2F632849%3Futm_source%3Dimpact%26utm_medium%3Daffiliate%26utm_campaign%3Dpoke%2Bcottage","Teal Mask Ogerpon")</f>
        <v>Teal Mask Ogerpon</v>
      </c>
      <c r="D50" s="5" t="s">
        <v>8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41</v>
      </c>
      <c r="C51" s="6" t="str">
        <f aca="false">HYPERLINK("https://partner.tcgplayer.com/c/6278691/1780961/21018?u=https%3A%2F%2Fwww.tcgplayer.com%2Fproduct%2F632850%3Futm_source%3Dimpact%26utm_medium%3Daffiliate%26utm_campaign%3Dpoke%2Bcottage","Growlithe")</f>
        <v>Growlithe</v>
      </c>
      <c r="D51" s="5" t="s">
        <v>13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HYPERLINK("https://partner.tcgplayer.com/c/6278691/1780961/21018?u=https%3A%2F%2Fwww.tcgplayer.com%2Fproduct%2F632850%3Futm_source%3Dimpact%26utm_medium%3Daffiliate%26utm_campaign%3Dpoke%2Bcottage","Growlithe")</f>
        <v>Growlithe</v>
      </c>
      <c r="D52" s="5" t="s">
        <v>13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42</v>
      </c>
      <c r="C53" s="6" t="str">
        <f aca="false">HYPERLINK("https://partner.tcgplayer.com/c/6278691/1780961/21018?u=https%3A%2F%2Fwww.tcgplayer.com%2Fproduct%2F632851%3Futm_source%3Dimpact%26utm_medium%3Daffiliate%26utm_campaign%3Dpoke%2Bcottage","Arcanine")</f>
        <v>Arcanine</v>
      </c>
      <c r="D53" s="5" t="s">
        <v>8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HYPERLINK("https://partner.tcgplayer.com/c/6278691/1780961/21018?u=https%3A%2F%2Fwww.tcgplayer.com%2Fproduct%2F632851%3Futm_source%3Dimpact%26utm_medium%3Daffiliate%26utm_campaign%3Dpoke%2Bcottage","Arcanine")</f>
        <v>Arcanine</v>
      </c>
      <c r="D54" s="5" t="s">
        <v>8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HYPERLINK("https://partner.tcgplayer.com/c/6278691/1780961/21018?u=https%3A%2F%2Fwww.tcgplayer.com%2Fproduct%2F632852%3Futm_source%3Dimpact%26utm_medium%3Daffiliate%26utm_campaign%3Dpoke%2Bcottage","Ponyta")</f>
        <v>Ponyta</v>
      </c>
      <c r="D55" s="5" t="s">
        <v>13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HYPERLINK("https://partner.tcgplayer.com/c/6278691/1780961/21018?u=https%3A%2F%2Fwww.tcgplayer.com%2Fproduct%2F632852%3Futm_source%3Dimpact%26utm_medium%3Daffiliate%26utm_campaign%3Dpoke%2Bcottage","Ponyta")</f>
        <v>Ponyta</v>
      </c>
      <c r="D56" s="5" t="s">
        <v>13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HYPERLINK("https://partner.tcgplayer.com/c/6278691/1780961/21018?u=https%3A%2F%2Fwww.tcgplayer.com%2Fproduct%2F632853%3Futm_source%3Dimpact%26utm_medium%3Daffiliate%26utm_campaign%3Dpoke%2Bcottage","Rapidash")</f>
        <v>Rapidash</v>
      </c>
      <c r="D57" s="5" t="s">
        <v>8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HYPERLINK("https://partner.tcgplayer.com/c/6278691/1780961/21018?u=https%3A%2F%2Fwww.tcgplayer.com%2Fproduct%2F632853%3Futm_source%3Dimpact%26utm_medium%3Daffiliate%26utm_campaign%3Dpoke%2Bcottage","Rapidash")</f>
        <v>Rapidash</v>
      </c>
      <c r="D58" s="5" t="s">
        <v>8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HYPERLINK("https://partner.tcgplayer.com/c/6278691/1780961/21018?u=https%3A%2F%2Fwww.tcgplayer.com%2Fproduct%2F630808%3Futm_source%3Dimpact%26utm_medium%3Daffiliate%26utm_campaign%3Dpoke%2Bcottage","Team Rocket's Moltres ex")</f>
        <v>Team Rocket's Moltres ex</v>
      </c>
      <c r="D59" s="5" t="s">
        <v>15</v>
      </c>
      <c r="E59" s="5" t="s">
        <v>16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46</v>
      </c>
      <c r="C60" s="6" t="str">
        <f aca="false">HYPERLINK("https://partner.tcgplayer.com/c/6278691/1780961/21018?u=https%3A%2F%2Fwww.tcgplayer.com%2Fproduct%2F632854%3Futm_source%3Dimpact%26utm_medium%3Daffiliate%26utm_campaign%3Dpoke%2Bcottage","Ethan's Cyndaquil")</f>
        <v>Ethan's Cyndaquil</v>
      </c>
      <c r="D60" s="5" t="s">
        <v>13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HYPERLINK("https://partner.tcgplayer.com/c/6278691/1780961/21018?u=https%3A%2F%2Fwww.tcgplayer.com%2Fproduct%2F632854%3Futm_source%3Dimpact%26utm_medium%3Daffiliate%26utm_campaign%3Dpoke%2Bcottage","Ethan's Cyndaquil")</f>
        <v>Ethan's Cyndaquil</v>
      </c>
      <c r="D61" s="5" t="s">
        <v>13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47</v>
      </c>
      <c r="C62" s="6" t="str">
        <f aca="false">HYPERLINK("https://partner.tcgplayer.com/c/6278691/1780961/21018?u=https%3A%2F%2Fwww.tcgplayer.com%2Fproduct%2F632855%3Futm_source%3Dimpact%26utm_medium%3Daffiliate%26utm_campaign%3Dpoke%2Bcottage","Ethan's Quilava")</f>
        <v>Ethan's Quilava</v>
      </c>
      <c r="D62" s="5" t="s">
        <v>13</v>
      </c>
      <c r="E62" s="5" t="s">
        <v>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HYPERLINK("https://partner.tcgplayer.com/c/6278691/1780961/21018?u=https%3A%2F%2Fwww.tcgplayer.com%2Fproduct%2F632855%3Futm_source%3Dimpact%26utm_medium%3Daffiliate%26utm_campaign%3Dpoke%2Bcottage","Ethan's Quilava")</f>
        <v>Ethan's Quilava</v>
      </c>
      <c r="D63" s="5" t="s">
        <v>13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48</v>
      </c>
      <c r="C64" s="6" t="str">
        <f aca="false">HYPERLINK("https://partner.tcgplayer.com/c/6278691/1780961/21018?u=https%3A%2F%2Fwww.tcgplayer.com%2Fproduct%2F630809%3Futm_source%3Dimpact%26utm_medium%3Daffiliate%26utm_campaign%3Dpoke%2Bcottage","Ethan's Typhlosion")</f>
        <v>Ethan's Typhlosion</v>
      </c>
      <c r="D64" s="5" t="s">
        <v>22</v>
      </c>
      <c r="E64" s="5" t="s">
        <v>16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HYPERLINK("https://partner.tcgplayer.com/c/6278691/1780961/21018?u=https%3A%2F%2Fwww.tcgplayer.com%2Fproduct%2F630809%3Futm_source%3Dimpact%26utm_medium%3Daffiliate%26utm_campaign%3Dpoke%2Bcottage","Ethan's Typhlosion")</f>
        <v>Ethan's Typhlosion</v>
      </c>
      <c r="D65" s="5" t="s">
        <v>22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HYPERLINK("https://partner.tcgplayer.com/c/6278691/1780961/21018?u=https%3A%2F%2Fwww.tcgplayer.com%2Fproduct%2F630810%3Futm_source%3Dimpact%26utm_medium%3Daffiliate%26utm_campaign%3Dpoke%2Bcottage","Ethan's Slugma")</f>
        <v>Ethan's Slugma</v>
      </c>
      <c r="D66" s="5" t="s">
        <v>13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HYPERLINK("https://partner.tcgplayer.com/c/6278691/1780961/21018?u=https%3A%2F%2Fwww.tcgplayer.com%2Fproduct%2F630810%3Futm_source%3Dimpact%26utm_medium%3Daffiliate%26utm_campaign%3Dpoke%2Bcottage","Ethan's Slugma")</f>
        <v>Ethan's Slugma</v>
      </c>
      <c r="D67" s="5" t="s">
        <v>13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HYPERLINK("https://partner.tcgplayer.com/c/6278691/1780961/21018?u=https%3A%2F%2Fwww.tcgplayer.com%2Fproduct%2F630811%3Futm_source%3Dimpact%26utm_medium%3Daffiliate%26utm_campaign%3Dpoke%2Bcottage","Ethan's Magcargo")</f>
        <v>Ethan's Magcargo</v>
      </c>
      <c r="D68" s="5" t="s">
        <v>22</v>
      </c>
      <c r="E68" s="5" t="s">
        <v>16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HYPERLINK("https://partner.tcgplayer.com/c/6278691/1780961/21018?u=https%3A%2F%2Fwww.tcgplayer.com%2Fproduct%2F630811%3Futm_source%3Dimpact%26utm_medium%3Daffiliate%26utm_campaign%3Dpoke%2Bcottage","Ethan's Magcargo")</f>
        <v>Ethan's Magcargo</v>
      </c>
      <c r="D69" s="5" t="s">
        <v>22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HYPERLINK("https://partner.tcgplayer.com/c/6278691/1780961/21018?u=https%3A%2F%2Fwww.tcgplayer.com%2Fproduct%2F632856%3Futm_source%3Dimpact%26utm_medium%3Daffiliate%26utm_campaign%3Dpoke%2Bcottage","Team Rocket's Houndour")</f>
        <v>Team Rocket's Houndour</v>
      </c>
      <c r="D70" s="5" t="s">
        <v>13</v>
      </c>
      <c r="E70" s="5" t="s">
        <v>9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HYPERLINK("https://partner.tcgplayer.com/c/6278691/1780961/21018?u=https%3A%2F%2Fwww.tcgplayer.com%2Fproduct%2F632856%3Futm_source%3Dimpact%26utm_medium%3Daffiliate%26utm_campaign%3Dpoke%2Bcottage","Team Rocket's Houndour")</f>
        <v>Team Rocket's Houndour</v>
      </c>
      <c r="D71" s="5" t="s">
        <v>13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HYPERLINK("https://partner.tcgplayer.com/c/6278691/1780961/21018?u=https%3A%2F%2Fwww.tcgplayer.com%2Fproduct%2F632857%3Futm_source%3Dimpact%26utm_medium%3Daffiliate%26utm_campaign%3Dpoke%2Bcottage","Team Rocket's Houndoom")</f>
        <v>Team Rocket's Houndoom</v>
      </c>
      <c r="D72" s="5" t="s">
        <v>8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HYPERLINK("https://partner.tcgplayer.com/c/6278691/1780961/21018?u=https%3A%2F%2Fwww.tcgplayer.com%2Fproduct%2F632857%3Futm_source%3Dimpact%26utm_medium%3Daffiliate%26utm_campaign%3Dpoke%2Bcottage","Team Rocket's Houndoom")</f>
        <v>Team Rocket's Houndoom</v>
      </c>
      <c r="D73" s="5" t="s">
        <v>8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HYPERLINK("https://partner.tcgplayer.com/c/6278691/1780961/21018?u=https%3A%2F%2Fwww.tcgplayer.com%2Fproduct%2F632858%3Futm_source%3Dimpact%26utm_medium%3Daffiliate%26utm_campaign%3Dpoke%2Bcottage","Ethan's Ho-Oh ex")</f>
        <v>Ethan's Ho-Oh ex</v>
      </c>
      <c r="D74" s="5" t="s">
        <v>15</v>
      </c>
      <c r="E74" s="5" t="s">
        <v>16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54</v>
      </c>
      <c r="C75" s="6" t="str">
        <f aca="false">HYPERLINK("https://partner.tcgplayer.com/c/6278691/1780961/21018?u=https%3A%2F%2Fwww.tcgplayer.com%2Fproduct%2F632859%3Futm_source%3Dimpact%26utm_medium%3Daffiliate%26utm_campaign%3Dpoke%2Bcottage","Torchic")</f>
        <v>Torchic</v>
      </c>
      <c r="D75" s="5" t="s">
        <v>13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HYPERLINK("https://partner.tcgplayer.com/c/6278691/1780961/21018?u=https%3A%2F%2Fwww.tcgplayer.com%2Fproduct%2F632859%3Futm_source%3Dimpact%26utm_medium%3Daffiliate%26utm_campaign%3Dpoke%2Bcottage","Torchic")</f>
        <v>Torchic</v>
      </c>
      <c r="D76" s="5" t="s">
        <v>13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HYPERLINK("https://partner.tcgplayer.com/c/6278691/1780961/21018?u=https%3A%2F%2Fwww.tcgplayer.com%2Fproduct%2F632860%3Futm_source%3Dimpact%26utm_medium%3Daffiliate%26utm_campaign%3Dpoke%2Bcottage","Combusken")</f>
        <v>Combusken</v>
      </c>
      <c r="D77" s="5" t="s">
        <v>13</v>
      </c>
      <c r="E77" s="5" t="s">
        <v>9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HYPERLINK("https://partner.tcgplayer.com/c/6278691/1780961/21018?u=https%3A%2F%2Fwww.tcgplayer.com%2Fproduct%2F632860%3Futm_source%3Dimpact%26utm_medium%3Daffiliate%26utm_campaign%3Dpoke%2Bcottage","Combusken")</f>
        <v>Combusken</v>
      </c>
      <c r="D78" s="5" t="s">
        <v>13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HYPERLINK("https://partner.tcgplayer.com/c/6278691/1780961/21018?u=https%3A%2F%2Fwww.tcgplayer.com%2Fproduct%2F632861%3Futm_source%3Dimpact%26utm_medium%3Daffiliate%26utm_campaign%3Dpoke%2Bcottage","Blaziken")</f>
        <v>Blaziken</v>
      </c>
      <c r="D79" s="5" t="s">
        <v>22</v>
      </c>
      <c r="E79" s="5" t="s">
        <v>16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HYPERLINK("https://partner.tcgplayer.com/c/6278691/1780961/21018?u=https%3A%2F%2Fwww.tcgplayer.com%2Fproduct%2F632861%3Futm_source%3Dimpact%26utm_medium%3Daffiliate%26utm_campaign%3Dpoke%2Bcottage","Blaziken")</f>
        <v>Blaziken</v>
      </c>
      <c r="D80" s="5" t="s">
        <v>22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HYPERLINK("https://partner.tcgplayer.com/c/6278691/1780961/21018?u=https%3A%2F%2Fwww.tcgplayer.com%2Fproduct%2F632862%3Futm_source%3Dimpact%26utm_medium%3Daffiliate%26utm_campaign%3Dpoke%2Bcottage","Heat Rotom")</f>
        <v>Heat Rotom</v>
      </c>
      <c r="D81" s="5" t="s">
        <v>13</v>
      </c>
      <c r="E81" s="5" t="s">
        <v>9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HYPERLINK("https://partner.tcgplayer.com/c/6278691/1780961/21018?u=https%3A%2F%2Fwww.tcgplayer.com%2Fproduct%2F632862%3Futm_source%3Dimpact%26utm_medium%3Daffiliate%26utm_campaign%3Dpoke%2Bcottage","Heat Rotom")</f>
        <v>Heat Rotom</v>
      </c>
      <c r="D82" s="5" t="s">
        <v>13</v>
      </c>
      <c r="E82" s="5" t="s">
        <v>11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HYPERLINK("https://partner.tcgplayer.com/c/6278691/1780961/21018?u=https%3A%2F%2Fwww.tcgplayer.com%2Fproduct%2F632863%3Futm_source%3Dimpact%26utm_medium%3Daffiliate%26utm_campaign%3Dpoke%2Bcottage","Hearthflame Mask Ogerpon")</f>
        <v>Hearthflame Mask Ogerpon</v>
      </c>
      <c r="D83" s="5" t="s">
        <v>8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HYPERLINK("https://partner.tcgplayer.com/c/6278691/1780961/21018?u=https%3A%2F%2Fwww.tcgplayer.com%2Fproduct%2F632863%3Futm_source%3Dimpact%26utm_medium%3Daffiliate%26utm_campaign%3Dpoke%2Bcottage","Hearthflame Mask Ogerpon")</f>
        <v>Hearthflame Mask Ogerpon</v>
      </c>
      <c r="D84" s="5" t="s">
        <v>8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HYPERLINK("https://partner.tcgplayer.com/c/6278691/1780961/21018?u=https%3A%2F%2Fwww.tcgplayer.com%2Fproduct%2F630812%3Futm_source%3Dimpact%26utm_medium%3Daffiliate%26utm_campaign%3Dpoke%2Bcottage","Misty's Psyduck")</f>
        <v>Misty's Psyduck</v>
      </c>
      <c r="D85" s="5" t="s">
        <v>8</v>
      </c>
      <c r="E85" s="5" t="s">
        <v>9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HYPERLINK("https://partner.tcgplayer.com/c/6278691/1780961/21018?u=https%3A%2F%2Fwww.tcgplayer.com%2Fproduct%2F630812%3Futm_source%3Dimpact%26utm_medium%3Daffiliate%26utm_campaign%3Dpoke%2Bcottage","Misty's Psyduck")</f>
        <v>Misty's Psyduck</v>
      </c>
      <c r="D86" s="5" t="s">
        <v>8</v>
      </c>
      <c r="E86" s="5" t="s">
        <v>11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HYPERLINK("https://partner.tcgplayer.com/c/6278691/1780961/21018?u=https%3A%2F%2Fwww.tcgplayer.com%2Fproduct%2F630813%3Futm_source%3Dimpact%26utm_medium%3Daffiliate%26utm_campaign%3Dpoke%2Bcottage","Misty's Staryu")</f>
        <v>Misty's Staryu</v>
      </c>
      <c r="D87" s="5" t="s">
        <v>13</v>
      </c>
      <c r="E87" s="5" t="s">
        <v>9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HYPERLINK("https://partner.tcgplayer.com/c/6278691/1780961/21018?u=https%3A%2F%2Fwww.tcgplayer.com%2Fproduct%2F630813%3Futm_source%3Dimpact%26utm_medium%3Daffiliate%26utm_campaign%3Dpoke%2Bcottage","Misty's Staryu")</f>
        <v>Misty's Staryu</v>
      </c>
      <c r="D88" s="5" t="s">
        <v>13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HYPERLINK("https://partner.tcgplayer.com/c/6278691/1780961/21018?u=https%3A%2F%2Fwww.tcgplayer.com%2Fproduct%2F630814%3Futm_source%3Dimpact%26utm_medium%3Daffiliate%26utm_campaign%3Dpoke%2Bcottage","Misty's Starmie")</f>
        <v>Misty's Starmie</v>
      </c>
      <c r="D89" s="5" t="s">
        <v>8</v>
      </c>
      <c r="E89" s="5" t="s">
        <v>9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HYPERLINK("https://partner.tcgplayer.com/c/6278691/1780961/21018?u=https%3A%2F%2Fwww.tcgplayer.com%2Fproduct%2F630814%3Futm_source%3Dimpact%26utm_medium%3Daffiliate%26utm_campaign%3Dpoke%2Bcottage","Misty's Starmie")</f>
        <v>Misty's Starmie</v>
      </c>
      <c r="D90" s="5" t="s">
        <v>8</v>
      </c>
      <c r="E90" s="5" t="s">
        <v>11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HYPERLINK("https://partner.tcgplayer.com/c/6278691/1780961/21018?u=https%3A%2F%2Fwww.tcgplayer.com%2Fproduct%2F630815%3Futm_source%3Dimpact%26utm_medium%3Daffiliate%26utm_campaign%3Dpoke%2Bcottage","Misty's Magikarp")</f>
        <v>Misty's Magikarp</v>
      </c>
      <c r="D91" s="5" t="s">
        <v>13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HYPERLINK("https://partner.tcgplayer.com/c/6278691/1780961/21018?u=https%3A%2F%2Fwww.tcgplayer.com%2Fproduct%2F630815%3Futm_source%3Dimpact%26utm_medium%3Daffiliate%26utm_campaign%3Dpoke%2Bcottage","Misty's Magikarp")</f>
        <v>Misty's Magikarp</v>
      </c>
      <c r="D92" s="5" t="s">
        <v>13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HYPERLINK("https://partner.tcgplayer.com/c/6278691/1780961/21018?u=https%3A%2F%2Fwww.tcgplayer.com%2Fproduct%2F630816%3Futm_source%3Dimpact%26utm_medium%3Daffiliate%26utm_campaign%3Dpoke%2Bcottage","Misty's Gyarados")</f>
        <v>Misty's Gyarados</v>
      </c>
      <c r="D93" s="5" t="s">
        <v>22</v>
      </c>
      <c r="E93" s="5" t="s">
        <v>16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HYPERLINK("https://partner.tcgplayer.com/c/6278691/1780961/21018?u=https%3A%2F%2Fwww.tcgplayer.com%2Fproduct%2F630816%3Futm_source%3Dimpact%26utm_medium%3Daffiliate%26utm_campaign%3Dpoke%2Bcottage","Misty's Gyarados")</f>
        <v>Misty's Gyarados</v>
      </c>
      <c r="D94" s="5" t="s">
        <v>22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HYPERLINK("https://partner.tcgplayer.com/c/6278691/1780961/21018?u=https%3A%2F%2Fwww.tcgplayer.com%2Fproduct%2F630817%3Futm_source%3Dimpact%26utm_medium%3Daffiliate%26utm_campaign%3Dpoke%2Bcottage","Misty's Lapras")</f>
        <v>Misty's Lapras</v>
      </c>
      <c r="D95" s="5" t="s">
        <v>13</v>
      </c>
      <c r="E95" s="5" t="s">
        <v>9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HYPERLINK("https://partner.tcgplayer.com/c/6278691/1780961/21018?u=https%3A%2F%2Fwww.tcgplayer.com%2Fproduct%2F630817%3Futm_source%3Dimpact%26utm_medium%3Daffiliate%26utm_campaign%3Dpoke%2Bcottage","Misty's Lapras")</f>
        <v>Misty's Lapras</v>
      </c>
      <c r="D96" s="5" t="s">
        <v>13</v>
      </c>
      <c r="E96" s="5" t="s">
        <v>11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HYPERLINK("https://partner.tcgplayer.com/c/6278691/1780961/21018?u=https%3A%2F%2Fwww.tcgplayer.com%2Fproduct%2F632864%3Futm_source%3Dimpact%26utm_medium%3Daffiliate%26utm_campaign%3Dpoke%2Bcottage","Team Rocket's Articuno")</f>
        <v>Team Rocket's Articuno</v>
      </c>
      <c r="D97" s="5" t="s">
        <v>22</v>
      </c>
      <c r="E97" s="5" t="s">
        <v>16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HYPERLINK("https://partner.tcgplayer.com/c/6278691/1780961/21018?u=https%3A%2F%2Fwww.tcgplayer.com%2Fproduct%2F632864%3Futm_source%3Dimpact%26utm_medium%3Daffiliate%26utm_campaign%3Dpoke%2Bcottage","Team Rocket's Articuno")</f>
        <v>Team Rocket's Articuno</v>
      </c>
      <c r="D98" s="5" t="s">
        <v>22</v>
      </c>
      <c r="E98" s="5" t="s">
        <v>11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HYPERLINK("https://partner.tcgplayer.com/c/6278691/1780961/21018?u=https%3A%2F%2Fwww.tcgplayer.com%2Fproduct%2F632865%3Futm_source%3Dimpact%26utm_medium%3Daffiliate%26utm_campaign%3Dpoke%2Bcottage","Cynthia's Feebas")</f>
        <v>Cynthia's Feebas</v>
      </c>
      <c r="D99" s="5" t="s">
        <v>13</v>
      </c>
      <c r="E99" s="5" t="s">
        <v>9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HYPERLINK("https://partner.tcgplayer.com/c/6278691/1780961/21018?u=https%3A%2F%2Fwww.tcgplayer.com%2Fproduct%2F632865%3Futm_source%3Dimpact%26utm_medium%3Daffiliate%26utm_campaign%3Dpoke%2Bcottage","Cynthia's Feebas")</f>
        <v>Cynthia's Feebas</v>
      </c>
      <c r="D100" s="5" t="s">
        <v>13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HYPERLINK("https://partner.tcgplayer.com/c/6278691/1780961/21018?u=https%3A%2F%2Fwww.tcgplayer.com%2Fproduct%2F632866%3Futm_source%3Dimpact%26utm_medium%3Daffiliate%26utm_campaign%3Dpoke%2Bcottage","Cynthia's Milotic")</f>
        <v>Cynthia's Milotic</v>
      </c>
      <c r="D101" s="5" t="s">
        <v>8</v>
      </c>
      <c r="E101" s="5" t="s">
        <v>9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HYPERLINK("https://partner.tcgplayer.com/c/6278691/1780961/21018?u=https%3A%2F%2Fwww.tcgplayer.com%2Fproduct%2F632866%3Futm_source%3Dimpact%26utm_medium%3Daffiliate%26utm_campaign%3Dpoke%2Bcottage","Cynthia's Milotic")</f>
        <v>Cynthia's Milotic</v>
      </c>
      <c r="D102" s="5" t="s">
        <v>8</v>
      </c>
      <c r="E102" s="5" t="s">
        <v>11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HYPERLINK("https://partner.tcgplayer.com/c/6278691/1780961/21018?u=https%3A%2F%2Fwww.tcgplayer.com%2Fproduct%2F632867%3Futm_source%3Dimpact%26utm_medium%3Daffiliate%26utm_campaign%3Dpoke%2Bcottage","Clamperl")</f>
        <v>Clamperl</v>
      </c>
      <c r="D103" s="5" t="s">
        <v>13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68</v>
      </c>
      <c r="C104" s="6" t="str">
        <f aca="false">HYPERLINK("https://partner.tcgplayer.com/c/6278691/1780961/21018?u=https%3A%2F%2Fwww.tcgplayer.com%2Fproduct%2F632867%3Futm_source%3Dimpact%26utm_medium%3Daffiliate%26utm_campaign%3Dpoke%2Bcottage","Clamperl")</f>
        <v>Clamperl</v>
      </c>
      <c r="D104" s="5" t="s">
        <v>13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HYPERLINK("https://partner.tcgplayer.com/c/6278691/1780961/21018?u=https%3A%2F%2Fwww.tcgplayer.com%2Fproduct%2F632868%3Futm_source%3Dimpact%26utm_medium%3Daffiliate%26utm_campaign%3Dpoke%2Bcottage","Huntail")</f>
        <v>Huntail</v>
      </c>
      <c r="D105" s="5" t="s">
        <v>8</v>
      </c>
      <c r="E105" s="5" t="s">
        <v>9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69</v>
      </c>
      <c r="C106" s="6" t="str">
        <f aca="false">HYPERLINK("https://partner.tcgplayer.com/c/6278691/1780961/21018?u=https%3A%2F%2Fwww.tcgplayer.com%2Fproduct%2F632868%3Futm_source%3Dimpact%26utm_medium%3Daffiliate%26utm_campaign%3Dpoke%2Bcottage","Huntail")</f>
        <v>Huntail</v>
      </c>
      <c r="D106" s="5" t="s">
        <v>8</v>
      </c>
      <c r="E106" s="5" t="s">
        <v>11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HYPERLINK("https://partner.tcgplayer.com/c/6278691/1780961/21018?u=https%3A%2F%2Fwww.tcgplayer.com%2Fproduct%2F632869%3Futm_source%3Dimpact%26utm_medium%3Daffiliate%26utm_campaign%3Dpoke%2Bcottage","Gorebyss")</f>
        <v>Gorebyss</v>
      </c>
      <c r="D107" s="5" t="s">
        <v>22</v>
      </c>
      <c r="E107" s="5" t="s">
        <v>16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70</v>
      </c>
      <c r="C108" s="6" t="str">
        <f aca="false">HYPERLINK("https://partner.tcgplayer.com/c/6278691/1780961/21018?u=https%3A%2F%2Fwww.tcgplayer.com%2Fproduct%2F632869%3Futm_source%3Dimpact%26utm_medium%3Daffiliate%26utm_campaign%3Dpoke%2Bcottage","Gorebyss")</f>
        <v>Gorebyss</v>
      </c>
      <c r="D108" s="5" t="s">
        <v>22</v>
      </c>
      <c r="E108" s="5" t="s">
        <v>11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HYPERLINK("https://partner.tcgplayer.com/c/6278691/1780961/21018?u=https%3A%2F%2Fwww.tcgplayer.com%2Fproduct%2F632870%3Futm_source%3Dimpact%26utm_medium%3Daffiliate%26utm_campaign%3Dpoke%2Bcottage","Buizel")</f>
        <v>Buizel</v>
      </c>
      <c r="D109" s="5" t="s">
        <v>13</v>
      </c>
      <c r="E109" s="5" t="s">
        <v>9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71</v>
      </c>
      <c r="C110" s="6" t="str">
        <f aca="false">HYPERLINK("https://partner.tcgplayer.com/c/6278691/1780961/21018?u=https%3A%2F%2Fwww.tcgplayer.com%2Fproduct%2F632870%3Futm_source%3Dimpact%26utm_medium%3Daffiliate%26utm_campaign%3Dpoke%2Bcottage","Buizel")</f>
        <v>Buizel</v>
      </c>
      <c r="D110" s="5" t="s">
        <v>13</v>
      </c>
      <c r="E110" s="5" t="s">
        <v>11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HYPERLINK("https://partner.tcgplayer.com/c/6278691/1780961/21018?u=https%3A%2F%2Fwww.tcgplayer.com%2Fproduct%2F632871%3Futm_source%3Dimpact%26utm_medium%3Daffiliate%26utm_campaign%3Dpoke%2Bcottage","Floatzel")</f>
        <v>Floatzel</v>
      </c>
      <c r="D111" s="5" t="s">
        <v>8</v>
      </c>
      <c r="E111" s="5" t="s">
        <v>9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72</v>
      </c>
      <c r="C112" s="6" t="str">
        <f aca="false">HYPERLINK("https://partner.tcgplayer.com/c/6278691/1780961/21018?u=https%3A%2F%2Fwww.tcgplayer.com%2Fproduct%2F632871%3Futm_source%3Dimpact%26utm_medium%3Daffiliate%26utm_campaign%3Dpoke%2Bcottage","Floatzel")</f>
        <v>Floatzel</v>
      </c>
      <c r="D112" s="5" t="s">
        <v>8</v>
      </c>
      <c r="E112" s="5" t="s">
        <v>11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HYPERLINK("https://partner.tcgplayer.com/c/6278691/1780961/21018?u=https%3A%2F%2Fwww.tcgplayer.com%2Fproduct%2F632872%3Futm_source%3Dimpact%26utm_medium%3Daffiliate%26utm_campaign%3Dpoke%2Bcottage","Snover")</f>
        <v>Snover</v>
      </c>
      <c r="D113" s="5" t="s">
        <v>13</v>
      </c>
      <c r="E113" s="5" t="s">
        <v>9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73</v>
      </c>
      <c r="C114" s="6" t="str">
        <f aca="false">HYPERLINK("https://partner.tcgplayer.com/c/6278691/1780961/21018?u=https%3A%2F%2Fwww.tcgplayer.com%2Fproduct%2F632872%3Futm_source%3Dimpact%26utm_medium%3Daffiliate%26utm_campaign%3Dpoke%2Bcottage","Snover")</f>
        <v>Snover</v>
      </c>
      <c r="D114" s="5" t="s">
        <v>13</v>
      </c>
      <c r="E114" s="5" t="s">
        <v>11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74</v>
      </c>
      <c r="C115" s="6" t="str">
        <f aca="false">HYPERLINK("https://partner.tcgplayer.com/c/6278691/1780961/21018?u=https%3A%2F%2Fwww.tcgplayer.com%2Fproduct%2F632873%3Futm_source%3Dimpact%26utm_medium%3Daffiliate%26utm_campaign%3Dpoke%2Bcottage","Abomasnow")</f>
        <v>Abomasnow</v>
      </c>
      <c r="D115" s="5" t="s">
        <v>8</v>
      </c>
      <c r="E115" s="5" t="s">
        <v>9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74</v>
      </c>
      <c r="C116" s="6" t="str">
        <f aca="false">HYPERLINK("https://partner.tcgplayer.com/c/6278691/1780961/21018?u=https%3A%2F%2Fwww.tcgplayer.com%2Fproduct%2F632873%3Futm_source%3Dimpact%26utm_medium%3Daffiliate%26utm_campaign%3Dpoke%2Bcottage","Abomasnow")</f>
        <v>Abomasnow</v>
      </c>
      <c r="D116" s="5" t="s">
        <v>8</v>
      </c>
      <c r="E116" s="5" t="s">
        <v>11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75</v>
      </c>
      <c r="C117" s="6" t="str">
        <f aca="false">HYPERLINK("https://partner.tcgplayer.com/c/6278691/1780961/21018?u=https%3A%2F%2Fwww.tcgplayer.com%2Fproduct%2F632874%3Futm_source%3Dimpact%26utm_medium%3Daffiliate%26utm_campaign%3Dpoke%2Bcottage","Wash Rotom")</f>
        <v>Wash Rotom</v>
      </c>
      <c r="D117" s="5" t="s">
        <v>13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75</v>
      </c>
      <c r="C118" s="6" t="str">
        <f aca="false">HYPERLINK("https://partner.tcgplayer.com/c/6278691/1780961/21018?u=https%3A%2F%2Fwww.tcgplayer.com%2Fproduct%2F632874%3Futm_source%3Dimpact%26utm_medium%3Daffiliate%26utm_campaign%3Dpoke%2Bcottage","Wash Rotom")</f>
        <v>Wash Rotom</v>
      </c>
      <c r="D118" s="5" t="s">
        <v>13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76</v>
      </c>
      <c r="C119" s="6" t="str">
        <f aca="false">HYPERLINK("https://partner.tcgplayer.com/c/6278691/1780961/21018?u=https%3A%2F%2Fwww.tcgplayer.com%2Fproduct%2F632875%3Futm_source%3Dimpact%26utm_medium%3Daffiliate%26utm_campaign%3Dpoke%2Bcottage","Arrokuda")</f>
        <v>Arrokuda</v>
      </c>
      <c r="D119" s="5" t="s">
        <v>13</v>
      </c>
      <c r="E119" s="5" t="s">
        <v>9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76</v>
      </c>
      <c r="C120" s="6" t="str">
        <f aca="false">HYPERLINK("https://partner.tcgplayer.com/c/6278691/1780961/21018?u=https%3A%2F%2Fwww.tcgplayer.com%2Fproduct%2F632875%3Futm_source%3Dimpact%26utm_medium%3Daffiliate%26utm_campaign%3Dpoke%2Bcottage","Arrokuda")</f>
        <v>Arrokuda</v>
      </c>
      <c r="D120" s="5" t="s">
        <v>13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77</v>
      </c>
      <c r="C121" s="6" t="str">
        <f aca="false">HYPERLINK("https://partner.tcgplayer.com/c/6278691/1780961/21018?u=https%3A%2F%2Fwww.tcgplayer.com%2Fproduct%2F632876%3Futm_source%3Dimpact%26utm_medium%3Daffiliate%26utm_campaign%3Dpoke%2Bcottage","Barraskewda")</f>
        <v>Barraskewda</v>
      </c>
      <c r="D121" s="5" t="s">
        <v>8</v>
      </c>
      <c r="E121" s="5" t="s">
        <v>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77</v>
      </c>
      <c r="C122" s="6" t="str">
        <f aca="false">HYPERLINK("https://partner.tcgplayer.com/c/6278691/1780961/21018?u=https%3A%2F%2Fwww.tcgplayer.com%2Fproduct%2F632876%3Futm_source%3Dimpact%26utm_medium%3Daffiliate%26utm_campaign%3Dpoke%2Bcottage","Barraskewda")</f>
        <v>Barraskewda</v>
      </c>
      <c r="D122" s="5" t="s">
        <v>8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78</v>
      </c>
      <c r="C123" s="6" t="str">
        <f aca="false">HYPERLINK("https://partner.tcgplayer.com/c/6278691/1780961/21018?u=https%3A%2F%2Fwww.tcgplayer.com%2Fproduct%2F632877%3Futm_source%3Dimpact%26utm_medium%3Daffiliate%26utm_campaign%3Dpoke%2Bcottage","Cetoddle")</f>
        <v>Cetoddle</v>
      </c>
      <c r="D123" s="5" t="s">
        <v>13</v>
      </c>
      <c r="E123" s="5" t="s">
        <v>9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78</v>
      </c>
      <c r="C124" s="6" t="str">
        <f aca="false">HYPERLINK("https://partner.tcgplayer.com/c/6278691/1780961/21018?u=https%3A%2F%2Fwww.tcgplayer.com%2Fproduct%2F632877%3Futm_source%3Dimpact%26utm_medium%3Daffiliate%26utm_campaign%3Dpoke%2Bcottage","Cetoddle")</f>
        <v>Cetoddle</v>
      </c>
      <c r="D124" s="5" t="s">
        <v>13</v>
      </c>
      <c r="E124" s="5" t="s">
        <v>11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79</v>
      </c>
      <c r="C125" s="6" t="str">
        <f aca="false">HYPERLINK("https://partner.tcgplayer.com/c/6278691/1780961/21018?u=https%3A%2F%2Fwww.tcgplayer.com%2Fproduct%2F632878%3Futm_source%3Dimpact%26utm_medium%3Daffiliate%26utm_campaign%3Dpoke%2Bcottage","Cetitan ex")</f>
        <v>Cetitan ex</v>
      </c>
      <c r="D125" s="5" t="s">
        <v>15</v>
      </c>
      <c r="E125" s="5" t="s">
        <v>16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HYPERLINK("https://partner.tcgplayer.com/c/6278691/1780961/21018?u=https%3A%2F%2Fwww.tcgplayer.com%2Fproduct%2F632879%3Futm_source%3Dimpact%26utm_medium%3Daffiliate%26utm_campaign%3Dpoke%2Bcottage","Dondozo ex")</f>
        <v>Dondozo ex</v>
      </c>
      <c r="D126" s="5" t="s">
        <v>15</v>
      </c>
      <c r="E126" s="5" t="s">
        <v>16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HYPERLINK("https://partner.tcgplayer.com/c/6278691/1780961/21018?u=https%3A%2F%2Fwww.tcgplayer.com%2Fproduct%2F632880%3Futm_source%3Dimpact%26utm_medium%3Daffiliate%26utm_campaign%3Dpoke%2Bcottage","Wellspring Mask Ogerpon")</f>
        <v>Wellspring Mask Ogerpon</v>
      </c>
      <c r="D127" s="5" t="s">
        <v>8</v>
      </c>
      <c r="E127" s="5" t="s">
        <v>9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HYPERLINK("https://partner.tcgplayer.com/c/6278691/1780961/21018?u=https%3A%2F%2Fwww.tcgplayer.com%2Fproduct%2F632880%3Futm_source%3Dimpact%26utm_medium%3Daffiliate%26utm_campaign%3Dpoke%2Bcottage","Wellspring Mask Ogerpon")</f>
        <v>Wellspring Mask Ogerpon</v>
      </c>
      <c r="D128" s="5" t="s">
        <v>8</v>
      </c>
      <c r="E128" s="5" t="s">
        <v>11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HYPERLINK("https://partner.tcgplayer.com/c/6278691/1780961/21018?u=https%3A%2F%2Fwww.tcgplayer.com%2Fproduct%2F632881%3Futm_source%3Dimpact%26utm_medium%3Daffiliate%26utm_campaign%3Dpoke%2Bcottage","Electabuzz")</f>
        <v>Electabuzz</v>
      </c>
      <c r="D129" s="5" t="s">
        <v>13</v>
      </c>
      <c r="E129" s="5" t="s">
        <v>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HYPERLINK("https://partner.tcgplayer.com/c/6278691/1780961/21018?u=https%3A%2F%2Fwww.tcgplayer.com%2Fproduct%2F632881%3Futm_source%3Dimpact%26utm_medium%3Daffiliate%26utm_campaign%3Dpoke%2Bcottage","Electabuzz")</f>
        <v>Electabuzz</v>
      </c>
      <c r="D130" s="5" t="s">
        <v>13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HYPERLINK("https://partner.tcgplayer.com/c/6278691/1780961/21018?u=https%3A%2F%2Fwww.tcgplayer.com%2Fproduct%2F632882%3Futm_source%3Dimpact%26utm_medium%3Daffiliate%26utm_campaign%3Dpoke%2Bcottage","Electivire ex")</f>
        <v>Electivire ex</v>
      </c>
      <c r="D131" s="5" t="s">
        <v>15</v>
      </c>
      <c r="E131" s="5" t="s">
        <v>16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84</v>
      </c>
      <c r="C132" s="6" t="str">
        <f aca="false">HYPERLINK("https://partner.tcgplayer.com/c/6278691/1780961/21018?u=https%3A%2F%2Fwww.tcgplayer.com%2Fproduct%2F630818%3Futm_source%3Dimpact%26utm_medium%3Daffiliate%26utm_campaign%3Dpoke%2Bcottage","Team Rocket's Zapdos")</f>
        <v>Team Rocket's Zapdos</v>
      </c>
      <c r="D132" s="5" t="s">
        <v>22</v>
      </c>
      <c r="E132" s="5" t="s">
        <v>16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HYPERLINK("https://partner.tcgplayer.com/c/6278691/1780961/21018?u=https%3A%2F%2Fwww.tcgplayer.com%2Fproduct%2F630818%3Futm_source%3Dimpact%26utm_medium%3Daffiliate%26utm_campaign%3Dpoke%2Bcottage","Team Rocket's Zapdos")</f>
        <v>Team Rocket's Zapdos</v>
      </c>
      <c r="D133" s="5" t="s">
        <v>22</v>
      </c>
      <c r="E133" s="5" t="s">
        <v>11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HYPERLINK("https://partner.tcgplayer.com/c/6278691/1780961/21018?u=https%3A%2F%2Fwww.tcgplayer.com%2Fproduct%2F630819%3Futm_source%3Dimpact%26utm_medium%3Daffiliate%26utm_campaign%3Dpoke%2Bcottage","Ethan's Pichu")</f>
        <v>Ethan's Pichu</v>
      </c>
      <c r="D134" s="5" t="s">
        <v>13</v>
      </c>
      <c r="E134" s="5" t="s">
        <v>9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HYPERLINK("https://partner.tcgplayer.com/c/6278691/1780961/21018?u=https%3A%2F%2Fwww.tcgplayer.com%2Fproduct%2F630819%3Futm_source%3Dimpact%26utm_medium%3Daffiliate%26utm_campaign%3Dpoke%2Bcottage","Ethan's Pichu")</f>
        <v>Ethan's Pichu</v>
      </c>
      <c r="D135" s="5" t="s">
        <v>13</v>
      </c>
      <c r="E135" s="5" t="s">
        <v>11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HYPERLINK("https://partner.tcgplayer.com/c/6278691/1780961/21018?u=https%3A%2F%2Fwww.tcgplayer.com%2Fproduct%2F630820%3Futm_source%3Dimpact%26utm_medium%3Daffiliate%26utm_campaign%3Dpoke%2Bcottage","Team Rocket's Mareep")</f>
        <v>Team Rocket's Mareep</v>
      </c>
      <c r="D136" s="5" t="s">
        <v>13</v>
      </c>
      <c r="E136" s="5" t="s">
        <v>9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HYPERLINK("https://partner.tcgplayer.com/c/6278691/1780961/21018?u=https%3A%2F%2Fwww.tcgplayer.com%2Fproduct%2F630820%3Futm_source%3Dimpact%26utm_medium%3Daffiliate%26utm_campaign%3Dpoke%2Bcottage","Team Rocket's Mareep")</f>
        <v>Team Rocket's Mareep</v>
      </c>
      <c r="D137" s="5" t="s">
        <v>13</v>
      </c>
      <c r="E137" s="5" t="s">
        <v>11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HYPERLINK("https://partner.tcgplayer.com/c/6278691/1780961/21018?u=https%3A%2F%2Fwww.tcgplayer.com%2Fproduct%2F632883%3Futm_source%3Dimpact%26utm_medium%3Daffiliate%26utm_campaign%3Dpoke%2Bcottage","Team Rocket's Flaaffy")</f>
        <v>Team Rocket's Flaaffy</v>
      </c>
      <c r="D138" s="5" t="s">
        <v>13</v>
      </c>
      <c r="E138" s="5" t="s">
        <v>9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HYPERLINK("https://partner.tcgplayer.com/c/6278691/1780961/21018?u=https%3A%2F%2Fwww.tcgplayer.com%2Fproduct%2F632883%3Futm_source%3Dimpact%26utm_medium%3Daffiliate%26utm_campaign%3Dpoke%2Bcottage","Team Rocket's Flaaffy")</f>
        <v>Team Rocket's Flaaffy</v>
      </c>
      <c r="D139" s="5" t="s">
        <v>13</v>
      </c>
      <c r="E139" s="5" t="s">
        <v>11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HYPERLINK("https://partner.tcgplayer.com/c/6278691/1780961/21018?u=https%3A%2F%2Fwww.tcgplayer.com%2Fproduct%2F632884%3Futm_source%3Dimpact%26utm_medium%3Daffiliate%26utm_campaign%3Dpoke%2Bcottage","Team Rocket's Ampharos")</f>
        <v>Team Rocket's Ampharos</v>
      </c>
      <c r="D140" s="5" t="s">
        <v>8</v>
      </c>
      <c r="E140" s="5" t="s">
        <v>9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HYPERLINK("https://partner.tcgplayer.com/c/6278691/1780961/21018?u=https%3A%2F%2Fwww.tcgplayer.com%2Fproduct%2F632884%3Futm_source%3Dimpact%26utm_medium%3Daffiliate%26utm_campaign%3Dpoke%2Bcottage","Team Rocket's Ampharos")</f>
        <v>Team Rocket's Ampharos</v>
      </c>
      <c r="D141" s="5" t="s">
        <v>8</v>
      </c>
      <c r="E141" s="5" t="s">
        <v>11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89</v>
      </c>
      <c r="C142" s="6" t="str">
        <f aca="false">HYPERLINK("https://partner.tcgplayer.com/c/6278691/1780961/21018?u=https%3A%2F%2Fwww.tcgplayer.com%2Fproduct%2F632885%3Futm_source%3Dimpact%26utm_medium%3Daffiliate%26utm_campaign%3Dpoke%2Bcottage","Electrike")</f>
        <v>Electrike</v>
      </c>
      <c r="D142" s="5" t="s">
        <v>13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HYPERLINK("https://partner.tcgplayer.com/c/6278691/1780961/21018?u=https%3A%2F%2Fwww.tcgplayer.com%2Fproduct%2F632885%3Futm_source%3Dimpact%26utm_medium%3Daffiliate%26utm_campaign%3Dpoke%2Bcottage","Electrike")</f>
        <v>Electrike</v>
      </c>
      <c r="D143" s="5" t="s">
        <v>13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90</v>
      </c>
      <c r="C144" s="6" t="str">
        <f aca="false">HYPERLINK("https://partner.tcgplayer.com/c/6278691/1780961/21018?u=https%3A%2F%2Fwww.tcgplayer.com%2Fproduct%2F632886%3Futm_source%3Dimpact%26utm_medium%3Daffiliate%26utm_campaign%3Dpoke%2Bcottage","Manectric")</f>
        <v>Manectric</v>
      </c>
      <c r="D144" s="5" t="s">
        <v>8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HYPERLINK("https://partner.tcgplayer.com/c/6278691/1780961/21018?u=https%3A%2F%2Fwww.tcgplayer.com%2Fproduct%2F632886%3Futm_source%3Dimpact%26utm_medium%3Daffiliate%26utm_campaign%3Dpoke%2Bcottage","Manectric")</f>
        <v>Manectric</v>
      </c>
      <c r="D145" s="5" t="s">
        <v>8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HYPERLINK("https://partner.tcgplayer.com/c/6278691/1780961/21018?u=https%3A%2F%2Fwww.tcgplayer.com%2Fproduct%2F632887%3Futm_source%3Dimpact%26utm_medium%3Daffiliate%26utm_campaign%3Dpoke%2Bcottage","Rotom")</f>
        <v>Rotom</v>
      </c>
      <c r="D146" s="5" t="s">
        <v>13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HYPERLINK("https://partner.tcgplayer.com/c/6278691/1780961/21018?u=https%3A%2F%2Fwww.tcgplayer.com%2Fproduct%2F632887%3Futm_source%3Dimpact%26utm_medium%3Daffiliate%26utm_campaign%3Dpoke%2Bcottage","Rotom")</f>
        <v>Rotom</v>
      </c>
      <c r="D147" s="5" t="s">
        <v>13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HYPERLINK("https://partner.tcgplayer.com/c/6278691/1780961/21018?u=https%3A%2F%2Fwww.tcgplayer.com%2Fproduct%2F632888%3Futm_source%3Dimpact%26utm_medium%3Daffiliate%26utm_campaign%3Dpoke%2Bcottage","Zeraora")</f>
        <v>Zeraora</v>
      </c>
      <c r="D148" s="5" t="s">
        <v>22</v>
      </c>
      <c r="E148" s="5" t="s">
        <v>16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HYPERLINK("https://partner.tcgplayer.com/c/6278691/1780961/21018?u=https%3A%2F%2Fwww.tcgplayer.com%2Fproduct%2F632888%3Futm_source%3Dimpact%26utm_medium%3Daffiliate%26utm_campaign%3Dpoke%2Bcottage","Zeraora")</f>
        <v>Zeraora</v>
      </c>
      <c r="D149" s="5" t="s">
        <v>22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HYPERLINK("https://partner.tcgplayer.com/c/6278691/1780961/21018?u=https%3A%2F%2Fwww.tcgplayer.com%2Fproduct%2F632889%3Futm_source%3Dimpact%26utm_medium%3Daffiliate%26utm_campaign%3Dpoke%2Bcottage","Team Rocket's Drowzee")</f>
        <v>Team Rocket's Drowzee</v>
      </c>
      <c r="D150" s="5" t="s">
        <v>13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HYPERLINK("https://partner.tcgplayer.com/c/6278691/1780961/21018?u=https%3A%2F%2Fwww.tcgplayer.com%2Fproduct%2F632889%3Futm_source%3Dimpact%26utm_medium%3Daffiliate%26utm_campaign%3Dpoke%2Bcottage","Team Rocket's Drowzee")</f>
        <v>Team Rocket's Drowzee</v>
      </c>
      <c r="D151" s="5" t="s">
        <v>13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HYPERLINK("https://partner.tcgplayer.com/c/6278691/1780961/21018?u=https%3A%2F%2Fwww.tcgplayer.com%2Fproduct%2F632890%3Futm_source%3Dimpact%26utm_medium%3Daffiliate%26utm_campaign%3Dpoke%2Bcottage","Team Rocket's Hypno")</f>
        <v>Team Rocket's Hypno</v>
      </c>
      <c r="D152" s="5" t="s">
        <v>8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HYPERLINK("https://partner.tcgplayer.com/c/6278691/1780961/21018?u=https%3A%2F%2Fwww.tcgplayer.com%2Fproduct%2F632890%3Futm_source%3Dimpact%26utm_medium%3Daffiliate%26utm_campaign%3Dpoke%2Bcottage","Team Rocket's Hypno")</f>
        <v>Team Rocket's Hypno</v>
      </c>
      <c r="D153" s="5" t="s">
        <v>8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HYPERLINK("https://partner.tcgplayer.com/c/6278691/1780961/21018?u=https%3A%2F%2Fwww.tcgplayer.com%2Fproduct%2F632891%3Futm_source%3Dimpact%26utm_medium%3Daffiliate%26utm_campaign%3Dpoke%2Bcottage","Team Rocket's Mewtwo ex")</f>
        <v>Team Rocket's Mewtwo ex</v>
      </c>
      <c r="D154" s="5" t="s">
        <v>15</v>
      </c>
      <c r="E154" s="5" t="s">
        <v>16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96</v>
      </c>
      <c r="C155" s="6" t="str">
        <f aca="false">HYPERLINK("https://partner.tcgplayer.com/c/6278691/1780961/21018?u=https%3A%2F%2Fwww.tcgplayer.com%2Fproduct%2F632892%3Futm_source%3Dimpact%26utm_medium%3Daffiliate%26utm_campaign%3Dpoke%2Bcottage","Team Rocket's Wobbuffet")</f>
        <v>Team Rocket's Wobbuffet</v>
      </c>
      <c r="D155" s="5" t="s">
        <v>22</v>
      </c>
      <c r="E155" s="5" t="s">
        <v>16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HYPERLINK("https://partner.tcgplayer.com/c/6278691/1780961/21018?u=https%3A%2F%2Fwww.tcgplayer.com%2Fproduct%2F632892%3Futm_source%3Dimpact%26utm_medium%3Daffiliate%26utm_campaign%3Dpoke%2Bcottage","Team Rocket's Wobbuffet")</f>
        <v>Team Rocket's Wobbuffet</v>
      </c>
      <c r="D156" s="5" t="s">
        <v>22</v>
      </c>
      <c r="E156" s="5" t="s">
        <v>11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97</v>
      </c>
      <c r="C157" s="6" t="str">
        <f aca="false">HYPERLINK("https://partner.tcgplayer.com/c/6278691/1780961/21018?u=https%3A%2F%2Fwww.tcgplayer.com%2Fproduct%2F632893%3Futm_source%3Dimpact%26utm_medium%3Daffiliate%26utm_campaign%3Dpoke%2Bcottage","Steven's Baltoy")</f>
        <v>Steven's Baltoy</v>
      </c>
      <c r="D157" s="5" t="s">
        <v>13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HYPERLINK("https://partner.tcgplayer.com/c/6278691/1780961/21018?u=https%3A%2F%2Fwww.tcgplayer.com%2Fproduct%2F632893%3Futm_source%3Dimpact%26utm_medium%3Daffiliate%26utm_campaign%3Dpoke%2Bcottage","Steven's Baltoy")</f>
        <v>Steven's Baltoy</v>
      </c>
      <c r="D158" s="5" t="s">
        <v>13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98</v>
      </c>
      <c r="C159" s="6" t="str">
        <f aca="false">HYPERLINK("https://partner.tcgplayer.com/c/6278691/1780961/21018?u=https%3A%2F%2Fwww.tcgplayer.com%2Fproduct%2F632894%3Futm_source%3Dimpact%26utm_medium%3Daffiliate%26utm_campaign%3Dpoke%2Bcottage","Steven's Claydol")</f>
        <v>Steven's Claydol</v>
      </c>
      <c r="D159" s="5" t="s">
        <v>8</v>
      </c>
      <c r="E159" s="5" t="s">
        <v>9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HYPERLINK("https://partner.tcgplayer.com/c/6278691/1780961/21018?u=https%3A%2F%2Fwww.tcgplayer.com%2Fproduct%2F632894%3Futm_source%3Dimpact%26utm_medium%3Daffiliate%26utm_campaign%3Dpoke%2Bcottage","Steven's Claydol")</f>
        <v>Steven's Claydol</v>
      </c>
      <c r="D160" s="5" t="s">
        <v>8</v>
      </c>
      <c r="E160" s="5" t="s">
        <v>11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99</v>
      </c>
      <c r="C161" s="6" t="str">
        <f aca="false">HYPERLINK("https://partner.tcgplayer.com/c/6278691/1780961/21018?u=https%3A%2F%2Fwww.tcgplayer.com%2Fproduct%2F632895%3Futm_source%3Dimpact%26utm_medium%3Daffiliate%26utm_campaign%3Dpoke%2Bcottage","Team Rocket's Chingling")</f>
        <v>Team Rocket's Chingling</v>
      </c>
      <c r="D161" s="5" t="s">
        <v>13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HYPERLINK("https://partner.tcgplayer.com/c/6278691/1780961/21018?u=https%3A%2F%2Fwww.tcgplayer.com%2Fproduct%2F632895%3Futm_source%3Dimpact%26utm_medium%3Daffiliate%26utm_campaign%3Dpoke%2Bcottage","Team Rocket's Chingling")</f>
        <v>Team Rocket's Chingling</v>
      </c>
      <c r="D162" s="5" t="s">
        <v>13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100</v>
      </c>
      <c r="C163" s="6" t="str">
        <f aca="false">HYPERLINK("https://partner.tcgplayer.com/c/6278691/1780961/21018?u=https%3A%2F%2Fwww.tcgplayer.com%2Fproduct%2F632896%3Futm_source%3Dimpact%26utm_medium%3Daffiliate%26utm_campaign%3Dpoke%2Bcottage","Steven's Carbink")</f>
        <v>Steven's Carbink</v>
      </c>
      <c r="D163" s="5" t="s">
        <v>13</v>
      </c>
      <c r="E163" s="5" t="s">
        <v>9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HYPERLINK("https://partner.tcgplayer.com/c/6278691/1780961/21018?u=https%3A%2F%2Fwww.tcgplayer.com%2Fproduct%2F632896%3Futm_source%3Dimpact%26utm_medium%3Daffiliate%26utm_campaign%3Dpoke%2Bcottage","Steven's Carbink")</f>
        <v>Steven's Carbink</v>
      </c>
      <c r="D164" s="5" t="s">
        <v>13</v>
      </c>
      <c r="E164" s="5" t="s">
        <v>11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HYPERLINK("https://partner.tcgplayer.com/c/6278691/1780961/21018?u=https%3A%2F%2Fwww.tcgplayer.com%2Fproduct%2F630821%3Futm_source%3Dimpact%26utm_medium%3Daffiliate%26utm_campaign%3Dpoke%2Bcottage","Team Rocket's Mimikyu")</f>
        <v>Team Rocket's Mimikyu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HYPERLINK("https://partner.tcgplayer.com/c/6278691/1780961/21018?u=https%3A%2F%2Fwww.tcgplayer.com%2Fproduct%2F630821%3Futm_source%3Dimpact%26utm_medium%3Daffiliate%26utm_campaign%3Dpoke%2Bcottage","Team Rocket's Mimikyu")</f>
        <v>Team Rocket's Mimikyu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HYPERLINK("https://partner.tcgplayer.com/c/6278691/1780961/21018?u=https%3A%2F%2Fwww.tcgplayer.com%2Fproduct%2F632897%3Futm_source%3Dimpact%26utm_medium%3Daffiliate%26utm_campaign%3Dpoke%2Bcottage","Team Rocket's Dottler")</f>
        <v>Team Rocket's Dottler</v>
      </c>
      <c r="D167" s="5" t="s">
        <v>13</v>
      </c>
      <c r="E167" s="5" t="s">
        <v>9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HYPERLINK("https://partner.tcgplayer.com/c/6278691/1780961/21018?u=https%3A%2F%2Fwww.tcgplayer.com%2Fproduct%2F632897%3Futm_source%3Dimpact%26utm_medium%3Daffiliate%26utm_campaign%3Dpoke%2Bcottage","Team Rocket's Dottler")</f>
        <v>Team Rocket's Dottler</v>
      </c>
      <c r="D168" s="5" t="s">
        <v>13</v>
      </c>
      <c r="E168" s="5" t="s">
        <v>11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103</v>
      </c>
      <c r="C169" s="6" t="str">
        <f aca="false">HYPERLINK("https://partner.tcgplayer.com/c/6278691/1780961/21018?u=https%3A%2F%2Fwww.tcgplayer.com%2Fproduct%2F632898%3Futm_source%3Dimpact%26utm_medium%3Daffiliate%26utm_campaign%3Dpoke%2Bcottage","Team Rocket's Orbeetle")</f>
        <v>Team Rocket's Orbeetle</v>
      </c>
      <c r="D169" s="5" t="s">
        <v>8</v>
      </c>
      <c r="E169" s="5" t="s">
        <v>9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HYPERLINK("https://partner.tcgplayer.com/c/6278691/1780961/21018?u=https%3A%2F%2Fwww.tcgplayer.com%2Fproduct%2F632898%3Futm_source%3Dimpact%26utm_medium%3Daffiliate%26utm_campaign%3Dpoke%2Bcottage","Team Rocket's Orbeetle")</f>
        <v>Team Rocket's Orbeetle</v>
      </c>
      <c r="D170" s="5" t="s">
        <v>8</v>
      </c>
      <c r="E170" s="5" t="s">
        <v>11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104</v>
      </c>
      <c r="C171" s="6" t="str">
        <f aca="false">HYPERLINK("https://partner.tcgplayer.com/c/6278691/1780961/21018?u=https%3A%2F%2Fwww.tcgplayer.com%2Fproduct%2F632899%3Futm_source%3Dimpact%26utm_medium%3Daffiliate%26utm_campaign%3Dpoke%2Bcottage","Mankey")</f>
        <v>Mankey</v>
      </c>
      <c r="D171" s="5" t="s">
        <v>13</v>
      </c>
      <c r="E171" s="5" t="s">
        <v>9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HYPERLINK("https://partner.tcgplayer.com/c/6278691/1780961/21018?u=https%3A%2F%2Fwww.tcgplayer.com%2Fproduct%2F632899%3Futm_source%3Dimpact%26utm_medium%3Daffiliate%26utm_campaign%3Dpoke%2Bcottage","Mankey")</f>
        <v>Mankey</v>
      </c>
      <c r="D172" s="5" t="s">
        <v>13</v>
      </c>
      <c r="E172" s="5" t="s">
        <v>11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105</v>
      </c>
      <c r="C173" s="6" t="str">
        <f aca="false">HYPERLINK("https://partner.tcgplayer.com/c/6278691/1780961/21018?u=https%3A%2F%2Fwww.tcgplayer.com%2Fproduct%2F632900%3Futm_source%3Dimpact%26utm_medium%3Daffiliate%26utm_campaign%3Dpoke%2Bcottage","Primeape")</f>
        <v>Primeape</v>
      </c>
      <c r="D173" s="5" t="s">
        <v>13</v>
      </c>
      <c r="E173" s="5" t="s">
        <v>9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105</v>
      </c>
      <c r="C174" s="6" t="str">
        <f aca="false">HYPERLINK("https://partner.tcgplayer.com/c/6278691/1780961/21018?u=https%3A%2F%2Fwww.tcgplayer.com%2Fproduct%2F632900%3Futm_source%3Dimpact%26utm_medium%3Daffiliate%26utm_campaign%3Dpoke%2Bcottage","Primeape")</f>
        <v>Primeape</v>
      </c>
      <c r="D174" s="5" t="s">
        <v>13</v>
      </c>
      <c r="E174" s="5" t="s">
        <v>11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106</v>
      </c>
      <c r="C175" s="6" t="str">
        <f aca="false">HYPERLINK("https://partner.tcgplayer.com/c/6278691/1780961/21018?u=https%3A%2F%2Fwww.tcgplayer.com%2Fproduct%2F632901%3Futm_source%3Dimpact%26utm_medium%3Daffiliate%26utm_campaign%3Dpoke%2Bcottage","Annihilape")</f>
        <v>Annihilape</v>
      </c>
      <c r="D175" s="5" t="s">
        <v>22</v>
      </c>
      <c r="E175" s="5" t="s">
        <v>16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106</v>
      </c>
      <c r="C176" s="6" t="str">
        <f aca="false">HYPERLINK("https://partner.tcgplayer.com/c/6278691/1780961/21018?u=https%3A%2F%2Fwww.tcgplayer.com%2Fproduct%2F632901%3Futm_source%3Dimpact%26utm_medium%3Daffiliate%26utm_campaign%3Dpoke%2Bcottage","Annihilape")</f>
        <v>Annihilape</v>
      </c>
      <c r="D176" s="5" t="s">
        <v>22</v>
      </c>
      <c r="E176" s="5" t="s">
        <v>11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107</v>
      </c>
      <c r="C177" s="6" t="str">
        <f aca="false">HYPERLINK("https://partner.tcgplayer.com/c/6278691/1780961/21018?u=https%3A%2F%2Fwww.tcgplayer.com%2Fproduct%2F632902%3Futm_source%3Dimpact%26utm_medium%3Daffiliate%26utm_campaign%3Dpoke%2Bcottage","Ethan's Sudowoodo")</f>
        <v>Ethan's Sudowoodo</v>
      </c>
      <c r="D177" s="5" t="s">
        <v>13</v>
      </c>
      <c r="E177" s="5" t="s">
        <v>9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107</v>
      </c>
      <c r="C178" s="6" t="str">
        <f aca="false">HYPERLINK("https://partner.tcgplayer.com/c/6278691/1780961/21018?u=https%3A%2F%2Fwww.tcgplayer.com%2Fproduct%2F632902%3Futm_source%3Dimpact%26utm_medium%3Daffiliate%26utm_campaign%3Dpoke%2Bcottage","Ethan's Sudowoodo")</f>
        <v>Ethan's Sudowoodo</v>
      </c>
      <c r="D178" s="5" t="s">
        <v>13</v>
      </c>
      <c r="E178" s="5" t="s">
        <v>11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108</v>
      </c>
      <c r="C179" s="6" t="str">
        <f aca="false">HYPERLINK("https://partner.tcgplayer.com/c/6278691/1780961/21018?u=https%3A%2F%2Fwww.tcgplayer.com%2Fproduct%2F632903%3Futm_source%3Dimpact%26utm_medium%3Daffiliate%26utm_campaign%3Dpoke%2Bcottage","Team Rocket's Larvitar")</f>
        <v>Team Rocket's Larvitar</v>
      </c>
      <c r="D179" s="5" t="s">
        <v>13</v>
      </c>
      <c r="E179" s="5" t="s">
        <v>9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108</v>
      </c>
      <c r="C180" s="6" t="str">
        <f aca="false">HYPERLINK("https://partner.tcgplayer.com/c/6278691/1780961/21018?u=https%3A%2F%2Fwww.tcgplayer.com%2Fproduct%2F632903%3Futm_source%3Dimpact%26utm_medium%3Daffiliate%26utm_campaign%3Dpoke%2Bcottage","Team Rocket's Larvitar")</f>
        <v>Team Rocket's Larvitar</v>
      </c>
      <c r="D180" s="5" t="s">
        <v>13</v>
      </c>
      <c r="E180" s="5" t="s">
        <v>11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109</v>
      </c>
      <c r="C181" s="6" t="str">
        <f aca="false">HYPERLINK("https://partner.tcgplayer.com/c/6278691/1780961/21018?u=https%3A%2F%2Fwww.tcgplayer.com%2Fproduct%2F632904%3Futm_source%3Dimpact%26utm_medium%3Daffiliate%26utm_campaign%3Dpoke%2Bcottage","Team Rocket's Pupitar")</f>
        <v>Team Rocket's Pupitar</v>
      </c>
      <c r="D181" s="5" t="s">
        <v>13</v>
      </c>
      <c r="E181" s="5" t="s">
        <v>9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109</v>
      </c>
      <c r="C182" s="6" t="str">
        <f aca="false">HYPERLINK("https://partner.tcgplayer.com/c/6278691/1780961/21018?u=https%3A%2F%2Fwww.tcgplayer.com%2Fproduct%2F632904%3Futm_source%3Dimpact%26utm_medium%3Daffiliate%26utm_campaign%3Dpoke%2Bcottage","Team Rocket's Pupitar")</f>
        <v>Team Rocket's Pupitar</v>
      </c>
      <c r="D182" s="5" t="s">
        <v>13</v>
      </c>
      <c r="E182" s="5" t="s">
        <v>11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110</v>
      </c>
      <c r="C183" s="6" t="str">
        <f aca="false">HYPERLINK("https://partner.tcgplayer.com/c/6278691/1780961/21018?u=https%3A%2F%2Fwww.tcgplayer.com%2Fproduct%2F630822%3Futm_source%3Dimpact%26utm_medium%3Daffiliate%26utm_campaign%3Dpoke%2Bcottage","Team Rocket's Tyranitar")</f>
        <v>Team Rocket's Tyranitar</v>
      </c>
      <c r="D183" s="5" t="s">
        <v>22</v>
      </c>
      <c r="E183" s="5" t="s">
        <v>16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110</v>
      </c>
      <c r="C184" s="6" t="str">
        <f aca="false">HYPERLINK("https://partner.tcgplayer.com/c/6278691/1780961/21018?u=https%3A%2F%2Fwww.tcgplayer.com%2Fproduct%2F630822%3Futm_source%3Dimpact%26utm_medium%3Daffiliate%26utm_campaign%3Dpoke%2Bcottage","Team Rocket's Tyranitar")</f>
        <v>Team Rocket's Tyranitar</v>
      </c>
      <c r="D184" s="5" t="s">
        <v>22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111</v>
      </c>
      <c r="C185" s="6" t="str">
        <f aca="false">HYPERLINK("https://partner.tcgplayer.com/c/6278691/1780961/21018?u=https%3A%2F%2Fwww.tcgplayer.com%2Fproduct%2F632905%3Futm_source%3Dimpact%26utm_medium%3Daffiliate%26utm_campaign%3Dpoke%2Bcottage","Nosepass")</f>
        <v>Nosepass</v>
      </c>
      <c r="D185" s="5" t="s">
        <v>13</v>
      </c>
      <c r="E185" s="5" t="s">
        <v>9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111</v>
      </c>
      <c r="C186" s="6" t="str">
        <f aca="false">HYPERLINK("https://partner.tcgplayer.com/c/6278691/1780961/21018?u=https%3A%2F%2Fwww.tcgplayer.com%2Fproduct%2F632905%3Futm_source%3Dimpact%26utm_medium%3Daffiliate%26utm_campaign%3Dpoke%2Bcottage","Nosepass")</f>
        <v>Nosepass</v>
      </c>
      <c r="D186" s="5" t="s">
        <v>13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112</v>
      </c>
      <c r="C187" s="6" t="str">
        <f aca="false">HYPERLINK("https://partner.tcgplayer.com/c/6278691/1780961/21018?u=https%3A%2F%2Fwww.tcgplayer.com%2Fproduct%2F632906%3Futm_source%3Dimpact%26utm_medium%3Daffiliate%26utm_campaign%3Dpoke%2Bcottage","Probopass")</f>
        <v>Probopass</v>
      </c>
      <c r="D187" s="5" t="s">
        <v>8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112</v>
      </c>
      <c r="C188" s="6" t="str">
        <f aca="false">HYPERLINK("https://partner.tcgplayer.com/c/6278691/1780961/21018?u=https%3A%2F%2Fwww.tcgplayer.com%2Fproduct%2F632906%3Futm_source%3Dimpact%26utm_medium%3Daffiliate%26utm_campaign%3Dpoke%2Bcottage","Probopass")</f>
        <v>Probopass</v>
      </c>
      <c r="D188" s="5" t="s">
        <v>8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113</v>
      </c>
      <c r="C189" s="6" t="str">
        <f aca="false">HYPERLINK("https://partner.tcgplayer.com/c/6278691/1780961/21018?u=https%3A%2F%2Fwww.tcgplayer.com%2Fproduct%2F632907%3Futm_source%3Dimpact%26utm_medium%3Daffiliate%26utm_campaign%3Dpoke%2Bcottage","Meditite")</f>
        <v>Meditite</v>
      </c>
      <c r="D189" s="5" t="s">
        <v>13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113</v>
      </c>
      <c r="C190" s="6" t="str">
        <f aca="false">HYPERLINK("https://partner.tcgplayer.com/c/6278691/1780961/21018?u=https%3A%2F%2Fwww.tcgplayer.com%2Fproduct%2F632907%3Futm_source%3Dimpact%26utm_medium%3Daffiliate%26utm_campaign%3Dpoke%2Bcottage","Meditite")</f>
        <v>Meditite</v>
      </c>
      <c r="D190" s="5" t="s">
        <v>13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114</v>
      </c>
      <c r="C191" s="6" t="str">
        <f aca="false">HYPERLINK("https://partner.tcgplayer.com/c/6278691/1780961/21018?u=https%3A%2F%2Fwww.tcgplayer.com%2Fproduct%2F632908%3Futm_source%3Dimpact%26utm_medium%3Daffiliate%26utm_campaign%3Dpoke%2Bcottage","Medicham")</f>
        <v>Medicham</v>
      </c>
      <c r="D191" s="5" t="s">
        <v>8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114</v>
      </c>
      <c r="C192" s="6" t="str">
        <f aca="false">HYPERLINK("https://partner.tcgplayer.com/c/6278691/1780961/21018?u=https%3A%2F%2Fwww.tcgplayer.com%2Fproduct%2F632908%3Futm_source%3Dimpact%26utm_medium%3Daffiliate%26utm_campaign%3Dpoke%2Bcottage","Medicham")</f>
        <v>Medicham</v>
      </c>
      <c r="D192" s="5" t="s">
        <v>8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115</v>
      </c>
      <c r="C193" s="6" t="str">
        <f aca="false">HYPERLINK("https://partner.tcgplayer.com/c/6278691/1780961/21018?u=https%3A%2F%2Fwww.tcgplayer.com%2Fproduct%2F632909%3Futm_source%3Dimpact%26utm_medium%3Daffiliate%26utm_campaign%3Dpoke%2Bcottage","Regirock ex")</f>
        <v>Regirock ex</v>
      </c>
      <c r="D193" s="5" t="s">
        <v>15</v>
      </c>
      <c r="E193" s="5" t="s">
        <v>16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116</v>
      </c>
      <c r="C194" s="6" t="str">
        <f aca="false">HYPERLINK("https://partner.tcgplayer.com/c/6278691/1780961/21018?u=https%3A%2F%2Fwww.tcgplayer.com%2Fproduct%2F632910%3Futm_source%3Dimpact%26utm_medium%3Daffiliate%26utm_campaign%3Dpoke%2Bcottage","Cynthia's Gible")</f>
        <v>Cynthia's Gible</v>
      </c>
      <c r="D194" s="5" t="s">
        <v>13</v>
      </c>
      <c r="E194" s="5" t="s">
        <v>9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116</v>
      </c>
      <c r="C195" s="6" t="str">
        <f aca="false">HYPERLINK("https://partner.tcgplayer.com/c/6278691/1780961/21018?u=https%3A%2F%2Fwww.tcgplayer.com%2Fproduct%2F632910%3Futm_source%3Dimpact%26utm_medium%3Daffiliate%26utm_campaign%3Dpoke%2Bcottage","Cynthia's Gible")</f>
        <v>Cynthia's Gible</v>
      </c>
      <c r="D195" s="5" t="s">
        <v>13</v>
      </c>
      <c r="E195" s="5" t="s">
        <v>11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117</v>
      </c>
      <c r="C196" s="6" t="str">
        <f aca="false">HYPERLINK("https://partner.tcgplayer.com/c/6278691/1780961/21018?u=https%3A%2F%2Fwww.tcgplayer.com%2Fproduct%2F632911%3Futm_source%3Dimpact%26utm_medium%3Daffiliate%26utm_campaign%3Dpoke%2Bcottage","Cynthia's Gabite")</f>
        <v>Cynthia's Gabite</v>
      </c>
      <c r="D196" s="5" t="s">
        <v>13</v>
      </c>
      <c r="E196" s="5" t="s">
        <v>9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117</v>
      </c>
      <c r="C197" s="6" t="str">
        <f aca="false">HYPERLINK("https://partner.tcgplayer.com/c/6278691/1780961/21018?u=https%3A%2F%2Fwww.tcgplayer.com%2Fproduct%2F632911%3Futm_source%3Dimpact%26utm_medium%3Daffiliate%26utm_campaign%3Dpoke%2Bcottage","Cynthia's Gabite")</f>
        <v>Cynthia's Gabite</v>
      </c>
      <c r="D197" s="5" t="s">
        <v>13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118</v>
      </c>
      <c r="C198" s="6" t="str">
        <f aca="false">HYPERLINK("https://partner.tcgplayer.com/c/6278691/1780961/21018?u=https%3A%2F%2Fwww.tcgplayer.com%2Fproduct%2F632912%3Futm_source%3Dimpact%26utm_medium%3Daffiliate%26utm_campaign%3Dpoke%2Bcottage","Cynthia's Garchomp ex")</f>
        <v>Cynthia's Garchomp ex</v>
      </c>
      <c r="D198" s="5" t="s">
        <v>15</v>
      </c>
      <c r="E198" s="5" t="s">
        <v>16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119</v>
      </c>
      <c r="C199" s="6" t="str">
        <f aca="false">HYPERLINK("https://partner.tcgplayer.com/c/6278691/1780961/21018?u=https%3A%2F%2Fwww.tcgplayer.com%2Fproduct%2F632913%3Futm_source%3Dimpact%26utm_medium%3Daffiliate%26utm_campaign%3Dpoke%2Bcottage","Hippopotas")</f>
        <v>Hippopotas</v>
      </c>
      <c r="D199" s="5" t="s">
        <v>13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119</v>
      </c>
      <c r="C200" s="6" t="str">
        <f aca="false">HYPERLINK("https://partner.tcgplayer.com/c/6278691/1780961/21018?u=https%3A%2F%2Fwww.tcgplayer.com%2Fproduct%2F632913%3Futm_source%3Dimpact%26utm_medium%3Daffiliate%26utm_campaign%3Dpoke%2Bcottage","Hippopotas")</f>
        <v>Hippopotas</v>
      </c>
      <c r="D200" s="5" t="s">
        <v>13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120</v>
      </c>
      <c r="C201" s="6" t="str">
        <f aca="false">HYPERLINK("https://partner.tcgplayer.com/c/6278691/1780961/21018?u=https%3A%2F%2Fwww.tcgplayer.com%2Fproduct%2F632914%3Futm_source%3Dimpact%26utm_medium%3Daffiliate%26utm_campaign%3Dpoke%2Bcottage","Hippowdon")</f>
        <v>Hippowdon</v>
      </c>
      <c r="D201" s="5" t="s">
        <v>8</v>
      </c>
      <c r="E201" s="5" t="s">
        <v>9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120</v>
      </c>
      <c r="C202" s="6" t="str">
        <f aca="false">HYPERLINK("https://partner.tcgplayer.com/c/6278691/1780961/21018?u=https%3A%2F%2Fwww.tcgplayer.com%2Fproduct%2F632914%3Futm_source%3Dimpact%26utm_medium%3Daffiliate%26utm_campaign%3Dpoke%2Bcottage","Hippowdon")</f>
        <v>Hippowdon</v>
      </c>
      <c r="D202" s="5" t="s">
        <v>8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121</v>
      </c>
      <c r="C203" s="6" t="str">
        <f aca="false">HYPERLINK("https://partner.tcgplayer.com/c/6278691/1780961/21018?u=https%3A%2F%2Fwww.tcgplayer.com%2Fproduct%2F632915%3Futm_source%3Dimpact%26utm_medium%3Daffiliate%26utm_campaign%3Dpoke%2Bcottage","Mudbray")</f>
        <v>Mudbray</v>
      </c>
      <c r="D203" s="5" t="s">
        <v>13</v>
      </c>
      <c r="E203" s="5" t="s">
        <v>9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HYPERLINK("https://partner.tcgplayer.com/c/6278691/1780961/21018?u=https%3A%2F%2Fwww.tcgplayer.com%2Fproduct%2F632915%3Futm_source%3Dimpact%26utm_medium%3Daffiliate%26utm_campaign%3Dpoke%2Bcottage","Mudbray")</f>
        <v>Mudbray</v>
      </c>
      <c r="D204" s="5" t="s">
        <v>13</v>
      </c>
      <c r="E204" s="5" t="s">
        <v>11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122</v>
      </c>
      <c r="C205" s="6" t="str">
        <f aca="false">HYPERLINK("https://partner.tcgplayer.com/c/6278691/1780961/21018?u=https%3A%2F%2Fwww.tcgplayer.com%2Fproduct%2F632916%3Futm_source%3Dimpact%26utm_medium%3Daffiliate%26utm_campaign%3Dpoke%2Bcottage","Mudsdale")</f>
        <v>Mudsdale</v>
      </c>
      <c r="D205" s="5" t="s">
        <v>8</v>
      </c>
      <c r="E205" s="5" t="s">
        <v>9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HYPERLINK("https://partner.tcgplayer.com/c/6278691/1780961/21018?u=https%3A%2F%2Fwww.tcgplayer.com%2Fproduct%2F632916%3Futm_source%3Dimpact%26utm_medium%3Daffiliate%26utm_campaign%3Dpoke%2Bcottage","Mudsdale")</f>
        <v>Mudsdale</v>
      </c>
      <c r="D206" s="5" t="s">
        <v>8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123</v>
      </c>
      <c r="C207" s="6" t="str">
        <f aca="false">HYPERLINK("https://partner.tcgplayer.com/c/6278691/1780961/21018?u=https%3A%2F%2Fwww.tcgplayer.com%2Fproduct%2F632917%3Futm_source%3Dimpact%26utm_medium%3Daffiliate%26utm_campaign%3Dpoke%2Bcottage","Arven's Toedscool")</f>
        <v>Arven's Toedscool</v>
      </c>
      <c r="D207" s="5" t="s">
        <v>13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HYPERLINK("https://partner.tcgplayer.com/c/6278691/1780961/21018?u=https%3A%2F%2Fwww.tcgplayer.com%2Fproduct%2F632917%3Futm_source%3Dimpact%26utm_medium%3Daffiliate%26utm_campaign%3Dpoke%2Bcottage","Arven's Toedscool")</f>
        <v>Arven's Toedscool</v>
      </c>
      <c r="D208" s="5" t="s">
        <v>13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124</v>
      </c>
      <c r="C209" s="6" t="str">
        <f aca="false">HYPERLINK("https://partner.tcgplayer.com/c/6278691/1780961/21018?u=https%3A%2F%2Fwww.tcgplayer.com%2Fproduct%2F632918%3Futm_source%3Dimpact%26utm_medium%3Daffiliate%26utm_campaign%3Dpoke%2Bcottage","Arven's Toedscruel")</f>
        <v>Arven's Toedscruel</v>
      </c>
      <c r="D209" s="5" t="s">
        <v>8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HYPERLINK("https://partner.tcgplayer.com/c/6278691/1780961/21018?u=https%3A%2F%2Fwww.tcgplayer.com%2Fproduct%2F632918%3Futm_source%3Dimpact%26utm_medium%3Daffiliate%26utm_campaign%3Dpoke%2Bcottage","Arven's Toedscruel")</f>
        <v>Arven's Toedscruel</v>
      </c>
      <c r="D210" s="5" t="s">
        <v>8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125</v>
      </c>
      <c r="C211" s="6" t="str">
        <f aca="false">HYPERLINK("https://partner.tcgplayer.com/c/6278691/1780961/21018?u=https%3A%2F%2Fwww.tcgplayer.com%2Fproduct%2F632919%3Futm_source%3Dimpact%26utm_medium%3Daffiliate%26utm_campaign%3Dpoke%2Bcottage","Cornerstone Mask Ogerpon")</f>
        <v>Cornerstone Mask Ogerpon</v>
      </c>
      <c r="D211" s="5" t="s">
        <v>8</v>
      </c>
      <c r="E211" s="5" t="s">
        <v>9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125</v>
      </c>
      <c r="C212" s="6" t="str">
        <f aca="false">HYPERLINK("https://partner.tcgplayer.com/c/6278691/1780961/21018?u=https%3A%2F%2Fwww.tcgplayer.com%2Fproduct%2F632919%3Futm_source%3Dimpact%26utm_medium%3Daffiliate%26utm_campaign%3Dpoke%2Bcottage","Cornerstone Mask Ogerpon")</f>
        <v>Cornerstone Mask Ogerpon</v>
      </c>
      <c r="D212" s="5" t="s">
        <v>8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126</v>
      </c>
      <c r="C213" s="6" t="str">
        <f aca="false">HYPERLINK("https://partner.tcgplayer.com/c/6278691/1780961/21018?u=https%3A%2F%2Fwww.tcgplayer.com%2Fproduct%2F632920%3Futm_source%3Dimpact%26utm_medium%3Daffiliate%26utm_campaign%3Dpoke%2Bcottage","Team Rocket's Ekans")</f>
        <v>Team Rocket's Ekans</v>
      </c>
      <c r="D213" s="5" t="s">
        <v>13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126</v>
      </c>
      <c r="C214" s="6" t="str">
        <f aca="false">HYPERLINK("https://partner.tcgplayer.com/c/6278691/1780961/21018?u=https%3A%2F%2Fwww.tcgplayer.com%2Fproduct%2F632920%3Futm_source%3Dimpact%26utm_medium%3Daffiliate%26utm_campaign%3Dpoke%2Bcottage","Team Rocket's Ekans")</f>
        <v>Team Rocket's Ekans</v>
      </c>
      <c r="D214" s="5" t="s">
        <v>13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127</v>
      </c>
      <c r="C215" s="6" t="str">
        <f aca="false">HYPERLINK("https://partner.tcgplayer.com/c/6278691/1780961/21018?u=https%3A%2F%2Fwww.tcgplayer.com%2Fproduct%2F632921%3Futm_source%3Dimpact%26utm_medium%3Daffiliate%26utm_campaign%3Dpoke%2Bcottage","Team Rocket's Arbok")</f>
        <v>Team Rocket's Arbok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127</v>
      </c>
      <c r="C216" s="6" t="str">
        <f aca="false">HYPERLINK("https://partner.tcgplayer.com/c/6278691/1780961/21018?u=https%3A%2F%2Fwww.tcgplayer.com%2Fproduct%2F632921%3Futm_source%3Dimpact%26utm_medium%3Daffiliate%26utm_campaign%3Dpoke%2Bcottage","Team Rocket's Arbok")</f>
        <v>Team Rocket's Arbok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128</v>
      </c>
      <c r="C217" s="6" t="str">
        <f aca="false">HYPERLINK("https://partner.tcgplayer.com/c/6278691/1780961/21018?u=https%3A%2F%2Fwww.tcgplayer.com%2Fproduct%2F632922%3Futm_source%3Dimpact%26utm_medium%3Daffiliate%26utm_campaign%3Dpoke%2Bcottage","Team Rocket's Nidoran ♀")</f>
        <v>Team Rocket's Nidoran ♀</v>
      </c>
      <c r="D217" s="5" t="s">
        <v>13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128</v>
      </c>
      <c r="C218" s="6" t="str">
        <f aca="false">HYPERLINK("https://partner.tcgplayer.com/c/6278691/1780961/21018?u=https%3A%2F%2Fwww.tcgplayer.com%2Fproduct%2F632922%3Futm_source%3Dimpact%26utm_medium%3Daffiliate%26utm_campaign%3Dpoke%2Bcottage","Team Rocket's Nidoran ♀")</f>
        <v>Team Rocket's Nidoran ♀</v>
      </c>
      <c r="D218" s="5" t="s">
        <v>13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129</v>
      </c>
      <c r="C219" s="6" t="str">
        <f aca="false">HYPERLINK("https://partner.tcgplayer.com/c/6278691/1780961/21018?u=https%3A%2F%2Fwww.tcgplayer.com%2Fproduct%2F632923%3Futm_source%3Dimpact%26utm_medium%3Daffiliate%26utm_campaign%3Dpoke%2Bcottage","Team Rocket's Nidorina")</f>
        <v>Team Rocket's Nidorina</v>
      </c>
      <c r="D219" s="5" t="s">
        <v>13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129</v>
      </c>
      <c r="C220" s="6" t="str">
        <f aca="false">HYPERLINK("https://partner.tcgplayer.com/c/6278691/1780961/21018?u=https%3A%2F%2Fwww.tcgplayer.com%2Fproduct%2F632923%3Futm_source%3Dimpact%26utm_medium%3Daffiliate%26utm_campaign%3Dpoke%2Bcottage","Team Rocket's Nidorina")</f>
        <v>Team Rocket's Nidorina</v>
      </c>
      <c r="D220" s="5" t="s">
        <v>13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130</v>
      </c>
      <c r="C221" s="6" t="str">
        <f aca="false">HYPERLINK("https://partner.tcgplayer.com/c/6278691/1780961/21018?u=https%3A%2F%2Fwww.tcgplayer.com%2Fproduct%2F632924%3Futm_source%3Dimpact%26utm_medium%3Daffiliate%26utm_campaign%3Dpoke%2Bcottage","Team Rocket's Nidoqueen")</f>
        <v>Team Rocket's Nidoqueen</v>
      </c>
      <c r="D221" s="5" t="s">
        <v>8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130</v>
      </c>
      <c r="C222" s="6" t="str">
        <f aca="false">HYPERLINK("https://partner.tcgplayer.com/c/6278691/1780961/21018?u=https%3A%2F%2Fwww.tcgplayer.com%2Fproduct%2F632924%3Futm_source%3Dimpact%26utm_medium%3Daffiliate%26utm_campaign%3Dpoke%2Bcottage","Team Rocket's Nidoqueen")</f>
        <v>Team Rocket's Nidoqueen</v>
      </c>
      <c r="D222" s="5" t="s">
        <v>8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131</v>
      </c>
      <c r="C223" s="6" t="str">
        <f aca="false">HYPERLINK("https://partner.tcgplayer.com/c/6278691/1780961/21018?u=https%3A%2F%2Fwww.tcgplayer.com%2Fproduct%2F632925%3Futm_source%3Dimpact%26utm_medium%3Daffiliate%26utm_campaign%3Dpoke%2Bcottage","Team Rocket's Nidoran ♂")</f>
        <v>Team Rocket's Nidoran ♂</v>
      </c>
      <c r="D223" s="5" t="s">
        <v>13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131</v>
      </c>
      <c r="C224" s="6" t="str">
        <f aca="false">HYPERLINK("https://partner.tcgplayer.com/c/6278691/1780961/21018?u=https%3A%2F%2Fwww.tcgplayer.com%2Fproduct%2F632925%3Futm_source%3Dimpact%26utm_medium%3Daffiliate%26utm_campaign%3Dpoke%2Bcottage","Team Rocket's Nidoran ♂")</f>
        <v>Team Rocket's Nidoran ♂</v>
      </c>
      <c r="D224" s="5" t="s">
        <v>13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132</v>
      </c>
      <c r="C225" s="6" t="str">
        <f aca="false">HYPERLINK("https://partner.tcgplayer.com/c/6278691/1780961/21018?u=https%3A%2F%2Fwww.tcgplayer.com%2Fproduct%2F632926%3Futm_source%3Dimpact%26utm_medium%3Daffiliate%26utm_campaign%3Dpoke%2Bcottage","Team Rocket's Nidorino")</f>
        <v>Team Rocket's Nidorino</v>
      </c>
      <c r="D225" s="5" t="s">
        <v>13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132</v>
      </c>
      <c r="C226" s="6" t="str">
        <f aca="false">HYPERLINK("https://partner.tcgplayer.com/c/6278691/1780961/21018?u=https%3A%2F%2Fwww.tcgplayer.com%2Fproduct%2F632926%3Futm_source%3Dimpact%26utm_medium%3Daffiliate%26utm_campaign%3Dpoke%2Bcottage","Team Rocket's Nidorino")</f>
        <v>Team Rocket's Nidorino</v>
      </c>
      <c r="D226" s="5" t="s">
        <v>13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133</v>
      </c>
      <c r="C227" s="6" t="str">
        <f aca="false">HYPERLINK("https://partner.tcgplayer.com/c/6278691/1780961/21018?u=https%3A%2F%2Fwww.tcgplayer.com%2Fproduct%2F632927%3Futm_source%3Dimpact%26utm_medium%3Daffiliate%26utm_campaign%3Dpoke%2Bcottage","Team Rocket's Nidoking ex")</f>
        <v>Team Rocket's Nidoking ex</v>
      </c>
      <c r="D227" s="5" t="s">
        <v>15</v>
      </c>
      <c r="E227" s="5" t="s">
        <v>16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HYPERLINK("https://partner.tcgplayer.com/c/6278691/1780961/21018?u=https%3A%2F%2Fwww.tcgplayer.com%2Fproduct%2F632928%3Futm_source%3Dimpact%26utm_medium%3Daffiliate%26utm_campaign%3Dpoke%2Bcottage","Team Rocket's Zubat")</f>
        <v>Team Rocket's Zubat</v>
      </c>
      <c r="D228" s="5" t="s">
        <v>13</v>
      </c>
      <c r="E228" s="5" t="s">
        <v>9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134</v>
      </c>
      <c r="C229" s="6" t="str">
        <f aca="false">HYPERLINK("https://partner.tcgplayer.com/c/6278691/1780961/21018?u=https%3A%2F%2Fwww.tcgplayer.com%2Fproduct%2F632928%3Futm_source%3Dimpact%26utm_medium%3Daffiliate%26utm_campaign%3Dpoke%2Bcottage","Team Rocket's Zubat")</f>
        <v>Team Rocket's Zubat</v>
      </c>
      <c r="D229" s="5" t="s">
        <v>13</v>
      </c>
      <c r="E229" s="5" t="s">
        <v>11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HYPERLINK("https://partner.tcgplayer.com/c/6278691/1780961/21018?u=https%3A%2F%2Fwww.tcgplayer.com%2Fproduct%2F632929%3Futm_source%3Dimpact%26utm_medium%3Daffiliate%26utm_campaign%3Dpoke%2Bcottage","Team Rocket's Golbat")</f>
        <v>Team Rocket's Golbat</v>
      </c>
      <c r="D230" s="5" t="s">
        <v>8</v>
      </c>
      <c r="E230" s="5" t="s">
        <v>9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135</v>
      </c>
      <c r="C231" s="6" t="str">
        <f aca="false">HYPERLINK("https://partner.tcgplayer.com/c/6278691/1780961/21018?u=https%3A%2F%2Fwww.tcgplayer.com%2Fproduct%2F632929%3Futm_source%3Dimpact%26utm_medium%3Daffiliate%26utm_campaign%3Dpoke%2Bcottage","Team Rocket's Golbat")</f>
        <v>Team Rocket's Golbat</v>
      </c>
      <c r="D231" s="5" t="s">
        <v>8</v>
      </c>
      <c r="E231" s="5" t="s">
        <v>11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136</v>
      </c>
      <c r="C232" s="6" t="str">
        <f aca="false">HYPERLINK("https://partner.tcgplayer.com/c/6278691/1780961/21018?u=https%3A%2F%2Fwww.tcgplayer.com%2Fproduct%2F632930%3Futm_source%3Dimpact%26utm_medium%3Daffiliate%26utm_campaign%3Dpoke%2Bcottage","Team Rocket's Crobat ex")</f>
        <v>Team Rocket's Crobat ex</v>
      </c>
      <c r="D232" s="5" t="s">
        <v>15</v>
      </c>
      <c r="E232" s="5" t="s">
        <v>16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137</v>
      </c>
      <c r="C233" s="6" t="str">
        <f aca="false">HYPERLINK("https://partner.tcgplayer.com/c/6278691/1780961/21018?u=https%3A%2F%2Fwww.tcgplayer.com%2Fproduct%2F632931%3Futm_source%3Dimpact%26utm_medium%3Daffiliate%26utm_campaign%3Dpoke%2Bcottage","Team Rocket's Grimer")</f>
        <v>Team Rocket's Grimer</v>
      </c>
      <c r="D233" s="5" t="s">
        <v>13</v>
      </c>
      <c r="E233" s="5" t="s">
        <v>9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137</v>
      </c>
      <c r="C234" s="6" t="str">
        <f aca="false">HYPERLINK("https://partner.tcgplayer.com/c/6278691/1780961/21018?u=https%3A%2F%2Fwww.tcgplayer.com%2Fproduct%2F632931%3Futm_source%3Dimpact%26utm_medium%3Daffiliate%26utm_campaign%3Dpoke%2Bcottage","Team Rocket's Grimer")</f>
        <v>Team Rocket's Grimer</v>
      </c>
      <c r="D234" s="5" t="s">
        <v>13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138</v>
      </c>
      <c r="C235" s="6" t="str">
        <f aca="false">HYPERLINK("https://partner.tcgplayer.com/c/6278691/1780961/21018?u=https%3A%2F%2Fwww.tcgplayer.com%2Fproduct%2F632932%3Futm_source%3Dimpact%26utm_medium%3Daffiliate%26utm_campaign%3Dpoke%2Bcottage","Team Rocket's Muk")</f>
        <v>Team Rocket's Muk</v>
      </c>
      <c r="D235" s="5" t="s">
        <v>8</v>
      </c>
      <c r="E235" s="5" t="s">
        <v>9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138</v>
      </c>
      <c r="C236" s="6" t="str">
        <f aca="false">HYPERLINK("https://partner.tcgplayer.com/c/6278691/1780961/21018?u=https%3A%2F%2Fwww.tcgplayer.com%2Fproduct%2F632932%3Futm_source%3Dimpact%26utm_medium%3Daffiliate%26utm_campaign%3Dpoke%2Bcottage","Team Rocket's Muk")</f>
        <v>Team Rocket's Muk</v>
      </c>
      <c r="D236" s="5" t="s">
        <v>8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139</v>
      </c>
      <c r="C237" s="6" t="str">
        <f aca="false">HYPERLINK("https://partner.tcgplayer.com/c/6278691/1780961/21018?u=https%3A%2F%2Fwww.tcgplayer.com%2Fproduct%2F632933%3Futm_source%3Dimpact%26utm_medium%3Daffiliate%26utm_campaign%3Dpoke%2Bcottage","Team Rocket's Koffing")</f>
        <v>Team Rocket's Koffing</v>
      </c>
      <c r="D237" s="5" t="s">
        <v>13</v>
      </c>
      <c r="E237" s="5" t="s">
        <v>9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139</v>
      </c>
      <c r="C238" s="6" t="str">
        <f aca="false">HYPERLINK("https://partner.tcgplayer.com/c/6278691/1780961/21018?u=https%3A%2F%2Fwww.tcgplayer.com%2Fproduct%2F632933%3Futm_source%3Dimpact%26utm_medium%3Daffiliate%26utm_campaign%3Dpoke%2Bcottage","Team Rocket's Koffing")</f>
        <v>Team Rocket's Koffing</v>
      </c>
      <c r="D238" s="5" t="s">
        <v>13</v>
      </c>
      <c r="E238" s="5" t="s">
        <v>11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140</v>
      </c>
      <c r="C239" s="6" t="str">
        <f aca="false">HYPERLINK("https://partner.tcgplayer.com/c/6278691/1780961/21018?u=https%3A%2F%2Fwww.tcgplayer.com%2Fproduct%2F632934%3Futm_source%3Dimpact%26utm_medium%3Daffiliate%26utm_campaign%3Dpoke%2Bcottage","Team Rocket's Weezing")</f>
        <v>Team Rocket's Weezing</v>
      </c>
      <c r="D239" s="5" t="s">
        <v>8</v>
      </c>
      <c r="E239" s="5" t="s">
        <v>9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140</v>
      </c>
      <c r="C240" s="6" t="str">
        <f aca="false">HYPERLINK("https://partner.tcgplayer.com/c/6278691/1780961/21018?u=https%3A%2F%2Fwww.tcgplayer.com%2Fproduct%2F632934%3Futm_source%3Dimpact%26utm_medium%3Daffiliate%26utm_campaign%3Dpoke%2Bcottage","Team Rocket's Weezing")</f>
        <v>Team Rocket's Weezing</v>
      </c>
      <c r="D240" s="5" t="s">
        <v>8</v>
      </c>
      <c r="E240" s="5" t="s">
        <v>11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141</v>
      </c>
      <c r="C241" s="6" t="str">
        <f aca="false">HYPERLINK("https://partner.tcgplayer.com/c/6278691/1780961/21018?u=https%3A%2F%2Fwww.tcgplayer.com%2Fproduct%2F632935%3Futm_source%3Dimpact%26utm_medium%3Daffiliate%26utm_campaign%3Dpoke%2Bcottage","Team Rocket's Murkrow")</f>
        <v>Team Rocket's Murkrow</v>
      </c>
      <c r="D241" s="5" t="s">
        <v>8</v>
      </c>
      <c r="E241" s="5" t="s">
        <v>9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141</v>
      </c>
      <c r="C242" s="6" t="str">
        <f aca="false">HYPERLINK("https://partner.tcgplayer.com/c/6278691/1780961/21018?u=https%3A%2F%2Fwww.tcgplayer.com%2Fproduct%2F632935%3Futm_source%3Dimpact%26utm_medium%3Daffiliate%26utm_campaign%3Dpoke%2Bcottage","Team Rocket's Murkrow")</f>
        <v>Team Rocket's Murkrow</v>
      </c>
      <c r="D242" s="5" t="s">
        <v>8</v>
      </c>
      <c r="E242" s="5" t="s">
        <v>11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142</v>
      </c>
      <c r="C243" s="6" t="str">
        <f aca="false">HYPERLINK("https://partner.tcgplayer.com/c/6278691/1780961/21018?u=https%3A%2F%2Fwww.tcgplayer.com%2Fproduct%2F632936%3Futm_source%3Dimpact%26utm_medium%3Daffiliate%26utm_campaign%3Dpoke%2Bcottage","Team Rocket's Sneasel")</f>
        <v>Team Rocket's Sneasel</v>
      </c>
      <c r="D243" s="5" t="s">
        <v>22</v>
      </c>
      <c r="E243" s="5" t="s">
        <v>16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142</v>
      </c>
      <c r="C244" s="6" t="str">
        <f aca="false">HYPERLINK("https://partner.tcgplayer.com/c/6278691/1780961/21018?u=https%3A%2F%2Fwww.tcgplayer.com%2Fproduct%2F632936%3Futm_source%3Dimpact%26utm_medium%3Daffiliate%26utm_campaign%3Dpoke%2Bcottage","Team Rocket's Sneasel")</f>
        <v>Team Rocket's Sneasel</v>
      </c>
      <c r="D244" s="5" t="s">
        <v>22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143</v>
      </c>
      <c r="C245" s="6" t="str">
        <f aca="false">HYPERLINK("https://partner.tcgplayer.com/c/6278691/1780961/21018?u=https%3A%2F%2Fwww.tcgplayer.com%2Fproduct%2F632937%3Futm_source%3Dimpact%26utm_medium%3Daffiliate%26utm_campaign%3Dpoke%2Bcottage","Cynthia's Spiritomb")</f>
        <v>Cynthia's Spiritomb</v>
      </c>
      <c r="D245" s="5" t="s">
        <v>8</v>
      </c>
      <c r="E245" s="5" t="s">
        <v>9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143</v>
      </c>
      <c r="C246" s="6" t="str">
        <f aca="false">HYPERLINK("https://partner.tcgplayer.com/c/6278691/1780961/21018?u=https%3A%2F%2Fwww.tcgplayer.com%2Fproduct%2F632937%3Futm_source%3Dimpact%26utm_medium%3Daffiliate%26utm_campaign%3Dpoke%2Bcottage","Cynthia's Spiritomb")</f>
        <v>Cynthia's Spiritomb</v>
      </c>
      <c r="D246" s="5" t="s">
        <v>8</v>
      </c>
      <c r="E246" s="5" t="s">
        <v>11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144</v>
      </c>
      <c r="C247" s="6" t="str">
        <f aca="false">HYPERLINK("https://partner.tcgplayer.com/c/6278691/1780961/21018?u=https%3A%2F%2Fwww.tcgplayer.com%2Fproduct%2F632938%3Futm_source%3Dimpact%26utm_medium%3Daffiliate%26utm_campaign%3Dpoke%2Bcottage","Marnie's Purrloin")</f>
        <v>Marnie's Purrloin</v>
      </c>
      <c r="D247" s="5" t="s">
        <v>13</v>
      </c>
      <c r="E247" s="5" t="s">
        <v>9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144</v>
      </c>
      <c r="C248" s="6" t="str">
        <f aca="false">HYPERLINK("https://partner.tcgplayer.com/c/6278691/1780961/21018?u=https%3A%2F%2Fwww.tcgplayer.com%2Fproduct%2F632938%3Futm_source%3Dimpact%26utm_medium%3Daffiliate%26utm_campaign%3Dpoke%2Bcottage","Marnie's Purrloin")</f>
        <v>Marnie's Purrloin</v>
      </c>
      <c r="D248" s="5" t="s">
        <v>13</v>
      </c>
      <c r="E248" s="5" t="s">
        <v>11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HYPERLINK("https://partner.tcgplayer.com/c/6278691/1780961/21018?u=https%3A%2F%2Fwww.tcgplayer.com%2Fproduct%2F632939%3Futm_source%3Dimpact%26utm_medium%3Daffiliate%26utm_campaign%3Dpoke%2Bcottage","Marnie's Liepard")</f>
        <v>Marnie's Liepard</v>
      </c>
      <c r="D249" s="5" t="s">
        <v>8</v>
      </c>
      <c r="E249" s="5" t="s">
        <v>9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145</v>
      </c>
      <c r="C250" s="6" t="str">
        <f aca="false">HYPERLINK("https://partner.tcgplayer.com/c/6278691/1780961/21018?u=https%3A%2F%2Fwww.tcgplayer.com%2Fproduct%2F632939%3Futm_source%3Dimpact%26utm_medium%3Daffiliate%26utm_campaign%3Dpoke%2Bcottage","Marnie's Liepard")</f>
        <v>Marnie's Liepard</v>
      </c>
      <c r="D250" s="5" t="s">
        <v>8</v>
      </c>
      <c r="E250" s="5" t="s">
        <v>11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HYPERLINK("https://partner.tcgplayer.com/c/6278691/1780961/21018?u=https%3A%2F%2Fwww.tcgplayer.com%2Fproduct%2F632940%3Futm_source%3Dimpact%26utm_medium%3Daffiliate%26utm_campaign%3Dpoke%2Bcottage","Marnie's Scraggy")</f>
        <v>Marnie's Scraggy</v>
      </c>
      <c r="D251" s="5" t="s">
        <v>13</v>
      </c>
      <c r="E251" s="5" t="s">
        <v>9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146</v>
      </c>
      <c r="C252" s="6" t="str">
        <f aca="false">HYPERLINK("https://partner.tcgplayer.com/c/6278691/1780961/21018?u=https%3A%2F%2Fwww.tcgplayer.com%2Fproduct%2F632940%3Futm_source%3Dimpact%26utm_medium%3Daffiliate%26utm_campaign%3Dpoke%2Bcottage","Marnie's Scraggy")</f>
        <v>Marnie's Scraggy</v>
      </c>
      <c r="D252" s="5" t="s">
        <v>13</v>
      </c>
      <c r="E252" s="5" t="s">
        <v>11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HYPERLINK("https://partner.tcgplayer.com/c/6278691/1780961/21018?u=https%3A%2F%2Fwww.tcgplayer.com%2Fproduct%2F632941%3Futm_source%3Dimpact%26utm_medium%3Daffiliate%26utm_campaign%3Dpoke%2Bcottage","Marnie's Scrafty")</f>
        <v>Marnie's Scrafty</v>
      </c>
      <c r="D253" s="5" t="s">
        <v>8</v>
      </c>
      <c r="E253" s="5" t="s">
        <v>9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147</v>
      </c>
      <c r="C254" s="6" t="str">
        <f aca="false">HYPERLINK("https://partner.tcgplayer.com/c/6278691/1780961/21018?u=https%3A%2F%2Fwww.tcgplayer.com%2Fproduct%2F632941%3Futm_source%3Dimpact%26utm_medium%3Daffiliate%26utm_campaign%3Dpoke%2Bcottage","Marnie's Scrafty")</f>
        <v>Marnie's Scrafty</v>
      </c>
      <c r="D254" s="5" t="s">
        <v>8</v>
      </c>
      <c r="E254" s="5" t="s">
        <v>11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148</v>
      </c>
      <c r="C255" s="6" t="str">
        <f aca="false">HYPERLINK("https://partner.tcgplayer.com/c/6278691/1780961/21018?u=https%3A%2F%2Fwww.tcgplayer.com%2Fproduct%2F632942%3Futm_source%3Dimpact%26utm_medium%3Daffiliate%26utm_campaign%3Dpoke%2Bcottage","Marnie's Impidimp")</f>
        <v>Marnie's Impidimp</v>
      </c>
      <c r="D255" s="5" t="s">
        <v>13</v>
      </c>
      <c r="E255" s="5" t="s">
        <v>9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148</v>
      </c>
      <c r="C256" s="6" t="str">
        <f aca="false">HYPERLINK("https://partner.tcgplayer.com/c/6278691/1780961/21018?u=https%3A%2F%2Fwww.tcgplayer.com%2Fproduct%2F632942%3Futm_source%3Dimpact%26utm_medium%3Daffiliate%26utm_campaign%3Dpoke%2Bcottage","Marnie's Impidimp")</f>
        <v>Marnie's Impidimp</v>
      </c>
      <c r="D256" s="5" t="s">
        <v>13</v>
      </c>
      <c r="E256" s="5" t="s">
        <v>11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149</v>
      </c>
      <c r="C257" s="6" t="str">
        <f aca="false">HYPERLINK("https://partner.tcgplayer.com/c/6278691/1780961/21018?u=https%3A%2F%2Fwww.tcgplayer.com%2Fproduct%2F632943%3Futm_source%3Dimpact%26utm_medium%3Daffiliate%26utm_campaign%3Dpoke%2Bcottage","Marnie's Morgrem")</f>
        <v>Marnie's Morgrem</v>
      </c>
      <c r="D257" s="5" t="s">
        <v>8</v>
      </c>
      <c r="E257" s="5" t="s">
        <v>9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149</v>
      </c>
      <c r="C258" s="6" t="str">
        <f aca="false">HYPERLINK("https://partner.tcgplayer.com/c/6278691/1780961/21018?u=https%3A%2F%2Fwww.tcgplayer.com%2Fproduct%2F632943%3Futm_source%3Dimpact%26utm_medium%3Daffiliate%26utm_campaign%3Dpoke%2Bcottage","Marnie's Morgrem")</f>
        <v>Marnie's Morgrem</v>
      </c>
      <c r="D258" s="5" t="s">
        <v>8</v>
      </c>
      <c r="E258" s="5" t="s">
        <v>11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150</v>
      </c>
      <c r="C259" s="6" t="str">
        <f aca="false">HYPERLINK("https://partner.tcgplayer.com/c/6278691/1780961/21018?u=https%3A%2F%2Fwww.tcgplayer.com%2Fproduct%2F630823%3Futm_source%3Dimpact%26utm_medium%3Daffiliate%26utm_campaign%3Dpoke%2Bcottage","Marnie's Grimmsnarl ex")</f>
        <v>Marnie's Grimmsnarl ex</v>
      </c>
      <c r="D259" s="5" t="s">
        <v>15</v>
      </c>
      <c r="E259" s="5" t="s">
        <v>16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151</v>
      </c>
      <c r="C260" s="6" t="str">
        <f aca="false">HYPERLINK("https://partner.tcgplayer.com/c/6278691/1780961/21018?u=https%3A%2F%2Fwww.tcgplayer.com%2Fproduct%2F632944%3Futm_source%3Dimpact%26utm_medium%3Daffiliate%26utm_campaign%3Dpoke%2Bcottage","Marnie's Morpeko")</f>
        <v>Marnie's Morpeko</v>
      </c>
      <c r="D260" s="5" t="s">
        <v>13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151</v>
      </c>
      <c r="C261" s="6" t="str">
        <f aca="false">HYPERLINK("https://partner.tcgplayer.com/c/6278691/1780961/21018?u=https%3A%2F%2Fwww.tcgplayer.com%2Fproduct%2F632944%3Futm_source%3Dimpact%26utm_medium%3Daffiliate%26utm_campaign%3Dpoke%2Bcottage","Marnie's Morpeko")</f>
        <v>Marnie's Morpeko</v>
      </c>
      <c r="D261" s="5" t="s">
        <v>13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152</v>
      </c>
      <c r="C262" s="6" t="str">
        <f aca="false">HYPERLINK("https://partner.tcgplayer.com/c/6278691/1780961/21018?u=https%3A%2F%2Fwww.tcgplayer.com%2Fproduct%2F632945%3Futm_source%3Dimpact%26utm_medium%3Daffiliate%26utm_campaign%3Dpoke%2Bcottage","Arven's Maschiff")</f>
        <v>Arven's Maschiff</v>
      </c>
      <c r="D262" s="5" t="s">
        <v>13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152</v>
      </c>
      <c r="C263" s="6" t="str">
        <f aca="false">HYPERLINK("https://partner.tcgplayer.com/c/6278691/1780961/21018?u=https%3A%2F%2Fwww.tcgplayer.com%2Fproduct%2F632945%3Futm_source%3Dimpact%26utm_medium%3Daffiliate%26utm_campaign%3Dpoke%2Bcottage","Arven's Maschiff")</f>
        <v>Arven's Maschiff</v>
      </c>
      <c r="D263" s="5" t="s">
        <v>13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153</v>
      </c>
      <c r="C264" s="6" t="str">
        <f aca="false">HYPERLINK("https://partner.tcgplayer.com/c/6278691/1780961/21018?u=https%3A%2F%2Fwww.tcgplayer.com%2Fproduct%2F632946%3Futm_source%3Dimpact%26utm_medium%3Daffiliate%26utm_campaign%3Dpoke%2Bcottage","Arven's Mabosstiff ex")</f>
        <v>Arven's Mabosstiff ex</v>
      </c>
      <c r="D264" s="5" t="s">
        <v>15</v>
      </c>
      <c r="E264" s="5" t="s">
        <v>16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154</v>
      </c>
      <c r="C265" s="6" t="str">
        <f aca="false">HYPERLINK("https://partner.tcgplayer.com/c/6278691/1780961/21018?u=https%3A%2F%2Fwww.tcgplayer.com%2Fproduct%2F632947%3Futm_source%3Dimpact%26utm_medium%3Daffiliate%26utm_campaign%3Dpoke%2Bcottage","Forretress")</f>
        <v>Forretress</v>
      </c>
      <c r="D265" s="5" t="s">
        <v>8</v>
      </c>
      <c r="E265" s="5" t="s">
        <v>9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154</v>
      </c>
      <c r="C266" s="6" t="str">
        <f aca="false">HYPERLINK("https://partner.tcgplayer.com/c/6278691/1780961/21018?u=https%3A%2F%2Fwww.tcgplayer.com%2Fproduct%2F632947%3Futm_source%3Dimpact%26utm_medium%3Daffiliate%26utm_campaign%3Dpoke%2Bcottage","Forretress")</f>
        <v>Forretress</v>
      </c>
      <c r="D266" s="5" t="s">
        <v>8</v>
      </c>
      <c r="E266" s="5" t="s">
        <v>11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155</v>
      </c>
      <c r="C267" s="6" t="str">
        <f aca="false">HYPERLINK("https://partner.tcgplayer.com/c/6278691/1780961/21018?u=https%3A%2F%2Fwww.tcgplayer.com%2Fproduct%2F632948%3Futm_source%3Dimpact%26utm_medium%3Daffiliate%26utm_campaign%3Dpoke%2Bcottage","Skarmory")</f>
        <v>Skarmory</v>
      </c>
      <c r="D267" s="5" t="s">
        <v>13</v>
      </c>
      <c r="E267" s="5" t="s">
        <v>9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155</v>
      </c>
      <c r="C268" s="6" t="str">
        <f aca="false">HYPERLINK("https://partner.tcgplayer.com/c/6278691/1780961/21018?u=https%3A%2F%2Fwww.tcgplayer.com%2Fproduct%2F632948%3Futm_source%3Dimpact%26utm_medium%3Daffiliate%26utm_campaign%3Dpoke%2Bcottage","Skarmory")</f>
        <v>Skarmory</v>
      </c>
      <c r="D268" s="5" t="s">
        <v>13</v>
      </c>
      <c r="E268" s="5" t="s">
        <v>11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156</v>
      </c>
      <c r="C269" s="6" t="str">
        <f aca="false">HYPERLINK("https://partner.tcgplayer.com/c/6278691/1780961/21018?u=https%3A%2F%2Fwww.tcgplayer.com%2Fproduct%2F632949%3Futm_source%3Dimpact%26utm_medium%3Daffiliate%26utm_campaign%3Dpoke%2Bcottage","Steven's Skarmory")</f>
        <v>Steven's Skarmory</v>
      </c>
      <c r="D269" s="5" t="s">
        <v>13</v>
      </c>
      <c r="E269" s="5" t="s">
        <v>9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156</v>
      </c>
      <c r="C270" s="6" t="str">
        <f aca="false">HYPERLINK("https://partner.tcgplayer.com/c/6278691/1780961/21018?u=https%3A%2F%2Fwww.tcgplayer.com%2Fproduct%2F632949%3Futm_source%3Dimpact%26utm_medium%3Daffiliate%26utm_campaign%3Dpoke%2Bcottage","Steven's Skarmory")</f>
        <v>Steven's Skarmory</v>
      </c>
      <c r="D270" s="5" t="s">
        <v>13</v>
      </c>
      <c r="E270" s="5" t="s">
        <v>11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157</v>
      </c>
      <c r="C271" s="6" t="str">
        <f aca="false">HYPERLINK("https://partner.tcgplayer.com/c/6278691/1780961/21018?u=https%3A%2F%2Fwww.tcgplayer.com%2Fproduct%2F632950%3Futm_source%3Dimpact%26utm_medium%3Daffiliate%26utm_campaign%3Dpoke%2Bcottage","Steven's Beldum")</f>
        <v>Steven's Beldum</v>
      </c>
      <c r="D271" s="5" t="s">
        <v>13</v>
      </c>
      <c r="E271" s="5" t="s">
        <v>9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157</v>
      </c>
      <c r="C272" s="6" t="str">
        <f aca="false">HYPERLINK("https://partner.tcgplayer.com/c/6278691/1780961/21018?u=https%3A%2F%2Fwww.tcgplayer.com%2Fproduct%2F632950%3Futm_source%3Dimpact%26utm_medium%3Daffiliate%26utm_campaign%3Dpoke%2Bcottage","Steven's Beldum")</f>
        <v>Steven's Beldum</v>
      </c>
      <c r="D272" s="5" t="s">
        <v>13</v>
      </c>
      <c r="E272" s="5" t="s">
        <v>11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158</v>
      </c>
      <c r="C273" s="6" t="str">
        <f aca="false">HYPERLINK("https://partner.tcgplayer.com/c/6278691/1780961/21018?u=https%3A%2F%2Fwww.tcgplayer.com%2Fproduct%2F632951%3Futm_source%3Dimpact%26utm_medium%3Daffiliate%26utm_campaign%3Dpoke%2Bcottage","Steven's Metang")</f>
        <v>Steven's Metang</v>
      </c>
      <c r="D273" s="5" t="s">
        <v>8</v>
      </c>
      <c r="E273" s="5" t="s">
        <v>9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158</v>
      </c>
      <c r="C274" s="6" t="str">
        <f aca="false">HYPERLINK("https://partner.tcgplayer.com/c/6278691/1780961/21018?u=https%3A%2F%2Fwww.tcgplayer.com%2Fproduct%2F632951%3Futm_source%3Dimpact%26utm_medium%3Daffiliate%26utm_campaign%3Dpoke%2Bcottage","Steven's Metang")</f>
        <v>Steven's Metang</v>
      </c>
      <c r="D274" s="5" t="s">
        <v>8</v>
      </c>
      <c r="E274" s="5" t="s">
        <v>11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159</v>
      </c>
      <c r="C275" s="6" t="str">
        <f aca="false">HYPERLINK("https://partner.tcgplayer.com/c/6278691/1780961/21018?u=https%3A%2F%2Fwww.tcgplayer.com%2Fproduct%2F630824%3Futm_source%3Dimpact%26utm_medium%3Daffiliate%26utm_campaign%3Dpoke%2Bcottage","Steven's Metagross ex")</f>
        <v>Steven's Metagross ex</v>
      </c>
      <c r="D275" s="5" t="s">
        <v>15</v>
      </c>
      <c r="E275" s="5" t="s">
        <v>16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160</v>
      </c>
      <c r="C276" s="6" t="str">
        <f aca="false">HYPERLINK("https://partner.tcgplayer.com/c/6278691/1780961/21018?u=https%3A%2F%2Fwww.tcgplayer.com%2Fproduct%2F632952%3Futm_source%3Dimpact%26utm_medium%3Daffiliate%26utm_campaign%3Dpoke%2Bcottage","Zamazenta")</f>
        <v>Zamazenta</v>
      </c>
      <c r="D276" s="5" t="s">
        <v>22</v>
      </c>
      <c r="E276" s="5" t="s">
        <v>16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160</v>
      </c>
      <c r="C277" s="6" t="str">
        <f aca="false">HYPERLINK("https://partner.tcgplayer.com/c/6278691/1780961/21018?u=https%3A%2F%2Fwww.tcgplayer.com%2Fproduct%2F632952%3Futm_source%3Dimpact%26utm_medium%3Daffiliate%26utm_campaign%3Dpoke%2Bcottage","Zamazenta")</f>
        <v>Zamazenta</v>
      </c>
      <c r="D277" s="5" t="s">
        <v>22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161</v>
      </c>
      <c r="C278" s="6" t="str">
        <f aca="false">HYPERLINK("https://partner.tcgplayer.com/c/6278691/1780961/21018?u=https%3A%2F%2Fwww.tcgplayer.com%2Fproduct%2F632953%3Futm_source%3Dimpact%26utm_medium%3Daffiliate%26utm_campaign%3Dpoke%2Bcottage","Team Rocket's Rattata")</f>
        <v>Team Rocket's Rattata</v>
      </c>
      <c r="D278" s="5" t="s">
        <v>13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161</v>
      </c>
      <c r="C279" s="6" t="str">
        <f aca="false">HYPERLINK("https://partner.tcgplayer.com/c/6278691/1780961/21018?u=https%3A%2F%2Fwww.tcgplayer.com%2Fproduct%2F632953%3Futm_source%3Dimpact%26utm_medium%3Daffiliate%26utm_campaign%3Dpoke%2Bcottage","Team Rocket's Rattata")</f>
        <v>Team Rocket's Rattata</v>
      </c>
      <c r="D279" s="5" t="s">
        <v>13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162</v>
      </c>
      <c r="C280" s="6" t="str">
        <f aca="false">HYPERLINK("https://partner.tcgplayer.com/c/6278691/1780961/21018?u=https%3A%2F%2Fwww.tcgplayer.com%2Fproduct%2F632954%3Futm_source%3Dimpact%26utm_medium%3Daffiliate%26utm_campaign%3Dpoke%2Bcottage","Team Rocket's Raticate")</f>
        <v>Team Rocket's Raticate</v>
      </c>
      <c r="D280" s="5" t="s">
        <v>13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162</v>
      </c>
      <c r="C281" s="6" t="str">
        <f aca="false">HYPERLINK("https://partner.tcgplayer.com/c/6278691/1780961/21018?u=https%3A%2F%2Fwww.tcgplayer.com%2Fproduct%2F632954%3Futm_source%3Dimpact%26utm_medium%3Daffiliate%26utm_campaign%3Dpoke%2Bcottage","Team Rocket's Raticate")</f>
        <v>Team Rocket's Raticate</v>
      </c>
      <c r="D281" s="5" t="s">
        <v>13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163</v>
      </c>
      <c r="C282" s="6" t="str">
        <f aca="false">HYPERLINK("https://partner.tcgplayer.com/c/6278691/1780961/21018?u=https%3A%2F%2Fwww.tcgplayer.com%2Fproduct%2F630825%3Futm_source%3Dimpact%26utm_medium%3Daffiliate%26utm_campaign%3Dpoke%2Bcottage","Team Rocket's Meowth")</f>
        <v>Team Rocket's Meowth</v>
      </c>
      <c r="D282" s="5" t="s">
        <v>13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163</v>
      </c>
      <c r="C283" s="6" t="str">
        <f aca="false">HYPERLINK("https://partner.tcgplayer.com/c/6278691/1780961/21018?u=https%3A%2F%2Fwww.tcgplayer.com%2Fproduct%2F630825%3Futm_source%3Dimpact%26utm_medium%3Daffiliate%26utm_campaign%3Dpoke%2Bcottage","Team Rocket's Meowth")</f>
        <v>Team Rocket's Meowth</v>
      </c>
      <c r="D283" s="5" t="s">
        <v>13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164</v>
      </c>
      <c r="C284" s="6" t="str">
        <f aca="false">HYPERLINK("https://partner.tcgplayer.com/c/6278691/1780961/21018?u=https%3A%2F%2Fwww.tcgplayer.com%2Fproduct%2F632955%3Futm_source%3Dimpact%26utm_medium%3Daffiliate%26utm_campaign%3Dpoke%2Bcottage","Team Rocket's Persian ex")</f>
        <v>Team Rocket's Persian ex</v>
      </c>
      <c r="D284" s="5" t="s">
        <v>15</v>
      </c>
      <c r="E284" s="5" t="s">
        <v>16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165</v>
      </c>
      <c r="C285" s="6" t="str">
        <f aca="false">HYPERLINK("https://partner.tcgplayer.com/c/6278691/1780961/21018?u=https%3A%2F%2Fwww.tcgplayer.com%2Fproduct%2F632956%3Futm_source%3Dimpact%26utm_medium%3Daffiliate%26utm_campaign%3Dpoke%2Bcottage","Kangaskhan")</f>
        <v>Kangaskhan</v>
      </c>
      <c r="D285" s="5" t="s">
        <v>13</v>
      </c>
      <c r="E285" s="5" t="s">
        <v>9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165</v>
      </c>
      <c r="C286" s="6" t="str">
        <f aca="false">HYPERLINK("https://partner.tcgplayer.com/c/6278691/1780961/21018?u=https%3A%2F%2Fwww.tcgplayer.com%2Fproduct%2F632956%3Futm_source%3Dimpact%26utm_medium%3Daffiliate%26utm_campaign%3Dpoke%2Bcottage","Kangaskhan")</f>
        <v>Kangaskhan</v>
      </c>
      <c r="D286" s="5" t="s">
        <v>13</v>
      </c>
      <c r="E286" s="5" t="s">
        <v>11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166</v>
      </c>
      <c r="C287" s="6" t="str">
        <f aca="false">HYPERLINK("https://partner.tcgplayer.com/c/6278691/1780961/21018?u=https%3A%2F%2Fwww.tcgplayer.com%2Fproduct%2F632957%3Futm_source%3Dimpact%26utm_medium%3Daffiliate%26utm_campaign%3Dpoke%2Bcottage","Tauros")</f>
        <v>Tauros</v>
      </c>
      <c r="D287" s="5" t="s">
        <v>13</v>
      </c>
      <c r="E287" s="5" t="s">
        <v>9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166</v>
      </c>
      <c r="C288" s="6" t="str">
        <f aca="false">HYPERLINK("https://partner.tcgplayer.com/c/6278691/1780961/21018?u=https%3A%2F%2Fwww.tcgplayer.com%2Fproduct%2F632957%3Futm_source%3Dimpact%26utm_medium%3Daffiliate%26utm_campaign%3Dpoke%2Bcottage","Tauros")</f>
        <v>Tauros</v>
      </c>
      <c r="D288" s="5" t="s">
        <v>13</v>
      </c>
      <c r="E288" s="5" t="s">
        <v>11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167</v>
      </c>
      <c r="C289" s="6" t="str">
        <f aca="false">HYPERLINK("https://partner.tcgplayer.com/c/6278691/1780961/21018?u=https%3A%2F%2Fwww.tcgplayer.com%2Fproduct%2F630826%3Futm_source%3Dimpact%26utm_medium%3Daffiliate%26utm_campaign%3Dpoke%2Bcottage","Team Rocket's Porygon")</f>
        <v>Team Rocket's Porygon</v>
      </c>
      <c r="D289" s="5" t="s">
        <v>13</v>
      </c>
      <c r="E289" s="5" t="s">
        <v>9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167</v>
      </c>
      <c r="C290" s="6" t="str">
        <f aca="false">HYPERLINK("https://partner.tcgplayer.com/c/6278691/1780961/21018?u=https%3A%2F%2Fwww.tcgplayer.com%2Fproduct%2F630826%3Futm_source%3Dimpact%26utm_medium%3Daffiliate%26utm_campaign%3Dpoke%2Bcottage","Team Rocket's Porygon")</f>
        <v>Team Rocket's Porygon</v>
      </c>
      <c r="D290" s="5" t="s">
        <v>13</v>
      </c>
      <c r="E290" s="5" t="s">
        <v>11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168</v>
      </c>
      <c r="C291" s="6" t="str">
        <f aca="false">HYPERLINK("https://partner.tcgplayer.com/c/6278691/1780961/21018?u=https%3A%2F%2Fwww.tcgplayer.com%2Fproduct%2F630827%3Futm_source%3Dimpact%26utm_medium%3Daffiliate%26utm_campaign%3Dpoke%2Bcottage","Team Rocket's Porygon2")</f>
        <v>Team Rocket's Porygon2</v>
      </c>
      <c r="D291" s="5" t="s">
        <v>13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HYPERLINK("https://partner.tcgplayer.com/c/6278691/1780961/21018?u=https%3A%2F%2Fwww.tcgplayer.com%2Fproduct%2F630827%3Futm_source%3Dimpact%26utm_medium%3Daffiliate%26utm_campaign%3Dpoke%2Bcottage","Team Rocket's Porygon2")</f>
        <v>Team Rocket's Porygon2</v>
      </c>
      <c r="D292" s="5" t="s">
        <v>13</v>
      </c>
      <c r="E292" s="5" t="s">
        <v>11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169</v>
      </c>
      <c r="C293" s="6" t="str">
        <f aca="false">HYPERLINK("https://partner.tcgplayer.com/c/6278691/1780961/21018?u=https%3A%2F%2Fwww.tcgplayer.com%2Fproduct%2F630828%3Futm_source%3Dimpact%26utm_medium%3Daffiliate%26utm_campaign%3Dpoke%2Bcottage","Team Rocket's Porygon-Z")</f>
        <v>Team Rocket's Porygon-Z</v>
      </c>
      <c r="D293" s="5" t="s">
        <v>8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HYPERLINK("https://partner.tcgplayer.com/c/6278691/1780961/21018?u=https%3A%2F%2Fwww.tcgplayer.com%2Fproduct%2F630828%3Futm_source%3Dimpact%26utm_medium%3Daffiliate%26utm_campaign%3Dpoke%2Bcottage","Team Rocket's Porygon-Z")</f>
        <v>Team Rocket's Porygon-Z</v>
      </c>
      <c r="D294" s="5" t="s">
        <v>8</v>
      </c>
      <c r="E294" s="5" t="s">
        <v>11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170</v>
      </c>
      <c r="C295" s="6" t="str">
        <f aca="false">HYPERLINK("https://partner.tcgplayer.com/c/6278691/1780961/21018?u=https%3A%2F%2Fwww.tcgplayer.com%2Fproduct%2F632958%3Futm_source%3Dimpact%26utm_medium%3Daffiliate%26utm_campaign%3Dpoke%2Bcottage","Taillow")</f>
        <v>Taillow</v>
      </c>
      <c r="D295" s="5" t="s">
        <v>13</v>
      </c>
      <c r="E295" s="5" t="s">
        <v>9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170</v>
      </c>
      <c r="C296" s="6" t="str">
        <f aca="false">HYPERLINK("https://partner.tcgplayer.com/c/6278691/1780961/21018?u=https%3A%2F%2Fwww.tcgplayer.com%2Fproduct%2F632958%3Futm_source%3Dimpact%26utm_medium%3Daffiliate%26utm_campaign%3Dpoke%2Bcottage","Taillow")</f>
        <v>Taillow</v>
      </c>
      <c r="D296" s="5" t="s">
        <v>13</v>
      </c>
      <c r="E296" s="5" t="s">
        <v>11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171</v>
      </c>
      <c r="C297" s="6" t="str">
        <f aca="false">HYPERLINK("https://partner.tcgplayer.com/c/6278691/1780961/21018?u=https%3A%2F%2Fwww.tcgplayer.com%2Fproduct%2F632959%3Futm_source%3Dimpact%26utm_medium%3Daffiliate%26utm_campaign%3Dpoke%2Bcottage","Swellow")</f>
        <v>Swellow</v>
      </c>
      <c r="D297" s="5" t="s">
        <v>13</v>
      </c>
      <c r="E297" s="5" t="s">
        <v>9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171</v>
      </c>
      <c r="C298" s="6" t="str">
        <f aca="false">HYPERLINK("https://partner.tcgplayer.com/c/6278691/1780961/21018?u=https%3A%2F%2Fwww.tcgplayer.com%2Fproduct%2F632959%3Futm_source%3Dimpact%26utm_medium%3Daffiliate%26utm_campaign%3Dpoke%2Bcottage","Swellow")</f>
        <v>Swellow</v>
      </c>
      <c r="D298" s="5" t="s">
        <v>13</v>
      </c>
      <c r="E298" s="5" t="s">
        <v>11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172</v>
      </c>
      <c r="C299" s="6" t="str">
        <f aca="false">HYPERLINK("https://partner.tcgplayer.com/c/6278691/1780961/21018?u=https%3A%2F%2Fwww.tcgplayer.com%2Fproduct%2F632960%3Futm_source%3Dimpact%26utm_medium%3Daffiliate%26utm_campaign%3Dpoke%2Bcottage","Arven's Skwovet")</f>
        <v>Arven's Skwovet</v>
      </c>
      <c r="D299" s="5" t="s">
        <v>13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172</v>
      </c>
      <c r="C300" s="6" t="str">
        <f aca="false">HYPERLINK("https://partner.tcgplayer.com/c/6278691/1780961/21018?u=https%3A%2F%2Fwww.tcgplayer.com%2Fproduct%2F632960%3Futm_source%3Dimpact%26utm_medium%3Daffiliate%26utm_campaign%3Dpoke%2Bcottage","Arven's Skwovet")</f>
        <v>Arven's Skwovet</v>
      </c>
      <c r="D300" s="5" t="s">
        <v>13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173</v>
      </c>
      <c r="C301" s="6" t="str">
        <f aca="false">HYPERLINK("https://partner.tcgplayer.com/c/6278691/1780961/21018?u=https%3A%2F%2Fwww.tcgplayer.com%2Fproduct%2F632961%3Futm_source%3Dimpact%26utm_medium%3Daffiliate%26utm_campaign%3Dpoke%2Bcottage","Arven's Greedent")</f>
        <v>Arven's Greedent</v>
      </c>
      <c r="D301" s="5" t="s">
        <v>22</v>
      </c>
      <c r="E301" s="5" t="s">
        <v>16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173</v>
      </c>
      <c r="C302" s="6" t="str">
        <f aca="false">HYPERLINK("https://partner.tcgplayer.com/c/6278691/1780961/21018?u=https%3A%2F%2Fwww.tcgplayer.com%2Fproduct%2F632961%3Futm_source%3Dimpact%26utm_medium%3Daffiliate%26utm_campaign%3Dpoke%2Bcottage","Arven's Greedent")</f>
        <v>Arven's Greedent</v>
      </c>
      <c r="D302" s="5" t="s">
        <v>22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174</v>
      </c>
      <c r="C303" s="6" t="str">
        <f aca="false">HYPERLINK("https://partner.tcgplayer.com/c/6278691/1780961/21018?u=https%3A%2F%2Fwww.tcgplayer.com%2Fproduct%2F632962%3Futm_source%3Dimpact%26utm_medium%3Daffiliate%26utm_campaign%3Dpoke%2Bcottage","Squawkabilly")</f>
        <v>Squawkabilly</v>
      </c>
      <c r="D303" s="5" t="s">
        <v>13</v>
      </c>
      <c r="E303" s="5" t="s">
        <v>9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174</v>
      </c>
      <c r="C304" s="6" t="str">
        <f aca="false">HYPERLINK("https://partner.tcgplayer.com/c/6278691/1780961/21018?u=https%3A%2F%2Fwww.tcgplayer.com%2Fproduct%2F632962%3Futm_source%3Dimpact%26utm_medium%3Daffiliate%26utm_campaign%3Dpoke%2Bcottage","Squawkabilly")</f>
        <v>Squawkabilly</v>
      </c>
      <c r="D304" s="5" t="s">
        <v>13</v>
      </c>
      <c r="E304" s="5" t="s">
        <v>11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175</v>
      </c>
      <c r="C305" s="6" t="str">
        <f aca="false">HYPERLINK("https://partner.tcgplayer.com/c/6278691/1780961/21018?u=https%3A%2F%2Fwww.tcgplayer.com%2Fproduct%2F632963%3Futm_source%3Dimpact%26utm_medium%3Daffiliate%26utm_campaign%3Dpoke%2Bcottage","Arven's Sandwich")</f>
        <v>Arven's Sandwich</v>
      </c>
      <c r="D305" s="5" t="s">
        <v>8</v>
      </c>
      <c r="E305" s="5" t="s">
        <v>9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175</v>
      </c>
      <c r="C306" s="6" t="str">
        <f aca="false">HYPERLINK("https://partner.tcgplayer.com/c/6278691/1780961/21018?u=https%3A%2F%2Fwww.tcgplayer.com%2Fproduct%2F632963%3Futm_source%3Dimpact%26utm_medium%3Daffiliate%26utm_campaign%3Dpoke%2Bcottage","Arven's Sandwich")</f>
        <v>Arven's Sandwich</v>
      </c>
      <c r="D306" s="5" t="s">
        <v>8</v>
      </c>
      <c r="E306" s="5" t="s">
        <v>11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176</v>
      </c>
      <c r="C307" s="6" t="str">
        <f aca="false">HYPERLINK("https://partner.tcgplayer.com/c/6278691/1780961/21018?u=https%3A%2F%2Fwww.tcgplayer.com%2Fproduct%2F632964%3Futm_source%3Dimpact%26utm_medium%3Daffiliate%26utm_campaign%3Dpoke%2Bcottage","Cynthia's Power Weight")</f>
        <v>Cynthia's Power Weight</v>
      </c>
      <c r="D307" s="5" t="s">
        <v>8</v>
      </c>
      <c r="E307" s="5" t="s">
        <v>9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176</v>
      </c>
      <c r="C308" s="6" t="str">
        <f aca="false">HYPERLINK("https://partner.tcgplayer.com/c/6278691/1780961/21018?u=https%3A%2F%2Fwww.tcgplayer.com%2Fproduct%2F632964%3Futm_source%3Dimpact%26utm_medium%3Daffiliate%26utm_campaign%3Dpoke%2Bcottage","Cynthia's Power Weight")</f>
        <v>Cynthia's Power Weight</v>
      </c>
      <c r="D308" s="5" t="s">
        <v>8</v>
      </c>
      <c r="E308" s="5" t="s">
        <v>11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177</v>
      </c>
      <c r="C309" s="6" t="str">
        <f aca="false">HYPERLINK("https://partner.tcgplayer.com/c/6278691/1780961/21018?u=https%3A%2F%2Fwww.tcgplayer.com%2Fproduct%2F632965%3Futm_source%3Dimpact%26utm_medium%3Daffiliate%26utm_campaign%3Dpoke%2Bcottage","Emcee's Hype")</f>
        <v>Emcee's Hype</v>
      </c>
      <c r="D309" s="5" t="s">
        <v>13</v>
      </c>
      <c r="E309" s="5" t="s">
        <v>9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177</v>
      </c>
      <c r="C310" s="6" t="str">
        <f aca="false">HYPERLINK("https://partner.tcgplayer.com/c/6278691/1780961/21018?u=https%3A%2F%2Fwww.tcgplayer.com%2Fproduct%2F632965%3Futm_source%3Dimpact%26utm_medium%3Daffiliate%26utm_campaign%3Dpoke%2Bcottage","Emcee's Hype")</f>
        <v>Emcee's Hype</v>
      </c>
      <c r="D310" s="5" t="s">
        <v>13</v>
      </c>
      <c r="E310" s="5" t="s">
        <v>11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178</v>
      </c>
      <c r="C311" s="6" t="str">
        <f aca="false">HYPERLINK("https://partner.tcgplayer.com/c/6278691/1780961/21018?u=https%3A%2F%2Fwww.tcgplayer.com%2Fproduct%2F632966%3Futm_source%3Dimpact%26utm_medium%3Daffiliate%26utm_campaign%3Dpoke%2Bcottage","Energy Recycler")</f>
        <v>Energy Recycler</v>
      </c>
      <c r="D311" s="5" t="s">
        <v>8</v>
      </c>
      <c r="E311" s="5" t="s">
        <v>9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178</v>
      </c>
      <c r="C312" s="6" t="str">
        <f aca="false">HYPERLINK("https://partner.tcgplayer.com/c/6278691/1780961/21018?u=https%3A%2F%2Fwww.tcgplayer.com%2Fproduct%2F632966%3Futm_source%3Dimpact%26utm_medium%3Daffiliate%26utm_campaign%3Dpoke%2Bcottage","Energy Recycler")</f>
        <v>Energy Recycler</v>
      </c>
      <c r="D312" s="5" t="s">
        <v>8</v>
      </c>
      <c r="E312" s="5" t="s">
        <v>11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179</v>
      </c>
      <c r="C313" s="6" t="str">
        <f aca="false">HYPERLINK("https://partner.tcgplayer.com/c/6278691/1780961/21018?u=https%3A%2F%2Fwww.tcgplayer.com%2Fproduct%2F632967%3Futm_source%3Dimpact%26utm_medium%3Daffiliate%26utm_campaign%3Dpoke%2Bcottage","Ethan's Adventure")</f>
        <v>Ethan's Adventure</v>
      </c>
      <c r="D313" s="5" t="s">
        <v>8</v>
      </c>
      <c r="E313" s="5" t="s">
        <v>9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179</v>
      </c>
      <c r="C314" s="6" t="str">
        <f aca="false">HYPERLINK("https://partner.tcgplayer.com/c/6278691/1780961/21018?u=https%3A%2F%2Fwww.tcgplayer.com%2Fproduct%2F632967%3Futm_source%3Dimpact%26utm_medium%3Daffiliate%26utm_campaign%3Dpoke%2Bcottage","Ethan's Adventure")</f>
        <v>Ethan's Adventure</v>
      </c>
      <c r="D314" s="5" t="s">
        <v>8</v>
      </c>
      <c r="E314" s="5" t="s">
        <v>11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180</v>
      </c>
      <c r="C315" s="6" t="str">
        <f aca="false">HYPERLINK("https://partner.tcgplayer.com/c/6278691/1780961/21018?u=https%3A%2F%2Fwww.tcgplayer.com%2Fproduct%2F632968%3Futm_source%3Dimpact%26utm_medium%3Daffiliate%26utm_campaign%3Dpoke%2Bcottage","Granite Cave")</f>
        <v>Granite Cave</v>
      </c>
      <c r="D315" s="5" t="s">
        <v>8</v>
      </c>
      <c r="E315" s="5" t="s">
        <v>9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180</v>
      </c>
      <c r="C316" s="6" t="str">
        <f aca="false">HYPERLINK("https://partner.tcgplayer.com/c/6278691/1780961/21018?u=https%3A%2F%2Fwww.tcgplayer.com%2Fproduct%2F632968%3Futm_source%3Dimpact%26utm_medium%3Daffiliate%26utm_campaign%3Dpoke%2Bcottage","Granite Cave")</f>
        <v>Granite Cave</v>
      </c>
      <c r="D316" s="5" t="s">
        <v>8</v>
      </c>
      <c r="E316" s="5" t="s">
        <v>11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181</v>
      </c>
      <c r="C317" s="6" t="str">
        <f aca="false">HYPERLINK("https://partner.tcgplayer.com/c/6278691/1780961/21018?u=https%3A%2F%2Fwww.tcgplayer.com%2Fproduct%2F632969%3Futm_source%3Dimpact%26utm_medium%3Daffiliate%26utm_campaign%3Dpoke%2Bcottage","Judge")</f>
        <v>Judge</v>
      </c>
      <c r="D317" s="5" t="s">
        <v>8</v>
      </c>
      <c r="E317" s="5" t="s">
        <v>9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181</v>
      </c>
      <c r="C318" s="6" t="str">
        <f aca="false">HYPERLINK("https://partner.tcgplayer.com/c/6278691/1780961/21018?u=https%3A%2F%2Fwww.tcgplayer.com%2Fproduct%2F632969%3Futm_source%3Dimpact%26utm_medium%3Daffiliate%26utm_campaign%3Dpoke%2Bcottage","Judge")</f>
        <v>Judge</v>
      </c>
      <c r="D318" s="5" t="s">
        <v>8</v>
      </c>
      <c r="E318" s="5" t="s">
        <v>11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182</v>
      </c>
      <c r="C319" s="6" t="str">
        <f aca="false">HYPERLINK("https://partner.tcgplayer.com/c/6278691/1780961/21018?u=https%3A%2F%2Fwww.tcgplayer.com%2Fproduct%2F632970%3Futm_source%3Dimpact%26utm_medium%3Daffiliate%26utm_campaign%3Dpoke%2Bcottage","Sacred Ash")</f>
        <v>Sacred Ash</v>
      </c>
      <c r="D319" s="5" t="s">
        <v>8</v>
      </c>
      <c r="E319" s="5" t="s">
        <v>9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182</v>
      </c>
      <c r="C320" s="6" t="str">
        <f aca="false">HYPERLINK("https://partner.tcgplayer.com/c/6278691/1780961/21018?u=https%3A%2F%2Fwww.tcgplayer.com%2Fproduct%2F632970%3Futm_source%3Dimpact%26utm_medium%3Daffiliate%26utm_campaign%3Dpoke%2Bcottage","Sacred Ash")</f>
        <v>Sacred Ash</v>
      </c>
      <c r="D320" s="5" t="s">
        <v>8</v>
      </c>
      <c r="E320" s="5" t="s">
        <v>11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183</v>
      </c>
      <c r="C321" s="6" t="str">
        <f aca="false">HYPERLINK("https://partner.tcgplayer.com/c/6278691/1780961/21018?u=https%3A%2F%2Fwww.tcgplayer.com%2Fproduct%2F630829%3Futm_source%3Dimpact%26utm_medium%3Daffiliate%26utm_campaign%3Dpoke%2Bcottage","Spikemuth Gym")</f>
        <v>Spikemuth Gym</v>
      </c>
      <c r="D321" s="5" t="s">
        <v>8</v>
      </c>
      <c r="E321" s="5" t="s">
        <v>9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183</v>
      </c>
      <c r="C322" s="6" t="str">
        <f aca="false">HYPERLINK("https://partner.tcgplayer.com/c/6278691/1780961/21018?u=https%3A%2F%2Fwww.tcgplayer.com%2Fproduct%2F630829%3Futm_source%3Dimpact%26utm_medium%3Daffiliate%26utm_campaign%3Dpoke%2Bcottage","Spikemuth Gym")</f>
        <v>Spikemuth Gym</v>
      </c>
      <c r="D322" s="5" t="s">
        <v>8</v>
      </c>
      <c r="E322" s="5" t="s">
        <v>11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184</v>
      </c>
      <c r="C323" s="6" t="str">
        <f aca="false">HYPERLINK("https://partner.tcgplayer.com/c/6278691/1780961/21018?u=https%3A%2F%2Fwww.tcgplayer.com%2Fproduct%2F632971%3Futm_source%3Dimpact%26utm_medium%3Daffiliate%26utm_campaign%3Dpoke%2Bcottage","Team Rocket's Archer")</f>
        <v>Team Rocket's Archer</v>
      </c>
      <c r="D323" s="5" t="s">
        <v>8</v>
      </c>
      <c r="E323" s="5" t="s">
        <v>9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184</v>
      </c>
      <c r="C324" s="6" t="str">
        <f aca="false">HYPERLINK("https://partner.tcgplayer.com/c/6278691/1780961/21018?u=https%3A%2F%2Fwww.tcgplayer.com%2Fproduct%2F632971%3Futm_source%3Dimpact%26utm_medium%3Daffiliate%26utm_campaign%3Dpoke%2Bcottage","Team Rocket's Archer")</f>
        <v>Team Rocket's Archer</v>
      </c>
      <c r="D324" s="5" t="s">
        <v>8</v>
      </c>
      <c r="E324" s="5" t="s">
        <v>11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185</v>
      </c>
      <c r="C325" s="6" t="str">
        <f aca="false">HYPERLINK("https://partner.tcgplayer.com/c/6278691/1780961/21018?u=https%3A%2F%2Fwww.tcgplayer.com%2Fproduct%2F632972%3Futm_source%3Dimpact%26utm_medium%3Daffiliate%26utm_campaign%3Dpoke%2Bcottage","Team Rocket's Ariana")</f>
        <v>Team Rocket's Ariana</v>
      </c>
      <c r="D325" s="5" t="s">
        <v>8</v>
      </c>
      <c r="E325" s="5" t="s">
        <v>9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185</v>
      </c>
      <c r="C326" s="6" t="str">
        <f aca="false">HYPERLINK("https://partner.tcgplayer.com/c/6278691/1780961/21018?u=https%3A%2F%2Fwww.tcgplayer.com%2Fproduct%2F632972%3Futm_source%3Dimpact%26utm_medium%3Daffiliate%26utm_campaign%3Dpoke%2Bcottage","Team Rocket's Ariana")</f>
        <v>Team Rocket's Ariana</v>
      </c>
      <c r="D326" s="5" t="s">
        <v>8</v>
      </c>
      <c r="E326" s="5" t="s">
        <v>11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186</v>
      </c>
      <c r="C327" s="6" t="str">
        <f aca="false">HYPERLINK("https://partner.tcgplayer.com/c/6278691/1780961/21018?u=https%3A%2F%2Fwww.tcgplayer.com%2Fproduct%2F632973%3Futm_source%3Dimpact%26utm_medium%3Daffiliate%26utm_campaign%3Dpoke%2Bcottage","Team Rocket's Bother-Bot")</f>
        <v>Team Rocket's Bother-Bot</v>
      </c>
      <c r="D327" s="5" t="s">
        <v>8</v>
      </c>
      <c r="E327" s="5" t="s">
        <v>9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186</v>
      </c>
      <c r="C328" s="6" t="str">
        <f aca="false">HYPERLINK("https://partner.tcgplayer.com/c/6278691/1780961/21018?u=https%3A%2F%2Fwww.tcgplayer.com%2Fproduct%2F632973%3Futm_source%3Dimpact%26utm_medium%3Daffiliate%26utm_campaign%3Dpoke%2Bcottage","Team Rocket's Bother-Bot")</f>
        <v>Team Rocket's Bother-Bot</v>
      </c>
      <c r="D328" s="5" t="s">
        <v>8</v>
      </c>
      <c r="E328" s="5" t="s">
        <v>11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187</v>
      </c>
      <c r="C329" s="6" t="str">
        <f aca="false">HYPERLINK("https://partner.tcgplayer.com/c/6278691/1780961/21018?u=https%3A%2F%2Fwww.tcgplayer.com%2Fproduct%2F632974%3Futm_source%3Dimpact%26utm_medium%3Daffiliate%26utm_campaign%3Dpoke%2Bcottage","Team Rocket's Factory")</f>
        <v>Team Rocket's Factory</v>
      </c>
      <c r="D329" s="5" t="s">
        <v>8</v>
      </c>
      <c r="E329" s="5" t="s">
        <v>9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187</v>
      </c>
      <c r="C330" s="6" t="str">
        <f aca="false">HYPERLINK("https://partner.tcgplayer.com/c/6278691/1780961/21018?u=https%3A%2F%2Fwww.tcgplayer.com%2Fproduct%2F632974%3Futm_source%3Dimpact%26utm_medium%3Daffiliate%26utm_campaign%3Dpoke%2Bcottage","Team Rocket's Factory")</f>
        <v>Team Rocket's Factory</v>
      </c>
      <c r="D330" s="5" t="s">
        <v>8</v>
      </c>
      <c r="E330" s="5" t="s">
        <v>11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188</v>
      </c>
      <c r="C331" s="6" t="str">
        <f aca="false">HYPERLINK("https://partner.tcgplayer.com/c/6278691/1780961/21018?u=https%3A%2F%2Fwww.tcgplayer.com%2Fproduct%2F630830%3Futm_source%3Dimpact%26utm_medium%3Daffiliate%26utm_campaign%3Dpoke%2Bcottage","Team Rocket's Giovanni")</f>
        <v>Team Rocket's Giovanni</v>
      </c>
      <c r="D331" s="5" t="s">
        <v>8</v>
      </c>
      <c r="E331" s="5" t="s">
        <v>9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188</v>
      </c>
      <c r="C332" s="6" t="str">
        <f aca="false">HYPERLINK("https://partner.tcgplayer.com/c/6278691/1780961/21018?u=https%3A%2F%2Fwww.tcgplayer.com%2Fproduct%2F630830%3Futm_source%3Dimpact%26utm_medium%3Daffiliate%26utm_campaign%3Dpoke%2Bcottage","Team Rocket's Giovanni")</f>
        <v>Team Rocket's Giovanni</v>
      </c>
      <c r="D332" s="5" t="s">
        <v>8</v>
      </c>
      <c r="E332" s="5" t="s">
        <v>11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189</v>
      </c>
      <c r="C333" s="6" t="str">
        <f aca="false">HYPERLINK("https://partner.tcgplayer.com/c/6278691/1780961/21018?u=https%3A%2F%2Fwww.tcgplayer.com%2Fproduct%2F632975%3Futm_source%3Dimpact%26utm_medium%3Daffiliate%26utm_campaign%3Dpoke%2Bcottage","Team Rocket's Great Ball")</f>
        <v>Team Rocket's Great Ball</v>
      </c>
      <c r="D333" s="5" t="s">
        <v>8</v>
      </c>
      <c r="E333" s="5" t="s">
        <v>9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189</v>
      </c>
      <c r="C334" s="6" t="str">
        <f aca="false">HYPERLINK("https://partner.tcgplayer.com/c/6278691/1780961/21018?u=https%3A%2F%2Fwww.tcgplayer.com%2Fproduct%2F632975%3Futm_source%3Dimpact%26utm_medium%3Daffiliate%26utm_campaign%3Dpoke%2Bcottage","Team Rocket's Great Ball")</f>
        <v>Team Rocket's Great Ball</v>
      </c>
      <c r="D334" s="5" t="s">
        <v>8</v>
      </c>
      <c r="E334" s="5" t="s">
        <v>11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190</v>
      </c>
      <c r="C335" s="6" t="str">
        <f aca="false">HYPERLINK("https://partner.tcgplayer.com/c/6278691/1780961/21018?u=https%3A%2F%2Fwww.tcgplayer.com%2Fproduct%2F632976%3Futm_source%3Dimpact%26utm_medium%3Daffiliate%26utm_campaign%3Dpoke%2Bcottage","Team Rocket's Petrel")</f>
        <v>Team Rocket's Petrel</v>
      </c>
      <c r="D335" s="5" t="s">
        <v>8</v>
      </c>
      <c r="E335" s="5" t="s">
        <v>9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190</v>
      </c>
      <c r="C336" s="6" t="str">
        <f aca="false">HYPERLINK("https://partner.tcgplayer.com/c/6278691/1780961/21018?u=https%3A%2F%2Fwww.tcgplayer.com%2Fproduct%2F632976%3Futm_source%3Dimpact%26utm_medium%3Daffiliate%26utm_campaign%3Dpoke%2Bcottage","Team Rocket's Petrel")</f>
        <v>Team Rocket's Petrel</v>
      </c>
      <c r="D336" s="5" t="s">
        <v>8</v>
      </c>
      <c r="E336" s="5" t="s">
        <v>11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191</v>
      </c>
      <c r="C337" s="6" t="str">
        <f aca="false">HYPERLINK("https://partner.tcgplayer.com/c/6278691/1780961/21018?u=https%3A%2F%2Fwww.tcgplayer.com%2Fproduct%2F632977%3Futm_source%3Dimpact%26utm_medium%3Daffiliate%26utm_campaign%3Dpoke%2Bcottage","Team Rocket's Proton")</f>
        <v>Team Rocket's Proton</v>
      </c>
      <c r="D337" s="5" t="s">
        <v>8</v>
      </c>
      <c r="E337" s="5" t="s">
        <v>9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191</v>
      </c>
      <c r="C338" s="6" t="str">
        <f aca="false">HYPERLINK("https://partner.tcgplayer.com/c/6278691/1780961/21018?u=https%3A%2F%2Fwww.tcgplayer.com%2Fproduct%2F632977%3Futm_source%3Dimpact%26utm_medium%3Daffiliate%26utm_campaign%3Dpoke%2Bcottage","Team Rocket's Proton")</f>
        <v>Team Rocket's Proton</v>
      </c>
      <c r="D338" s="5" t="s">
        <v>8</v>
      </c>
      <c r="E338" s="5" t="s">
        <v>11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192</v>
      </c>
      <c r="C339" s="6" t="str">
        <f aca="false">HYPERLINK("https://partner.tcgplayer.com/c/6278691/1780961/21018?u=https%3A%2F%2Fwww.tcgplayer.com%2Fproduct%2F632978%3Futm_source%3Dimpact%26utm_medium%3Daffiliate%26utm_campaign%3Dpoke%2Bcottage","Team Rocket's Transceiver")</f>
        <v>Team Rocket's Transceiver</v>
      </c>
      <c r="D339" s="5" t="s">
        <v>8</v>
      </c>
      <c r="E339" s="5" t="s">
        <v>9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192</v>
      </c>
      <c r="C340" s="6" t="str">
        <f aca="false">HYPERLINK("https://partner.tcgplayer.com/c/6278691/1780961/21018?u=https%3A%2F%2Fwww.tcgplayer.com%2Fproduct%2F632978%3Futm_source%3Dimpact%26utm_medium%3Daffiliate%26utm_campaign%3Dpoke%2Bcottage","Team Rocket's Transceiver")</f>
        <v>Team Rocket's Transceiver</v>
      </c>
      <c r="D340" s="5" t="s">
        <v>8</v>
      </c>
      <c r="E340" s="5" t="s">
        <v>11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193</v>
      </c>
      <c r="C341" s="6" t="str">
        <f aca="false">HYPERLINK("https://partner.tcgplayer.com/c/6278691/1780961/21018?u=https%3A%2F%2Fwww.tcgplayer.com%2Fproduct%2F632979%3Futm_source%3Dimpact%26utm_medium%3Daffiliate%26utm_campaign%3Dpoke%2Bcottage","Team Rocket's Venture Bomb")</f>
        <v>Team Rocket's Venture Bomb</v>
      </c>
      <c r="D341" s="5" t="s">
        <v>8</v>
      </c>
      <c r="E341" s="5" t="s">
        <v>9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193</v>
      </c>
      <c r="C342" s="6" t="str">
        <f aca="false">HYPERLINK("https://partner.tcgplayer.com/c/6278691/1780961/21018?u=https%3A%2F%2Fwww.tcgplayer.com%2Fproduct%2F632979%3Futm_source%3Dimpact%26utm_medium%3Daffiliate%26utm_campaign%3Dpoke%2Bcottage","Team Rocket's Venture Bomb")</f>
        <v>Team Rocket's Venture Bomb</v>
      </c>
      <c r="D342" s="5" t="s">
        <v>8</v>
      </c>
      <c r="E342" s="5" t="s">
        <v>11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194</v>
      </c>
      <c r="C343" s="6" t="str">
        <f aca="false">HYPERLINK("https://partner.tcgplayer.com/c/6278691/1780961/21018?u=https%3A%2F%2Fwww.tcgplayer.com%2Fproduct%2F632980%3Futm_source%3Dimpact%26utm_medium%3Daffiliate%26utm_campaign%3Dpoke%2Bcottage","Team Rocket's Watchtower")</f>
        <v>Team Rocket's Watchtower</v>
      </c>
      <c r="D343" s="5" t="s">
        <v>8</v>
      </c>
      <c r="E343" s="5" t="s">
        <v>9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194</v>
      </c>
      <c r="C344" s="6" t="str">
        <f aca="false">HYPERLINK("https://partner.tcgplayer.com/c/6278691/1780961/21018?u=https%3A%2F%2Fwww.tcgplayer.com%2Fproduct%2F632980%3Futm_source%3Dimpact%26utm_medium%3Daffiliate%26utm_campaign%3Dpoke%2Bcottage","Team Rocket's Watchtower")</f>
        <v>Team Rocket's Watchtower</v>
      </c>
      <c r="D344" s="5" t="s">
        <v>8</v>
      </c>
      <c r="E344" s="5" t="s">
        <v>11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195</v>
      </c>
      <c r="C345" s="6" t="str">
        <f aca="false">HYPERLINK("https://partner.tcgplayer.com/c/6278691/1780961/21018?u=https%3A%2F%2Fwww.tcgplayer.com%2Fproduct%2F632981%3Futm_source%3Dimpact%26utm_medium%3Daffiliate%26utm_campaign%3Dpoke%2Bcottage","TM Machine")</f>
        <v>TM Machine</v>
      </c>
      <c r="D345" s="5" t="s">
        <v>8</v>
      </c>
      <c r="E345" s="5" t="s">
        <v>9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195</v>
      </c>
      <c r="C346" s="6" t="str">
        <f aca="false">HYPERLINK("https://partner.tcgplayer.com/c/6278691/1780961/21018?u=https%3A%2F%2Fwww.tcgplayer.com%2Fproduct%2F632981%3Futm_source%3Dimpact%26utm_medium%3Daffiliate%26utm_campaign%3Dpoke%2Bcottage","TM Machine")</f>
        <v>TM Machine</v>
      </c>
      <c r="D346" s="5" t="s">
        <v>8</v>
      </c>
      <c r="E346" s="5" t="s">
        <v>11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196</v>
      </c>
      <c r="C347" s="6" t="str">
        <f aca="false">HYPERLINK("https://partner.tcgplayer.com/c/6278691/1780961/21018?u=https%3A%2F%2Fwww.tcgplayer.com%2Fproduct%2F632982%3Futm_source%3Dimpact%26utm_medium%3Daffiliate%26utm_campaign%3Dpoke%2Bcottage","Team Rocket's Energy")</f>
        <v>Team Rocket's Energy</v>
      </c>
      <c r="D347" s="5" t="s">
        <v>8</v>
      </c>
      <c r="E347" s="5" t="s">
        <v>9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196</v>
      </c>
      <c r="C348" s="6" t="str">
        <f aca="false">HYPERLINK("https://partner.tcgplayer.com/c/6278691/1780961/21018?u=https%3A%2F%2Fwww.tcgplayer.com%2Fproduct%2F632982%3Futm_source%3Dimpact%26utm_medium%3Daffiliate%26utm_campaign%3Dpoke%2Bcottage","Team Rocket's Energy")</f>
        <v>Team Rocket's Energy</v>
      </c>
      <c r="D348" s="5" t="s">
        <v>8</v>
      </c>
      <c r="E348" s="5" t="s">
        <v>11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197</v>
      </c>
      <c r="C349" s="6" t="str">
        <f aca="false">HYPERLINK("https://partner.tcgplayer.com/c/6278691/1780961/21018?u=https%3A%2F%2Fwww.tcgplayer.com%2Fproduct%2F632983%3Futm_source%3Dimpact%26utm_medium%3Daffiliate%26utm_campaign%3Dpoke%2Bcottage","Yanma")</f>
        <v>Yanma</v>
      </c>
      <c r="D349" s="5" t="s">
        <v>198</v>
      </c>
      <c r="E349" s="5" t="s">
        <v>16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199</v>
      </c>
      <c r="C350" s="6" t="str">
        <f aca="false">HYPERLINK("https://partner.tcgplayer.com/c/6278691/1780961/21018?u=https%3A%2F%2Fwww.tcgplayer.com%2Fproduct%2F632984%3Futm_source%3Dimpact%26utm_medium%3Daffiliate%26utm_campaign%3Dpoke%2Bcottage","Cynthia's Roserade")</f>
        <v>Cynthia's Roserade</v>
      </c>
      <c r="D350" s="5" t="s">
        <v>198</v>
      </c>
      <c r="E350" s="5" t="s">
        <v>16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200</v>
      </c>
      <c r="C351" s="6" t="str">
        <f aca="false">HYPERLINK("https://partner.tcgplayer.com/c/6278691/1780961/21018?u=https%3A%2F%2Fwww.tcgplayer.com%2Fproduct%2F632985%3Futm_source%3Dimpact%26utm_medium%3Daffiliate%26utm_campaign%3Dpoke%2Bcottage","Shaymin")</f>
        <v>Shaymin</v>
      </c>
      <c r="D351" s="5" t="s">
        <v>198</v>
      </c>
      <c r="E351" s="5" t="s">
        <v>16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201</v>
      </c>
      <c r="C352" s="6" t="str">
        <f aca="false">HYPERLINK("https://partner.tcgplayer.com/c/6278691/1780961/21018?u=https%3A%2F%2Fwww.tcgplayer.com%2Fproduct%2F632986%3Futm_source%3Dimpact%26utm_medium%3Daffiliate%26utm_campaign%3Dpoke%2Bcottage","Crustle")</f>
        <v>Crustle</v>
      </c>
      <c r="D352" s="5" t="s">
        <v>198</v>
      </c>
      <c r="E352" s="5" t="s">
        <v>16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202</v>
      </c>
      <c r="C353" s="6" t="str">
        <f aca="false">HYPERLINK("https://partner.tcgplayer.com/c/6278691/1780961/21018?u=https%3A%2F%2Fwww.tcgplayer.com%2Fproduct%2F632987%3Futm_source%3Dimpact%26utm_medium%3Daffiliate%26utm_campaign%3Dpoke%2Bcottage","Team Rocket's Spidops")</f>
        <v>Team Rocket's Spidops</v>
      </c>
      <c r="D353" s="5" t="s">
        <v>198</v>
      </c>
      <c r="E353" s="5" t="s">
        <v>16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203</v>
      </c>
      <c r="C354" s="6" t="str">
        <f aca="false">HYPERLINK("https://partner.tcgplayer.com/c/6278691/1780961/21018?u=https%3A%2F%2Fwww.tcgplayer.com%2Fproduct%2F632988%3Futm_source%3Dimpact%26utm_medium%3Daffiliate%26utm_campaign%3Dpoke%2Bcottage","Hydrapple")</f>
        <v>Hydrapple</v>
      </c>
      <c r="D354" s="5" t="s">
        <v>198</v>
      </c>
      <c r="E354" s="5" t="s">
        <v>16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204</v>
      </c>
      <c r="C355" s="6" t="str">
        <f aca="false">HYPERLINK("https://partner.tcgplayer.com/c/6278691/1780961/21018?u=https%3A%2F%2Fwww.tcgplayer.com%2Fproduct%2F632989%3Futm_source%3Dimpact%26utm_medium%3Daffiliate%26utm_campaign%3Dpoke%2Bcottage","Rapidash")</f>
        <v>Rapidash</v>
      </c>
      <c r="D355" s="5" t="s">
        <v>198</v>
      </c>
      <c r="E355" s="5" t="s">
        <v>16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205</v>
      </c>
      <c r="C356" s="6" t="str">
        <f aca="false">HYPERLINK("https://partner.tcgplayer.com/c/6278691/1780961/21018?u=https%3A%2F%2Fwww.tcgplayer.com%2Fproduct%2F632990%3Futm_source%3Dimpact%26utm_medium%3Daffiliate%26utm_campaign%3Dpoke%2Bcottage","Ethan's Typhlosion")</f>
        <v>Ethan's Typhlosion</v>
      </c>
      <c r="D356" s="5" t="s">
        <v>198</v>
      </c>
      <c r="E356" s="5" t="s">
        <v>16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206</v>
      </c>
      <c r="C357" s="6" t="str">
        <f aca="false">HYPERLINK("https://partner.tcgplayer.com/c/6278691/1780961/21018?u=https%3A%2F%2Fwww.tcgplayer.com%2Fproduct%2F632991%3Futm_source%3Dimpact%26utm_medium%3Daffiliate%26utm_campaign%3Dpoke%2Bcottage","Team Rocket's Houndoom")</f>
        <v>Team Rocket's Houndoom</v>
      </c>
      <c r="D357" s="5" t="s">
        <v>198</v>
      </c>
      <c r="E357" s="5" t="s">
        <v>16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207</v>
      </c>
      <c r="C358" s="6" t="str">
        <f aca="false">HYPERLINK("https://partner.tcgplayer.com/c/6278691/1780961/21018?u=https%3A%2F%2Fwww.tcgplayer.com%2Fproduct%2F632992%3Futm_source%3Dimpact%26utm_medium%3Daffiliate%26utm_campaign%3Dpoke%2Bcottage","Blaziken")</f>
        <v>Blaziken</v>
      </c>
      <c r="D358" s="5" t="s">
        <v>198</v>
      </c>
      <c r="E358" s="5" t="s">
        <v>16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208</v>
      </c>
      <c r="C359" s="6" t="str">
        <f aca="false">HYPERLINK("https://partner.tcgplayer.com/c/6278691/1780961/21018?u=https%3A%2F%2Fwww.tcgplayer.com%2Fproduct%2F632993%3Futm_source%3Dimpact%26utm_medium%3Daffiliate%26utm_campaign%3Dpoke%2Bcottage","Misty's Psyduck")</f>
        <v>Misty's Psyduck</v>
      </c>
      <c r="D359" s="5" t="s">
        <v>198</v>
      </c>
      <c r="E359" s="5" t="s">
        <v>16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209</v>
      </c>
      <c r="C360" s="6" t="str">
        <f aca="false">HYPERLINK("https://partner.tcgplayer.com/c/6278691/1780961/21018?u=https%3A%2F%2Fwww.tcgplayer.com%2Fproduct%2F632994%3Futm_source%3Dimpact%26utm_medium%3Daffiliate%26utm_campaign%3Dpoke%2Bcottage","Misty's Lapras")</f>
        <v>Misty's Lapras</v>
      </c>
      <c r="D360" s="5" t="s">
        <v>198</v>
      </c>
      <c r="E360" s="5" t="s">
        <v>16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210</v>
      </c>
      <c r="C361" s="6" t="str">
        <f aca="false">HYPERLINK("https://partner.tcgplayer.com/c/6278691/1780961/21018?u=https%3A%2F%2Fwww.tcgplayer.com%2Fproduct%2F632995%3Futm_source%3Dimpact%26utm_medium%3Daffiliate%26utm_campaign%3Dpoke%2Bcottage","Clamperl")</f>
        <v>Clamperl</v>
      </c>
      <c r="D361" s="5" t="s">
        <v>198</v>
      </c>
      <c r="E361" s="5" t="s">
        <v>16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211</v>
      </c>
      <c r="C362" s="6" t="str">
        <f aca="false">HYPERLINK("https://partner.tcgplayer.com/c/6278691/1780961/21018?u=https%3A%2F%2Fwww.tcgplayer.com%2Fproduct%2F632996%3Futm_source%3Dimpact%26utm_medium%3Daffiliate%26utm_campaign%3Dpoke%2Bcottage","Electrike")</f>
        <v>Electrike</v>
      </c>
      <c r="D362" s="5" t="s">
        <v>198</v>
      </c>
      <c r="E362" s="5" t="s">
        <v>16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212</v>
      </c>
      <c r="C363" s="6" t="str">
        <f aca="false">HYPERLINK("https://partner.tcgplayer.com/c/6278691/1780961/21018?u=https%3A%2F%2Fwww.tcgplayer.com%2Fproduct%2F632997%3Futm_source%3Dimpact%26utm_medium%3Daffiliate%26utm_campaign%3Dpoke%2Bcottage","Rotom")</f>
        <v>Rotom</v>
      </c>
      <c r="D363" s="5" t="s">
        <v>198</v>
      </c>
      <c r="E363" s="5" t="s">
        <v>16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213</v>
      </c>
      <c r="C364" s="6" t="str">
        <f aca="false">HYPERLINK("https://partner.tcgplayer.com/c/6278691/1780961/21018?u=https%3A%2F%2Fwww.tcgplayer.com%2Fproduct%2F632998%3Futm_source%3Dimpact%26utm_medium%3Daffiliate%26utm_campaign%3Dpoke%2Bcottage","Team Rocket's Orbeetle")</f>
        <v>Team Rocket's Orbeetle</v>
      </c>
      <c r="D364" s="5" t="s">
        <v>198</v>
      </c>
      <c r="E364" s="5" t="s">
        <v>16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214</v>
      </c>
      <c r="C365" s="6" t="str">
        <f aca="false">HYPERLINK("https://partner.tcgplayer.com/c/6278691/1780961/21018?u=https%3A%2F%2Fwww.tcgplayer.com%2Fproduct%2F632999%3Futm_source%3Dimpact%26utm_medium%3Daffiliate%26utm_campaign%3Dpoke%2Bcottage","Team Rocket's Weezing")</f>
        <v>Team Rocket's Weezing</v>
      </c>
      <c r="D365" s="5" t="s">
        <v>198</v>
      </c>
      <c r="E365" s="5" t="s">
        <v>16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215</v>
      </c>
      <c r="C366" s="6" t="str">
        <f aca="false">HYPERLINK("https://partner.tcgplayer.com/c/6278691/1780961/21018?u=https%3A%2F%2Fwww.tcgplayer.com%2Fproduct%2F633000%3Futm_source%3Dimpact%26utm_medium%3Daffiliate%26utm_campaign%3Dpoke%2Bcottage","Team Rocket's Murkrow")</f>
        <v>Team Rocket's Murkrow</v>
      </c>
      <c r="D366" s="5" t="s">
        <v>198</v>
      </c>
      <c r="E366" s="5" t="s">
        <v>16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216</v>
      </c>
      <c r="C367" s="6" t="str">
        <f aca="false">HYPERLINK("https://partner.tcgplayer.com/c/6278691/1780961/21018?u=https%3A%2F%2Fwww.tcgplayer.com%2Fproduct%2F633001%3Futm_source%3Dimpact%26utm_medium%3Daffiliate%26utm_campaign%3Dpoke%2Bcottage","Zamazenta")</f>
        <v>Zamazenta</v>
      </c>
      <c r="D367" s="5" t="s">
        <v>198</v>
      </c>
      <c r="E367" s="5" t="s">
        <v>16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217</v>
      </c>
      <c r="C368" s="6" t="str">
        <f aca="false">HYPERLINK("https://partner.tcgplayer.com/c/6278691/1780961/21018?u=https%3A%2F%2Fwww.tcgplayer.com%2Fproduct%2F633002%3Futm_source%3Dimpact%26utm_medium%3Daffiliate%26utm_campaign%3Dpoke%2Bcottage","Team Rocket's Raticate")</f>
        <v>Team Rocket's Raticate</v>
      </c>
      <c r="D368" s="5" t="s">
        <v>198</v>
      </c>
      <c r="E368" s="5" t="s">
        <v>16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218</v>
      </c>
      <c r="C369" s="6" t="str">
        <f aca="false">HYPERLINK("https://partner.tcgplayer.com/c/6278691/1780961/21018?u=https%3A%2F%2Fwww.tcgplayer.com%2Fproduct%2F633003%3Futm_source%3Dimpact%26utm_medium%3Daffiliate%26utm_campaign%3Dpoke%2Bcottage","Team Rocket's Meowth")</f>
        <v>Team Rocket's Meowth</v>
      </c>
      <c r="D369" s="5" t="s">
        <v>198</v>
      </c>
      <c r="E369" s="5" t="s">
        <v>16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219</v>
      </c>
      <c r="C370" s="6" t="str">
        <f aca="false">HYPERLINK("https://partner.tcgplayer.com/c/6278691/1780961/21018?u=https%3A%2F%2Fwww.tcgplayer.com%2Fproduct%2F633004%3Futm_source%3Dimpact%26utm_medium%3Daffiliate%26utm_campaign%3Dpoke%2Bcottage","Kangaskhan")</f>
        <v>Kangaskhan</v>
      </c>
      <c r="D370" s="5" t="s">
        <v>198</v>
      </c>
      <c r="E370" s="5" t="s">
        <v>16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220</v>
      </c>
      <c r="C371" s="6" t="str">
        <f aca="false">HYPERLINK("https://partner.tcgplayer.com/c/6278691/1780961/21018?u=https%3A%2F%2Fwww.tcgplayer.com%2Fproduct%2F633005%3Futm_source%3Dimpact%26utm_medium%3Daffiliate%26utm_campaign%3Dpoke%2Bcottage","Arven's Greedent")</f>
        <v>Arven's Greedent</v>
      </c>
      <c r="D371" s="5" t="s">
        <v>198</v>
      </c>
      <c r="E371" s="5" t="s">
        <v>16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221</v>
      </c>
      <c r="C372" s="6" t="str">
        <f aca="false">HYPERLINK("https://partner.tcgplayer.com/c/6278691/1780961/21018?u=https%3A%2F%2Fwww.tcgplayer.com%2Fproduct%2F633006%3Futm_source%3Dimpact%26utm_medium%3Daffiliate%26utm_campaign%3Dpoke%2Bcottage","Yanmega ex")</f>
        <v>Yanmega ex</v>
      </c>
      <c r="D372" s="5" t="s">
        <v>222</v>
      </c>
      <c r="E372" s="5" t="s">
        <v>16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223</v>
      </c>
      <c r="C373" s="6" t="str">
        <f aca="false">HYPERLINK("https://partner.tcgplayer.com/c/6278691/1780961/21018?u=https%3A%2F%2Fwww.tcgplayer.com%2Fproduct%2F633007%3Futm_source%3Dimpact%26utm_medium%3Daffiliate%26utm_campaign%3Dpoke%2Bcottage","Arboliva ex")</f>
        <v>Arboliva ex</v>
      </c>
      <c r="D373" s="5" t="s">
        <v>222</v>
      </c>
      <c r="E373" s="5" t="s">
        <v>16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224</v>
      </c>
      <c r="C374" s="6" t="str">
        <f aca="false">HYPERLINK("https://partner.tcgplayer.com/c/6278691/1780961/21018?u=https%3A%2F%2Fwww.tcgplayer.com%2Fproduct%2F633008%3Futm_source%3Dimpact%26utm_medium%3Daffiliate%26utm_campaign%3Dpoke%2Bcottage","Team Rocket's Moltres ex")</f>
        <v>Team Rocket's Moltres ex</v>
      </c>
      <c r="D374" s="5" t="s">
        <v>222</v>
      </c>
      <c r="E374" s="5" t="s">
        <v>16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225</v>
      </c>
      <c r="C375" s="6" t="str">
        <f aca="false">HYPERLINK("https://partner.tcgplayer.com/c/6278691/1780961/21018?u=https%3A%2F%2Fwww.tcgplayer.com%2Fproduct%2F633009%3Futm_source%3Dimpact%26utm_medium%3Daffiliate%26utm_campaign%3Dpoke%2Bcottage","Ethan's Ho-Oh ex")</f>
        <v>Ethan's Ho-Oh ex</v>
      </c>
      <c r="D375" s="5" t="s">
        <v>222</v>
      </c>
      <c r="E375" s="5" t="s">
        <v>16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226</v>
      </c>
      <c r="C376" s="6" t="str">
        <f aca="false">HYPERLINK("https://partner.tcgplayer.com/c/6278691/1780961/21018?u=https%3A%2F%2Fwww.tcgplayer.com%2Fproduct%2F633010%3Futm_source%3Dimpact%26utm_medium%3Daffiliate%26utm_campaign%3Dpoke%2Bcottage","Cetitan ex")</f>
        <v>Cetitan ex</v>
      </c>
      <c r="D376" s="5" t="s">
        <v>222</v>
      </c>
      <c r="E376" s="5" t="s">
        <v>16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227</v>
      </c>
      <c r="C377" s="6" t="str">
        <f aca="false">HYPERLINK("https://partner.tcgplayer.com/c/6278691/1780961/21018?u=https%3A%2F%2Fwww.tcgplayer.com%2Fproduct%2F633011%3Futm_source%3Dimpact%26utm_medium%3Daffiliate%26utm_campaign%3Dpoke%2Bcottage","Dondozo ex")</f>
        <v>Dondozo ex</v>
      </c>
      <c r="D377" s="5" t="s">
        <v>222</v>
      </c>
      <c r="E377" s="5" t="s">
        <v>16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228</v>
      </c>
      <c r="C378" s="6" t="str">
        <f aca="false">HYPERLINK("https://partner.tcgplayer.com/c/6278691/1780961/21018?u=https%3A%2F%2Fwww.tcgplayer.com%2Fproduct%2F633012%3Futm_source%3Dimpact%26utm_medium%3Daffiliate%26utm_campaign%3Dpoke%2Bcottage","Electivire ex")</f>
        <v>Electivire ex</v>
      </c>
      <c r="D378" s="5" t="s">
        <v>222</v>
      </c>
      <c r="E378" s="5" t="s">
        <v>16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229</v>
      </c>
      <c r="C379" s="6" t="str">
        <f aca="false">HYPERLINK("https://partner.tcgplayer.com/c/6278691/1780961/21018?u=https%3A%2F%2Fwww.tcgplayer.com%2Fproduct%2F633013%3Futm_source%3Dimpact%26utm_medium%3Daffiliate%26utm_campaign%3Dpoke%2Bcottage","Team Rocket's Mewtwo ex")</f>
        <v>Team Rocket's Mewtwo ex</v>
      </c>
      <c r="D379" s="5" t="s">
        <v>222</v>
      </c>
      <c r="E379" s="5" t="s">
        <v>16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230</v>
      </c>
      <c r="C380" s="6" t="str">
        <f aca="false">HYPERLINK("https://partner.tcgplayer.com/c/6278691/1780961/21018?u=https%3A%2F%2Fwww.tcgplayer.com%2Fproduct%2F633014%3Futm_source%3Dimpact%26utm_medium%3Daffiliate%26utm_campaign%3Dpoke%2Bcottage","Regirock ex")</f>
        <v>Regirock ex</v>
      </c>
      <c r="D380" s="5" t="s">
        <v>222</v>
      </c>
      <c r="E380" s="5" t="s">
        <v>16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231</v>
      </c>
      <c r="C381" s="6" t="str">
        <f aca="false">HYPERLINK("https://partner.tcgplayer.com/c/6278691/1780961/21018?u=https%3A%2F%2Fwww.tcgplayer.com%2Fproduct%2F633015%3Futm_source%3Dimpact%26utm_medium%3Daffiliate%26utm_campaign%3Dpoke%2Bcottage","Cynthia's Garchomp ex")</f>
        <v>Cynthia's Garchomp ex</v>
      </c>
      <c r="D381" s="5" t="s">
        <v>222</v>
      </c>
      <c r="E381" s="5" t="s">
        <v>16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232</v>
      </c>
      <c r="C382" s="6" t="str">
        <f aca="false">HYPERLINK("https://partner.tcgplayer.com/c/6278691/1780961/21018?u=https%3A%2F%2Fwww.tcgplayer.com%2Fproduct%2F633016%3Futm_source%3Dimpact%26utm_medium%3Daffiliate%26utm_campaign%3Dpoke%2Bcottage","Team Rocket's Nidoking ex")</f>
        <v>Team Rocket's Nidoking ex</v>
      </c>
      <c r="D382" s="5" t="s">
        <v>222</v>
      </c>
      <c r="E382" s="5" t="s">
        <v>16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233</v>
      </c>
      <c r="C383" s="6" t="str">
        <f aca="false">HYPERLINK("https://partner.tcgplayer.com/c/6278691/1780961/21018?u=https%3A%2F%2Fwww.tcgplayer.com%2Fproduct%2F633017%3Futm_source%3Dimpact%26utm_medium%3Daffiliate%26utm_campaign%3Dpoke%2Bcottage","Team Rocket's Crobat ex")</f>
        <v>Team Rocket's Crobat ex</v>
      </c>
      <c r="D383" s="5" t="s">
        <v>222</v>
      </c>
      <c r="E383" s="5" t="s">
        <v>16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234</v>
      </c>
      <c r="C384" s="6" t="str">
        <f aca="false">HYPERLINK("https://partner.tcgplayer.com/c/6278691/1780961/21018?u=https%3A%2F%2Fwww.tcgplayer.com%2Fproduct%2F633018%3Futm_source%3Dimpact%26utm_medium%3Daffiliate%26utm_campaign%3Dpoke%2Bcottage","Arven's Mabosstiff ex")</f>
        <v>Arven's Mabosstiff ex</v>
      </c>
      <c r="D384" s="5" t="s">
        <v>222</v>
      </c>
      <c r="E384" s="5" t="s">
        <v>16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235</v>
      </c>
      <c r="C385" s="6" t="str">
        <f aca="false">HYPERLINK("https://partner.tcgplayer.com/c/6278691/1780961/21018?u=https%3A%2F%2Fwww.tcgplayer.com%2Fproduct%2F633019%3Futm_source%3Dimpact%26utm_medium%3Daffiliate%26utm_campaign%3Dpoke%2Bcottage","Team Rocket's Persian ex")</f>
        <v>Team Rocket's Persian ex</v>
      </c>
      <c r="D385" s="5" t="s">
        <v>222</v>
      </c>
      <c r="E385" s="5" t="s">
        <v>16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236</v>
      </c>
      <c r="C386" s="6" t="str">
        <f aca="false">HYPERLINK("https://partner.tcgplayer.com/c/6278691/1780961/21018?u=https%3A%2F%2Fwww.tcgplayer.com%2Fproduct%2F633020%3Futm_source%3Dimpact%26utm_medium%3Daffiliate%26utm_campaign%3Dpoke%2Bcottage","Emcee's Hype")</f>
        <v>Emcee's Hype</v>
      </c>
      <c r="D386" s="5" t="s">
        <v>222</v>
      </c>
      <c r="E386" s="5" t="s">
        <v>16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237</v>
      </c>
      <c r="C387" s="6" t="str">
        <f aca="false">HYPERLINK("https://partner.tcgplayer.com/c/6278691/1780961/21018?u=https%3A%2F%2Fwww.tcgplayer.com%2Fproduct%2F633021%3Futm_source%3Dimpact%26utm_medium%3Daffiliate%26utm_campaign%3Dpoke%2Bcottage","Ethan's Adventure")</f>
        <v>Ethan's Adventure</v>
      </c>
      <c r="D387" s="5" t="s">
        <v>222</v>
      </c>
      <c r="E387" s="5" t="s">
        <v>16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238</v>
      </c>
      <c r="C388" s="6" t="str">
        <f aca="false">HYPERLINK("https://partner.tcgplayer.com/c/6278691/1780961/21018?u=https%3A%2F%2Fwww.tcgplayer.com%2Fproduct%2F633022%3Futm_source%3Dimpact%26utm_medium%3Daffiliate%26utm_campaign%3Dpoke%2Bcottage","Judge")</f>
        <v>Judge</v>
      </c>
      <c r="D388" s="5" t="s">
        <v>222</v>
      </c>
      <c r="E388" s="5" t="s">
        <v>16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239</v>
      </c>
      <c r="C389" s="6" t="str">
        <f aca="false">HYPERLINK("https://partner.tcgplayer.com/c/6278691/1780961/21018?u=https%3A%2F%2Fwww.tcgplayer.com%2Fproduct%2F633023%3Futm_source%3Dimpact%26utm_medium%3Daffiliate%26utm_campaign%3Dpoke%2Bcottage","Team Rocket's Archer")</f>
        <v>Team Rocket's Archer</v>
      </c>
      <c r="D389" s="5" t="s">
        <v>222</v>
      </c>
      <c r="E389" s="5" t="s">
        <v>16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240</v>
      </c>
      <c r="C390" s="6" t="str">
        <f aca="false">HYPERLINK("https://partner.tcgplayer.com/c/6278691/1780961/21018?u=https%3A%2F%2Fwww.tcgplayer.com%2Fproduct%2F633024%3Futm_source%3Dimpact%26utm_medium%3Daffiliate%26utm_campaign%3Dpoke%2Bcottage","Team Rocket's Ariana")</f>
        <v>Team Rocket's Ariana</v>
      </c>
      <c r="D390" s="5" t="s">
        <v>222</v>
      </c>
      <c r="E390" s="5" t="s">
        <v>16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241</v>
      </c>
      <c r="C391" s="6" t="str">
        <f aca="false">HYPERLINK("https://partner.tcgplayer.com/c/6278691/1780961/21018?u=https%3A%2F%2Fwww.tcgplayer.com%2Fproduct%2F633025%3Futm_source%3Dimpact%26utm_medium%3Daffiliate%26utm_campaign%3Dpoke%2Bcottage","Team Rocket's Giovanni")</f>
        <v>Team Rocket's Giovanni</v>
      </c>
      <c r="D391" s="5" t="s">
        <v>222</v>
      </c>
      <c r="E391" s="5" t="s">
        <v>16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242</v>
      </c>
      <c r="C392" s="6" t="str">
        <f aca="false">HYPERLINK("https://partner.tcgplayer.com/c/6278691/1780961/21018?u=https%3A%2F%2Fwww.tcgplayer.com%2Fproduct%2F633026%3Futm_source%3Dimpact%26utm_medium%3Daffiliate%26utm_campaign%3Dpoke%2Bcottage","Team Rocket's Petrel")</f>
        <v>Team Rocket's Petrel</v>
      </c>
      <c r="D392" s="5" t="s">
        <v>222</v>
      </c>
      <c r="E392" s="5" t="s">
        <v>16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243</v>
      </c>
      <c r="C393" s="6" t="str">
        <f aca="false">HYPERLINK("https://partner.tcgplayer.com/c/6278691/1780961/21018?u=https%3A%2F%2Fwww.tcgplayer.com%2Fproduct%2F633027%3Futm_source%3Dimpact%26utm_medium%3Daffiliate%26utm_campaign%3Dpoke%2Bcottage","Team Rocket's Proton")</f>
        <v>Team Rocket's Proton</v>
      </c>
      <c r="D393" s="5" t="s">
        <v>222</v>
      </c>
      <c r="E393" s="5" t="s">
        <v>16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244</v>
      </c>
      <c r="C394" s="6" t="str">
        <f aca="false">HYPERLINK("https://partner.tcgplayer.com/c/6278691/1780961/21018?u=https%3A%2F%2Fwww.tcgplayer.com%2Fproduct%2F633028%3Futm_source%3Dimpact%26utm_medium%3Daffiliate%26utm_campaign%3Dpoke%2Bcottage","Yanmega ex")</f>
        <v>Yanmega ex</v>
      </c>
      <c r="D394" s="5" t="s">
        <v>245</v>
      </c>
      <c r="E394" s="5" t="s">
        <v>16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246</v>
      </c>
      <c r="C395" s="6" t="str">
        <f aca="false">HYPERLINK("https://partner.tcgplayer.com/c/6278691/1780961/21018?u=https%3A%2F%2Fwww.tcgplayer.com%2Fproduct%2F633029%3Futm_source%3Dimpact%26utm_medium%3Daffiliate%26utm_campaign%3Dpoke%2Bcottage","Team Rocket's Moltres ex")</f>
        <v>Team Rocket's Moltres ex</v>
      </c>
      <c r="D395" s="5" t="s">
        <v>245</v>
      </c>
      <c r="E395" s="5" t="s">
        <v>16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247</v>
      </c>
      <c r="C396" s="6" t="str">
        <f aca="false">HYPERLINK("https://partner.tcgplayer.com/c/6278691/1780961/21018?u=https%3A%2F%2Fwww.tcgplayer.com%2Fproduct%2F633030%3Futm_source%3Dimpact%26utm_medium%3Daffiliate%26utm_campaign%3Dpoke%2Bcottage","Ethan's Ho-Oh ex")</f>
        <v>Ethan's Ho-Oh ex</v>
      </c>
      <c r="D396" s="5" t="s">
        <v>245</v>
      </c>
      <c r="E396" s="5" t="s">
        <v>16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248</v>
      </c>
      <c r="C397" s="6" t="str">
        <f aca="false">HYPERLINK("https://partner.tcgplayer.com/c/6278691/1780961/21018?u=https%3A%2F%2Fwww.tcgplayer.com%2Fproduct%2F633031%3Futm_source%3Dimpact%26utm_medium%3Daffiliate%26utm_campaign%3Dpoke%2Bcottage","Team Rocket's Mewtwo ex")</f>
        <v>Team Rocket's Mewtwo ex</v>
      </c>
      <c r="D397" s="5" t="s">
        <v>245</v>
      </c>
      <c r="E397" s="5" t="s">
        <v>16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249</v>
      </c>
      <c r="C398" s="6" t="str">
        <f aca="false">HYPERLINK("https://partner.tcgplayer.com/c/6278691/1780961/21018?u=https%3A%2F%2Fwww.tcgplayer.com%2Fproduct%2F633032%3Futm_source%3Dimpact%26utm_medium%3Daffiliate%26utm_campaign%3Dpoke%2Bcottage","Cynthia's Garchomp ex")</f>
        <v>Cynthia's Garchomp ex</v>
      </c>
      <c r="D398" s="5" t="s">
        <v>245</v>
      </c>
      <c r="E398" s="5" t="s">
        <v>16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250</v>
      </c>
      <c r="C399" s="6" t="str">
        <f aca="false">HYPERLINK("https://partner.tcgplayer.com/c/6278691/1780961/21018?u=https%3A%2F%2Fwww.tcgplayer.com%2Fproduct%2F633033%3Futm_source%3Dimpact%26utm_medium%3Daffiliate%26utm_campaign%3Dpoke%2Bcottage","Team Rocket's Nidoking ex")</f>
        <v>Team Rocket's Nidoking ex</v>
      </c>
      <c r="D399" s="5" t="s">
        <v>245</v>
      </c>
      <c r="E399" s="5" t="s">
        <v>16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251</v>
      </c>
      <c r="C400" s="6" t="str">
        <f aca="false">HYPERLINK("https://partner.tcgplayer.com/c/6278691/1780961/21018?u=https%3A%2F%2Fwww.tcgplayer.com%2Fproduct%2F633034%3Futm_source%3Dimpact%26utm_medium%3Daffiliate%26utm_campaign%3Dpoke%2Bcottage","Team Rocket's Crobat ex")</f>
        <v>Team Rocket's Crobat ex</v>
      </c>
      <c r="D400" s="5" t="s">
        <v>245</v>
      </c>
      <c r="E400" s="5" t="s">
        <v>16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252</v>
      </c>
      <c r="C401" s="6" t="str">
        <f aca="false">HYPERLINK("https://partner.tcgplayer.com/c/6278691/1780961/21018?u=https%3A%2F%2Fwww.tcgplayer.com%2Fproduct%2F633035%3Futm_source%3Dimpact%26utm_medium%3Daffiliate%26utm_campaign%3Dpoke%2Bcottage","Arven's Mabosstiff ex")</f>
        <v>Arven's Mabosstiff ex</v>
      </c>
      <c r="D401" s="5" t="s">
        <v>245</v>
      </c>
      <c r="E401" s="5" t="s">
        <v>16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253</v>
      </c>
      <c r="C402" s="6" t="str">
        <f aca="false">HYPERLINK("https://partner.tcgplayer.com/c/6278691/1780961/21018?u=https%3A%2F%2Fwww.tcgplayer.com%2Fproduct%2F633036%3Futm_source%3Dimpact%26utm_medium%3Daffiliate%26utm_campaign%3Dpoke%2Bcottage","Ethan's Adventure")</f>
        <v>Ethan's Adventure</v>
      </c>
      <c r="D402" s="5" t="s">
        <v>245</v>
      </c>
      <c r="E402" s="5" t="s">
        <v>16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254</v>
      </c>
      <c r="C403" s="6" t="str">
        <f aca="false">HYPERLINK("https://partner.tcgplayer.com/c/6278691/1780961/21018?u=https%3A%2F%2Fwww.tcgplayer.com%2Fproduct%2F633037%3Futm_source%3Dimpact%26utm_medium%3Daffiliate%26utm_campaign%3Dpoke%2Bcottage","Team Rocket's Ariana")</f>
        <v>Team Rocket's Ariana</v>
      </c>
      <c r="D403" s="5" t="s">
        <v>245</v>
      </c>
      <c r="E403" s="5" t="s">
        <v>16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255</v>
      </c>
      <c r="C404" s="6" t="str">
        <f aca="false">HYPERLINK("https://partner.tcgplayer.com/c/6278691/1780961/21018?u=https%3A%2F%2Fwww.tcgplayer.com%2Fproduct%2F633038%3Futm_source%3Dimpact%26utm_medium%3Daffiliate%26utm_campaign%3Dpoke%2Bcottage","Team Rocket's Giovanni")</f>
        <v>Team Rocket's Giovanni</v>
      </c>
      <c r="D404" s="5" t="s">
        <v>245</v>
      </c>
      <c r="E404" s="5" t="s">
        <v>16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256</v>
      </c>
      <c r="C405" s="6" t="str">
        <f aca="false">HYPERLINK("https://partner.tcgplayer.com/c/6278691/1780961/21018?u=https%3A%2F%2Fwww.tcgplayer.com%2Fproduct%2F633039%3Futm_source%3Dimpact%26utm_medium%3Daffiliate%26utm_campaign%3Dpoke%2Bcottage","Ethan's Ho-Oh ex")</f>
        <v>Ethan's Ho-Oh ex</v>
      </c>
      <c r="D405" s="5" t="s">
        <v>257</v>
      </c>
      <c r="E405" s="5" t="s">
        <v>16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258</v>
      </c>
      <c r="C406" s="6" t="str">
        <f aca="false">HYPERLINK("https://partner.tcgplayer.com/c/6278691/1780961/21018?u=https%3A%2F%2Fwww.tcgplayer.com%2Fproduct%2F633040%3Futm_source%3Dimpact%26utm_medium%3Daffiliate%26utm_campaign%3Dpoke%2Bcottage","Team Rocket's Mewtwo ex")</f>
        <v>Team Rocket's Mewtwo ex</v>
      </c>
      <c r="D406" s="5" t="s">
        <v>257</v>
      </c>
      <c r="E406" s="5" t="s">
        <v>16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259</v>
      </c>
      <c r="C407" s="6" t="str">
        <f aca="false">HYPERLINK("https://partner.tcgplayer.com/c/6278691/1780961/21018?u=https%3A%2F%2Fwww.tcgplayer.com%2Fproduct%2F633041%3Futm_source%3Dimpact%26utm_medium%3Daffiliate%26utm_campaign%3Dpoke%2Bcottage","Cynthia's Garchomp ex")</f>
        <v>Cynthia's Garchomp ex</v>
      </c>
      <c r="D407" s="5" t="s">
        <v>257</v>
      </c>
      <c r="E407" s="5" t="s">
        <v>16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260</v>
      </c>
      <c r="C408" s="6" t="str">
        <f aca="false">HYPERLINK("https://partner.tcgplayer.com/c/6278691/1780961/21018?u=https%3A%2F%2Fwww.tcgplayer.com%2Fproduct%2F633042%3Futm_source%3Dimpact%26utm_medium%3Daffiliate%26utm_campaign%3Dpoke%2Bcottage","Team Rocket's Crobat ex")</f>
        <v>Team Rocket's Crobat ex</v>
      </c>
      <c r="D408" s="5" t="s">
        <v>257</v>
      </c>
      <c r="E408" s="5" t="s">
        <v>16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261</v>
      </c>
      <c r="C409" s="6" t="str">
        <f aca="false">HYPERLINK("https://partner.tcgplayer.com/c/6278691/1780961/21018?u=https%3A%2F%2Fwww.tcgplayer.com%2Fproduct%2F633043%3Futm_source%3Dimpact%26utm_medium%3Daffiliate%26utm_campaign%3Dpoke%2Bcottage","Jamming Tower")</f>
        <v>Jamming Tower</v>
      </c>
      <c r="D409" s="5" t="s">
        <v>257</v>
      </c>
      <c r="E409" s="5" t="s">
        <v>16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262</v>
      </c>
      <c r="C410" s="6" t="str">
        <f aca="false">HYPERLINK("https://partner.tcgplayer.com/c/6278691/1780961/21018?u=https%3A%2F%2Fwww.tcgplayer.com%2Fproduct%2F633044%3Futm_source%3Dimpact%26utm_medium%3Daffiliate%26utm_campaign%3Dpoke%2Bcottage","Levincia")</f>
        <v>Levincia</v>
      </c>
      <c r="D410" s="5" t="s">
        <v>257</v>
      </c>
      <c r="E410" s="5" t="s">
        <v>16</v>
      </c>
      <c r="F410" s="5"/>
      <c r="G410" s="5"/>
      <c r="H410" s="7"/>
    </row>
    <row r="411" customFormat="false" ht="32" hidden="false" customHeight="true" outlineLevel="0" collapsed="false">
      <c r="A411" s="1" t="s">
        <v>263</v>
      </c>
      <c r="B411" s="1"/>
      <c r="C411" s="1"/>
      <c r="D411" s="1"/>
      <c r="E411" s="1"/>
      <c r="F411" s="1"/>
      <c r="G411" s="1"/>
      <c r="H411" s="1"/>
    </row>
    <row r="412" customFormat="false" ht="30" hidden="false" customHeight="true" outlineLevel="0" collapsed="false">
      <c r="A412" s="4" t="s">
        <v>6</v>
      </c>
      <c r="B412" s="5" t="s">
        <v>264</v>
      </c>
      <c r="C412" s="6" t="str">
        <f aca="false">HYPERLINK("https://partner.tcgplayer.com/c/6278691/1780961/21018?u=https%3A%2F%2Fwww.tcgplayer.com%2Fproduct%2F637662%3Futm_source%3Dimpact%26utm_medium%3Daffiliate%26utm_campaign%3Dpoke%2Bcottage","Zarude")</f>
        <v>Zarude</v>
      </c>
      <c r="D412" s="5" t="s">
        <v>265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266</v>
      </c>
      <c r="C413" s="6" t="str">
        <f aca="false">HYPERLINK("https://partner.tcgplayer.com/c/6278691/1780961/21018?u=https%3A%2F%2Fwww.tcgplayer.com%2Fproduct%2F637077%3Futm_source%3Dimpact%26utm_medium%3Daffiliate%26utm_campaign%3Dpoke%2Bcottage","Eevee")</f>
        <v>Eevee</v>
      </c>
      <c r="D413" s="5" t="s">
        <v>267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268</v>
      </c>
      <c r="C414" s="6" t="str">
        <f aca="false">HYPERLINK("https://partner.tcgplayer.com/c/6278691/1780961/21018?u=https%3A%2F%2Fwww.tcgplayer.com%2Fproduct%2F637669%3Futm_source%3Dimpact%26utm_medium%3Daffiliate%26utm_campaign%3Dpoke%2Bcottage","Zebstrika")</f>
        <v>Zebstrika</v>
      </c>
      <c r="D414" s="5" t="s">
        <v>269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270</v>
      </c>
      <c r="C415" s="6" t="str">
        <f aca="false">HYPERLINK("https://partner.tcgplayer.com/c/6278691/1780961/21018?u=https%3A%2F%2Fwww.tcgplayer.com%2Fproduct%2F637413%3Futm_source%3Dimpact%26utm_medium%3Daffiliate%26utm_campaign%3Dpoke%2Bcottage","Kangaskhan")</f>
        <v>Kangaskhan</v>
      </c>
      <c r="D415" s="5" t="s">
        <v>271</v>
      </c>
      <c r="E415" s="5"/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272</v>
      </c>
      <c r="C416" s="6" t="str">
        <f aca="false">HYPERLINK("https://partner.tcgplayer.com/c/6278691/1780961/21018?u=https%3A%2F%2Fwww.tcgplayer.com%2Fproduct%2F635468%3Futm_source%3Dimpact%26utm_medium%3Daffiliate%26utm_campaign%3Dpoke%2Bcottage","Team Rocket's Wobbuffet")</f>
        <v>Team Rocket's Wobbuffet</v>
      </c>
      <c r="D416" s="5" t="s">
        <v>273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272</v>
      </c>
      <c r="C417" s="6" t="str">
        <f aca="false">HYPERLINK("https://partner.tcgplayer.com/c/6278691/1780961/21018?u=https%3A%2F%2Fwww.tcgplayer.com%2Fproduct%2F635467%3Futm_source%3Dimpact%26utm_medium%3Daffiliate%26utm_campaign%3Dpoke%2Bcottage","Team Rocket's Wobbuffet")</f>
        <v>Team Rocket's Wobbuffet</v>
      </c>
      <c r="D417" s="5" t="s">
        <v>274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275</v>
      </c>
      <c r="C418" s="6" t="str">
        <f aca="false">HYPERLINK("https://partner.tcgplayer.com/c/6278691/1780961/21018?u=https%3A%2F%2Fwww.tcgplayer.com%2Fproduct%2F637613%3Futm_source%3Dimpact%26utm_medium%3Daffiliate%26utm_campaign%3Dpoke%2Bcottage","Cynthia’s Garchomp ex")</f>
        <v>Cynthia’s Garchomp ex</v>
      </c>
      <c r="D418" s="5" t="s">
        <v>276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277</v>
      </c>
      <c r="C419" s="6" t="str">
        <f aca="false">HYPERLINK("https://partner.tcgplayer.com/c/6278691/1780961/21018?u=https%3A%2F%2Fwww.tcgplayer.com%2Fproduct%2F637617%3Futm_source%3Dimpact%26utm_medium%3Daffiliate%26utm_campaign%3Dpoke%2Bcottage","Team Rocket's Mewtwo ex")</f>
        <v>Team Rocket's Mewtwo ex</v>
      </c>
      <c r="D419" s="5" t="s">
        <v>278</v>
      </c>
      <c r="E419" s="5"/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279</v>
      </c>
      <c r="C420" s="6" t="str">
        <f aca="false">HYPERLINK("https://partner.tcgplayer.com/c/6278691/1780961/21018?u=https%3A%2F%2Fwww.tcgplayer.com%2Fproduct%2F635456%3Futm_source%3Dimpact%26utm_medium%3Daffiliate%26utm_campaign%3Dpoke%2Bcottage","Marnie’s Morpeko")</f>
        <v>Marnie’s Morpeko</v>
      </c>
      <c r="D420" s="5" t="s">
        <v>280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281</v>
      </c>
      <c r="C421" s="6" t="str">
        <f aca="false">HYPERLINK("https://partner.tcgplayer.com/c/6278691/1780961/21018?u=https%3A%2F%2Fwww.tcgplayer.com%2Fproduct%2F635457%3Futm_source%3Dimpact%26utm_medium%3Daffiliate%26utm_campaign%3Dpoke%2Bcottage","Steven’s Beldum")</f>
        <v>Steven’s Beldum</v>
      </c>
      <c r="D421" s="5" t="s">
        <v>282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283</v>
      </c>
      <c r="C422" s="6" t="str">
        <f aca="false">HYPERLINK("https://partner.tcgplayer.com/c/6278691/1780961/21018?u=https%3A%2F%2Fwww.tcgplayer.com%2Fproduct%2F653257%3Futm_source%3Dimpact%26utm_medium%3Daffiliate%26utm_campaign%3Dpoke%2Bcottage","Team Rocket’s Mewtwo ex")</f>
        <v>Team Rocket’s Mewtwo ex</v>
      </c>
      <c r="D422" s="5" t="s">
        <v>284</v>
      </c>
      <c r="E422" s="5"/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285</v>
      </c>
      <c r="C423" s="6" t="str">
        <f aca="false">HYPERLINK("https://partner.tcgplayer.com/c/6278691/1780961/21018?u=https%3A%2F%2Fwww.tcgplayer.com%2Fproduct%2F653258%3Futm_source%3Dimpact%26utm_medium%3Daffiliate%26utm_campaign%3Dpoke%2Bcottage","Team Rocket's Nidoking ex")</f>
        <v>Team Rocket's Nidoking ex</v>
      </c>
      <c r="D423" s="5" t="s">
        <v>286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287</v>
      </c>
      <c r="C424" s="6" t="str">
        <f aca="false">HYPERLINK("https://partner.tcgplayer.com/c/6278691/1780961/21018?u=https%3A%2F%2Fwww.tcgplayer.com%2Fproduct%2F653259%3Futm_source%3Dimpact%26utm_medium%3Daffiliate%26utm_campaign%3Dpoke%2Bcottage","Team Rocket's Persian ex")</f>
        <v>Team Rocket's Persian ex</v>
      </c>
      <c r="D424" s="5" t="s">
        <v>288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14</v>
      </c>
      <c r="C425" s="6" t="str">
        <f aca="false">HYPERLINK("https://partner.tcgplayer.com/c/6278691/1780961/21018?u=https%3A%2F%2Fwww.tcgplayer.com%2Fproduct%2F671742%3Futm_source%3Dimpact%26utm_medium%3Daffiliate%26utm_campaign%3Dpoke%2Bcottage","Yanmega ex")</f>
        <v>Yanmega ex</v>
      </c>
      <c r="D425" s="5" t="s">
        <v>289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21</v>
      </c>
      <c r="C426" s="6" t="str">
        <f aca="false">HYPERLINK("https://partner.tcgplayer.com/c/6278691/1780961/21018?u=https%3A%2F%2Fwww.tcgplayer.com%2Fproduct%2F671318%3Futm_source%3Dimpact%26utm_medium%3Daffiliate%26utm_campaign%3Dpoke%2Bcottage","Cynthia's Roserade")</f>
        <v>Cynthia's Roserade</v>
      </c>
      <c r="D426" s="5" t="s">
        <v>289</v>
      </c>
      <c r="E426" s="5"/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21</v>
      </c>
      <c r="C427" s="6" t="str">
        <f aca="false">HYPERLINK("https://partner.tcgplayer.com/c/6278691/1780961/21018?u=https%3A%2F%2Fwww.tcgplayer.com%2Fproduct%2F671318%3Futm_source%3Dimpact%26utm_medium%3Daffiliate%26utm_campaign%3Dpoke%2Bcottage","Cynthia's Roserade")</f>
        <v>Cynthia's Roserade</v>
      </c>
      <c r="D427" s="5" t="s">
        <v>290</v>
      </c>
      <c r="E427" s="5"/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24</v>
      </c>
      <c r="C428" s="6" t="str">
        <f aca="false">HYPERLINK("https://partner.tcgplayer.com/c/6278691/1780961/21018?u=https%3A%2F%2Fwww.tcgplayer.com%2Fproduct%2F671679%3Futm_source%3Dimpact%26utm_medium%3Daffiliate%26utm_campaign%3Dpoke%2Bcottage","Shaymin")</f>
        <v>Shaymin</v>
      </c>
      <c r="D428" s="5" t="s">
        <v>289</v>
      </c>
      <c r="E428" s="5"/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24</v>
      </c>
      <c r="C429" s="5" t="s">
        <v>291</v>
      </c>
      <c r="D429" s="5" t="s">
        <v>292</v>
      </c>
      <c r="E429" s="5"/>
      <c r="F429" s="5" t="str">
        <f aca="false">HYPERLINK("https://www.ebay.com/sch/i.html?_nkw=Shaymin+Pokemon+TCG+Gym+Destined+Rivals+10+pokemon+card&amp;_sacat=0&amp;_from=R40&amp;_trksid=p4624852.m570.l1313&amp;mkcid=1&amp;mkrid=711-53200-19255-0&amp;siteid=0&amp;campid=5339158445&amp;customid=pokecottage&amp;toolid=10001&amp;mkevt=1","FIND ON EBAY")</f>
        <v>FIND ON EBAY</v>
      </c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26</v>
      </c>
      <c r="C430" s="6" t="str">
        <f aca="false">HYPERLINK("https://partner.tcgplayer.com/c/6278691/1780961/21018?u=https%3A%2F%2Fwww.tcgplayer.com%2Fproduct%2F704407%3Futm_source%3Dimpact%26utm_medium%3Daffiliate%26utm_campaign%3Dpoke%2Bcottage","Crustle")</f>
        <v>Crustle</v>
      </c>
      <c r="D430" s="5" t="s">
        <v>289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32</v>
      </c>
      <c r="C431" s="6" t="str">
        <f aca="false">HYPERLINK("https://partner.tcgplayer.com/c/6278691/1780961/21018?u=https%3A%2F%2Fwww.tcgplayer.com%2Fproduct%2F664138%3Futm_source%3Dimpact%26utm_medium%3Daffiliate%26utm_campaign%3Dpoke%2Bcottage","Hydrapple")</f>
        <v>Hydrapple</v>
      </c>
      <c r="D431" s="5" t="s">
        <v>293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34</v>
      </c>
      <c r="C432" s="6" t="str">
        <f aca="false">HYPERLINK("https://partner.tcgplayer.com/c/6278691/1780961/21018?u=https%3A%2F%2Fwww.tcgplayer.com%2Fproduct%2F682473%3Futm_source%3Dimpact%26utm_medium%3Daffiliate%26utm_campaign%3Dpoke%2Bcottage","Team Rocket's Spidops")</f>
        <v>Team Rocket's Spidops</v>
      </c>
      <c r="D432" s="5" t="s">
        <v>294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34</v>
      </c>
      <c r="C433" s="6" t="str">
        <f aca="false">HYPERLINK("https://partner.tcgplayer.com/c/6278691/1780961/21018?u=https%3A%2F%2Fwww.tcgplayer.com%2Fproduct%2F671699%3Futm_source%3Dimpact%26utm_medium%3Daffiliate%26utm_campaign%3Dpoke%2Bcottage","Team Rocket's Spidops")</f>
        <v>Team Rocket's Spidops</v>
      </c>
      <c r="D433" s="5" t="s">
        <v>289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34</v>
      </c>
      <c r="C434" s="6" t="str">
        <f aca="false">HYPERLINK("https://partner.tcgplayer.com/c/6278691/1780961/21018?u=https%3A%2F%2Fwww.tcgplayer.com%2Fproduct%2F671699%3Futm_source%3Dimpact%26utm_medium%3Daffiliate%26utm_campaign%3Dpoke%2Bcottage","Team Rocket's Spidops")</f>
        <v>Team Rocket's Spidops</v>
      </c>
      <c r="D434" s="5" t="s">
        <v>290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45</v>
      </c>
      <c r="C435" s="6" t="str">
        <f aca="false">HYPERLINK("https://partner.tcgplayer.com/c/6278691/1780961/21018?u=https%3A%2F%2Fwww.tcgplayer.com%2Fproduct%2F663425%3Futm_source%3Dimpact%26utm_medium%3Daffiliate%26utm_campaign%3Dpoke%2Bcottage","Team Rocket's Moltres ex")</f>
        <v>Team Rocket's Moltres ex</v>
      </c>
      <c r="D435" s="5" t="s">
        <v>295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47</v>
      </c>
      <c r="C436" s="6" t="str">
        <f aca="false">HYPERLINK("https://partner.tcgplayer.com/c/6278691/1780961/21018?u=https%3A%2F%2Fwww.tcgplayer.com%2Fproduct%2F671551%3Futm_source%3Dimpact%26utm_medium%3Daffiliate%26utm_campaign%3Dpoke%2Bcottage","Ethan's Quilava")</f>
        <v>Ethan's Quilava</v>
      </c>
      <c r="D436" s="5" t="s">
        <v>289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48</v>
      </c>
      <c r="C437" s="6" t="str">
        <f aca="false">HYPERLINK("https://partner.tcgplayer.com/c/6278691/1780961/21018?u=https%3A%2F%2Fwww.tcgplayer.com%2Fproduct%2F637651%3Futm_source%3Dimpact%26utm_medium%3Daffiliate%26utm_campaign%3Dpoke%2Bcottage","Ethan's Typhlosion")</f>
        <v>Ethan's Typhlosion</v>
      </c>
      <c r="D437" s="5" t="s">
        <v>296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48</v>
      </c>
      <c r="C438" s="6" t="str">
        <f aca="false">HYPERLINK("https://partner.tcgplayer.com/c/6278691/1780961/21018?u=https%3A%2F%2Fwww.tcgplayer.com%2Fproduct%2F671553%3Futm_source%3Dimpact%26utm_medium%3Daffiliate%26utm_campaign%3Dpoke%2Bcottage","Ethan's Typhlosion")</f>
        <v>Ethan's Typhlosion</v>
      </c>
      <c r="D438" s="5" t="s">
        <v>289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48</v>
      </c>
      <c r="C439" s="6" t="str">
        <f aca="false">HYPERLINK("https://partner.tcgplayer.com/c/6278691/1780961/21018?u=https%3A%2F%2Fwww.tcgplayer.com%2Fproduct%2F704414%3Futm_source%3Dimpact%26utm_medium%3Daffiliate%26utm_campaign%3Dpoke%2Bcottage","Ethan's Typhlosion")</f>
        <v>Ethan's Typhlosion</v>
      </c>
      <c r="D439" s="5" t="s">
        <v>290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48</v>
      </c>
      <c r="C440" s="6" t="str">
        <f aca="false">HYPERLINK("https://partner.tcgplayer.com/c/6278691/1780961/21018?u=https%3A%2F%2Fwww.tcgplayer.com%2Fproduct%2F633107%3Futm_source%3Dimpact%26utm_medium%3Daffiliate%26utm_campaign%3Dpoke%2Bcottage","Ethan's Typhlosion")</f>
        <v>Ethan's Typhlosion</v>
      </c>
      <c r="D440" s="5" t="s">
        <v>295</v>
      </c>
      <c r="E440" s="5"/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48</v>
      </c>
      <c r="C441" s="6" t="str">
        <f aca="false">HYPERLINK("https://partner.tcgplayer.com/c/6278691/1780961/21018?u=https%3A%2F%2Fwww.tcgplayer.com%2Fproduct%2F634336%3Futm_source%3Dimpact%26utm_medium%3Daffiliate%26utm_campaign%3Dpoke%2Bcottage","Ethan's Typhlosion")</f>
        <v>Ethan's Typhlosion</v>
      </c>
      <c r="D441" s="5" t="s">
        <v>297</v>
      </c>
      <c r="E441" s="5"/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50</v>
      </c>
      <c r="C442" s="6" t="str">
        <f aca="false">HYPERLINK("https://partner.tcgplayer.com/c/6278691/1780961/21018?u=https%3A%2F%2Fwww.tcgplayer.com%2Fproduct%2F668437%3Futm_source%3Dimpact%26utm_medium%3Daffiliate%26utm_campaign%3Dpoke%2Bcottage","Ethan's Magcargo")</f>
        <v>Ethan's Magcargo</v>
      </c>
      <c r="D442" s="5" t="s">
        <v>293</v>
      </c>
      <c r="E442" s="5"/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50</v>
      </c>
      <c r="C443" s="6" t="str">
        <f aca="false">HYPERLINK("https://partner.tcgplayer.com/c/6278691/1780961/21018?u=https%3A%2F%2Fwww.tcgplayer.com%2Fproduct%2F671549%3Futm_source%3Dimpact%26utm_medium%3Daffiliate%26utm_campaign%3Dpoke%2Bcottage","Ethan's Magcargo")</f>
        <v>Ethan's Magcargo</v>
      </c>
      <c r="D443" s="5" t="s">
        <v>289</v>
      </c>
      <c r="E443" s="5"/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53</v>
      </c>
      <c r="C444" s="6" t="str">
        <f aca="false">HYPERLINK("https://partner.tcgplayer.com/c/6278691/1780961/21018?u=https%3A%2F%2Fwww.tcgplayer.com%2Fproduct%2F671326%3Futm_source%3Dimpact%26utm_medium%3Daffiliate%26utm_campaign%3Dpoke%2Bcottage","Ethan's Ho-Oh ex")</f>
        <v>Ethan's Ho-Oh ex</v>
      </c>
      <c r="D444" s="5" t="s">
        <v>289</v>
      </c>
      <c r="E444" s="5"/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53</v>
      </c>
      <c r="C445" s="5" t="s">
        <v>298</v>
      </c>
      <c r="D445" s="5" t="s">
        <v>292</v>
      </c>
      <c r="E445" s="5"/>
      <c r="F445" s="5" t="str">
        <f aca="false">HYPERLINK("https://www.ebay.com/sch/i.html?_nkw=Ethan+s+Ho-Oh+ex+Pokemon+TCG+Gym+Destined+Rivals+39+pokemon+card&amp;_sacat=0&amp;_from=R40&amp;_trksid=p4624852.m570.l1313&amp;mkcid=1&amp;mkrid=711-53200-19255-0&amp;siteid=0&amp;campid=5339158445&amp;customid=pokecottage&amp;toolid=10001&amp;mkevt=1","FIND ON EBAY")</f>
        <v>FIND ON EBAY</v>
      </c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56</v>
      </c>
      <c r="C446" s="6" t="str">
        <f aca="false">HYPERLINK("https://partner.tcgplayer.com/c/6278691/1780961/21018?u=https%3A%2F%2Fwww.tcgplayer.com%2Fproduct%2F664139%3Futm_source%3Dimpact%26utm_medium%3Daffiliate%26utm_campaign%3Dpoke%2Bcottage","Blaziken")</f>
        <v>Blaziken</v>
      </c>
      <c r="D446" s="5" t="s">
        <v>293</v>
      </c>
      <c r="E446" s="5"/>
      <c r="F446" s="5"/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63</v>
      </c>
      <c r="C447" s="6" t="str">
        <f aca="false">HYPERLINK("https://partner.tcgplayer.com/c/6278691/1780961/21018?u=https%3A%2F%2Fwww.tcgplayer.com%2Fproduct%2F635481%3Futm_source%3Dimpact%26utm_medium%3Daffiliate%26utm_campaign%3Dpoke%2Bcottage","Misty's Gyarados")</f>
        <v>Misty's Gyarados</v>
      </c>
      <c r="D447" s="5" t="s">
        <v>296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63</v>
      </c>
      <c r="C448" s="6" t="str">
        <f aca="false">HYPERLINK("https://partner.tcgplayer.com/c/6278691/1780961/21018?u=https%3A%2F%2Fwww.tcgplayer.com%2Fproduct%2F633108%3Futm_source%3Dimpact%26utm_medium%3Daffiliate%26utm_campaign%3Dpoke%2Bcottage","Misty's Gyarados")</f>
        <v>Misty's Gyarados</v>
      </c>
      <c r="D448" s="5" t="s">
        <v>295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63</v>
      </c>
      <c r="C449" s="6" t="str">
        <f aca="false">HYPERLINK("https://partner.tcgplayer.com/c/6278691/1780961/21018?u=https%3A%2F%2Fwww.tcgplayer.com%2Fproduct%2F634335%3Futm_source%3Dimpact%26utm_medium%3Daffiliate%26utm_campaign%3Dpoke%2Bcottage","Misty's Gyarados")</f>
        <v>Misty's Gyarados</v>
      </c>
      <c r="D449" s="5" t="s">
        <v>297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65</v>
      </c>
      <c r="C450" s="6" t="str">
        <f aca="false">HYPERLINK("https://partner.tcgplayer.com/c/6278691/1780961/21018?u=https%3A%2F%2Fwww.tcgplayer.com%2Fproduct%2F693139%3Futm_source%3Dimpact%26utm_medium%3Daffiliate%26utm_campaign%3Dpoke%2Bcottage","Team Rocket's Articuno")</f>
        <v>Team Rocket's Articuno</v>
      </c>
      <c r="D450" s="5" t="s">
        <v>296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65</v>
      </c>
      <c r="C451" s="6" t="str">
        <f aca="false">HYPERLINK("https://partner.tcgplayer.com/c/6278691/1780961/21018?u=https%3A%2F%2Fwww.tcgplayer.com%2Fproduct%2F658500%3Futm_source%3Dimpact%26utm_medium%3Daffiliate%26utm_campaign%3Dpoke%2Bcottage","Team Rocket's Articuno")</f>
        <v>Team Rocket's Articuno</v>
      </c>
      <c r="D451" s="5" t="s">
        <v>293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65</v>
      </c>
      <c r="C452" s="6" t="str">
        <f aca="false">HYPERLINK("https://partner.tcgplayer.com/c/6278691/1780961/21018?u=https%3A%2F%2Fwww.tcgplayer.com%2Fproduct%2F635484%3Futm_source%3Dimpact%26utm_medium%3Daffiliate%26utm_campaign%3Dpoke%2Bcottage","Team Rocket's Articuno")</f>
        <v>Team Rocket's Articuno</v>
      </c>
      <c r="D452" s="5" t="s">
        <v>295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84</v>
      </c>
      <c r="C453" s="6" t="str">
        <f aca="false">HYPERLINK("https://partner.tcgplayer.com/c/6278691/1780961/21018?u=https%3A%2F%2Fwww.tcgplayer.com%2Fproduct%2F658501%3Futm_source%3Dimpact%26utm_medium%3Daffiliate%26utm_campaign%3Dpoke%2Bcottage","Team Rocket's Zapdos")</f>
        <v>Team Rocket's Zapdos</v>
      </c>
      <c r="D453" s="5" t="s">
        <v>293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84</v>
      </c>
      <c r="C454" s="6" t="str">
        <f aca="false">HYPERLINK("https://partner.tcgplayer.com/c/6278691/1780961/21018?u=https%3A%2F%2Fwww.tcgplayer.com%2Fproduct%2F635501%3Futm_source%3Dimpact%26utm_medium%3Daffiliate%26utm_campaign%3Dpoke%2Bcottage","Team Rocket's Zapdos")</f>
        <v>Team Rocket's Zapdos</v>
      </c>
      <c r="D454" s="5" t="s">
        <v>299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84</v>
      </c>
      <c r="C455" s="6" t="str">
        <f aca="false">HYPERLINK("https://partner.tcgplayer.com/c/6278691/1780961/21018?u=https%3A%2F%2Fwww.tcgplayer.com%2Fproduct%2F635503%3Futm_source%3Dimpact%26utm_medium%3Daffiliate%26utm_campaign%3Dpoke%2Bcottage","Team Rocket's Zapdos")</f>
        <v>Team Rocket's Zapdos</v>
      </c>
      <c r="D455" s="5" t="s">
        <v>295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84</v>
      </c>
      <c r="C456" s="6" t="str">
        <f aca="false">HYPERLINK("https://partner.tcgplayer.com/c/6278691/1780961/21018?u=https%3A%2F%2Fwww.tcgplayer.com%2Fproduct%2F635500%3Futm_source%3Dimpact%26utm_medium%3Daffiliate%26utm_campaign%3Dpoke%2Bcottage","Team Rocket's Zapdos")</f>
        <v>Team Rocket's Zapdos</v>
      </c>
      <c r="D456" s="5" t="s">
        <v>300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92</v>
      </c>
      <c r="C457" s="6" t="str">
        <f aca="false">HYPERLINK("https://partner.tcgplayer.com/c/6278691/1780961/21018?u=https%3A%2F%2Fwww.tcgplayer.com%2Fproduct%2F704472%3Futm_source%3Dimpact%26utm_medium%3Daffiliate%26utm_campaign%3Dpoke%2Bcottage","Zeraora")</f>
        <v>Zeraora</v>
      </c>
      <c r="D457" s="5" t="s">
        <v>289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92</v>
      </c>
      <c r="C458" s="6" t="str">
        <f aca="false">HYPERLINK("https://partner.tcgplayer.com/c/6278691/1780961/21018?u=https%3A%2F%2Fwww.tcgplayer.com%2Fproduct%2F704473%3Futm_source%3Dimpact%26utm_medium%3Daffiliate%26utm_campaign%3Dpoke%2Bcottage","Zeraora")</f>
        <v>Zeraora</v>
      </c>
      <c r="D458" s="5" t="s">
        <v>290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95</v>
      </c>
      <c r="C459" s="6" t="str">
        <f aca="false">HYPERLINK("https://partner.tcgplayer.com/c/6278691/1780961/21018?u=https%3A%2F%2Fwww.tcgplayer.com%2Fproduct%2F677318%3Futm_source%3Dimpact%26utm_medium%3Daffiliate%26utm_campaign%3Dpoke%2Bcottage","Team Rocket's Mewtwo ex")</f>
        <v>Team Rocket's Mewtwo ex</v>
      </c>
      <c r="D459" s="5" t="s">
        <v>289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95</v>
      </c>
      <c r="C460" s="6" t="str">
        <f aca="false">HYPERLINK("https://partner.tcgplayer.com/c/6278691/1780961/21018?u=https%3A%2F%2Fwww.tcgplayer.com%2Fproduct%2F678611%3Futm_source%3Dimpact%26utm_medium%3Daffiliate%26utm_campaign%3Dpoke%2Bcottage","Team Rocket's Mewtwo ex")</f>
        <v>Team Rocket's Mewtwo ex</v>
      </c>
      <c r="D460" s="5" t="s">
        <v>301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101</v>
      </c>
      <c r="C461" s="6" t="str">
        <f aca="false">HYPERLINK("https://partner.tcgplayer.com/c/6278691/1780961/21018?u=https%3A%2F%2Fwww.tcgplayer.com%2Fproduct%2F633112%3Futm_source%3Dimpact%26utm_medium%3Daffiliate%26utm_campaign%3Dpoke%2Bcottage","Team Rocket's Mimikyu")</f>
        <v>Team Rocket's Mimikyu</v>
      </c>
      <c r="D461" s="5" t="s">
        <v>295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101</v>
      </c>
      <c r="C462" s="6" t="str">
        <f aca="false">HYPERLINK("https://partner.tcgplayer.com/c/6278691/1780961/21018?u=https%3A%2F%2Fwww.tcgplayer.com%2Fproduct%2F634333%3Futm_source%3Dimpact%26utm_medium%3Daffiliate%26utm_campaign%3Dpoke%2Bcottage","Team Rocket's Mimikyu")</f>
        <v>Team Rocket's Mimikyu</v>
      </c>
      <c r="D462" s="5" t="s">
        <v>297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110</v>
      </c>
      <c r="C463" s="6" t="str">
        <f aca="false">HYPERLINK("https://partner.tcgplayer.com/c/6278691/1780961/21018?u=https%3A%2F%2Fwww.tcgplayer.com%2Fproduct%2F630822%3Futm_source%3Dimpact%26utm_medium%3Daffiliate%26utm_campaign%3Dpoke%2Bcottage","Team Rocket's Tyranitar")</f>
        <v>Team Rocket's Tyranitar</v>
      </c>
      <c r="D463" s="5" t="s">
        <v>296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110</v>
      </c>
      <c r="C464" s="6" t="str">
        <f aca="false">HYPERLINK("https://partner.tcgplayer.com/c/6278691/1780961/21018?u=https%3A%2F%2Fwww.tcgplayer.com%2Fproduct%2F659941%3Futm_source%3Dimpact%26utm_medium%3Daffiliate%26utm_campaign%3Dpoke%2Bcottage","Team Rocket's Tyranitar")</f>
        <v>Team Rocket's Tyranitar</v>
      </c>
      <c r="D464" s="5" t="s">
        <v>293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110</v>
      </c>
      <c r="C465" s="6" t="str">
        <f aca="false">HYPERLINK("https://partner.tcgplayer.com/c/6278691/1780961/21018?u=https%3A%2F%2Fwww.tcgplayer.com%2Fproduct%2F633111%3Futm_source%3Dimpact%26utm_medium%3Daffiliate%26utm_campaign%3Dpoke%2Bcottage","Team Rocket's Tyranitar")</f>
        <v>Team Rocket's Tyranitar</v>
      </c>
      <c r="D465" s="5" t="s">
        <v>295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110</v>
      </c>
      <c r="C466" s="6" t="str">
        <f aca="false">HYPERLINK("https://partner.tcgplayer.com/c/6278691/1780961/21018?u=https%3A%2F%2Fwww.tcgplayer.com%2Fproduct%2F634334%3Futm_source%3Dimpact%26utm_medium%3Daffiliate%26utm_campaign%3Dpoke%2Bcottage","Team Rocket's Tyranitar")</f>
        <v>Team Rocket's Tyranitar</v>
      </c>
      <c r="D466" s="5" t="s">
        <v>297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110</v>
      </c>
      <c r="C467" s="6" t="str">
        <f aca="false">HYPERLINK("https://partner.tcgplayer.com/c/6278691/1780961/21018?u=https%3A%2F%2Fwww.tcgplayer.com%2Fproduct%2F635617%3Futm_source%3Dimpact%26utm_medium%3Daffiliate%26utm_campaign%3Dpoke%2Bcottage","Team Rocket's Tyranitar")</f>
        <v>Team Rocket's Tyranitar</v>
      </c>
      <c r="D467" s="5" t="s">
        <v>302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116</v>
      </c>
      <c r="C468" s="6" t="str">
        <f aca="false">HYPERLINK("https://partner.tcgplayer.com/c/6278691/1780961/21018?u=https%3A%2F%2Fwww.tcgplayer.com%2Fproduct%2F637611%3Futm_source%3Dimpact%26utm_medium%3Daffiliate%26utm_campaign%3Dpoke%2Bcottage","Cynthia's Gible")</f>
        <v>Cynthia's Gible</v>
      </c>
      <c r="D468" s="5" t="s">
        <v>293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117</v>
      </c>
      <c r="C469" s="6" t="str">
        <f aca="false">HYPERLINK("https://partner.tcgplayer.com/c/6278691/1780961/21018?u=https%3A%2F%2Fwww.tcgplayer.com%2Fproduct%2F637612%3Futm_source%3Dimpact%26utm_medium%3Daffiliate%26utm_campaign%3Dpoke%2Bcottage","Cynthia's Gabite")</f>
        <v>Cynthia's Gabite</v>
      </c>
      <c r="D469" s="5" t="s">
        <v>293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117</v>
      </c>
      <c r="C470" s="6" t="str">
        <f aca="false">HYPERLINK("https://partner.tcgplayer.com/c/6278691/1780961/21018?u=https%3A%2F%2Fwww.tcgplayer.com%2Fproduct%2F678048%3Futm_source%3Dimpact%26utm_medium%3Daffiliate%26utm_campaign%3Dpoke%2Bcottage","Cynthia's Gabite")</f>
        <v>Cynthia's Gabite</v>
      </c>
      <c r="D470" s="5" t="s">
        <v>289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118</v>
      </c>
      <c r="C471" s="6" t="str">
        <f aca="false">HYPERLINK("https://partner.tcgplayer.com/c/6278691/1780961/21018?u=https%3A%2F%2Fwww.tcgplayer.com%2Fproduct%2F671310%3Futm_source%3Dimpact%26utm_medium%3Daffiliate%26utm_campaign%3Dpoke%2Bcottage","Cynthia's Garchomp ex")</f>
        <v>Cynthia's Garchomp ex</v>
      </c>
      <c r="D471" s="5" t="s">
        <v>289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133</v>
      </c>
      <c r="C472" s="6" t="str">
        <f aca="false">HYPERLINK("https://partner.tcgplayer.com/c/6278691/1780961/21018?u=https%3A%2F%2Fwww.tcgplayer.com%2Fproduct%2F671694%3Futm_source%3Dimpact%26utm_medium%3Daffiliate%26utm_campaign%3Dpoke%2Bcottage","Team Rocket's Nidoking ex")</f>
        <v>Team Rocket's Nidoking ex</v>
      </c>
      <c r="D472" s="5" t="s">
        <v>289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136</v>
      </c>
      <c r="C473" s="6" t="str">
        <f aca="false">HYPERLINK("https://partner.tcgplayer.com/c/6278691/1780961/21018?u=https%3A%2F%2Fwww.tcgplayer.com%2Fproduct%2F671689%3Futm_source%3Dimpact%26utm_medium%3Daffiliate%26utm_campaign%3Dpoke%2Bcottage","Team Rocket's Crobat ex")</f>
        <v>Team Rocket's Crobat ex</v>
      </c>
      <c r="D473" s="5" t="s">
        <v>289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150</v>
      </c>
      <c r="C474" s="6" t="str">
        <f aca="false">HYPERLINK("https://partner.tcgplayer.com/c/6278691/1780961/21018?u=https%3A%2F%2Fwww.tcgplayer.com%2Fproduct%2F704429%3Futm_source%3Dimpact%26utm_medium%3Daffiliate%26utm_campaign%3Dpoke%2Bcottage","Marnie's Grimmsnarl ex")</f>
        <v>Marnie's Grimmsnarl ex</v>
      </c>
      <c r="D474" s="5" t="s">
        <v>289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153</v>
      </c>
      <c r="C475" s="6" t="str">
        <f aca="false">HYPERLINK("https://partner.tcgplayer.com/c/6278691/1780961/21018?u=https%3A%2F%2Fwww.tcgplayer.com%2Fproduct%2F671109%3Futm_source%3Dimpact%26utm_medium%3Daffiliate%26utm_campaign%3Dpoke%2Bcottage","Arven's Mabosstiff ex")</f>
        <v>Arven's Mabosstiff ex</v>
      </c>
      <c r="D475" s="5" t="s">
        <v>289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163</v>
      </c>
      <c r="C476" s="6" t="str">
        <f aca="false">HYPERLINK("https://partner.tcgplayer.com/c/6278691/1780961/21018?u=https%3A%2F%2Fwww.tcgplayer.com%2Fproduct%2F639953%3Futm_source%3Dimpact%26utm_medium%3Daffiliate%26utm_campaign%3Dpoke%2Bcottage","Team Rocket's Meowth")</f>
        <v>Team Rocket's Meowth</v>
      </c>
      <c r="D476" s="5" t="s">
        <v>293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173</v>
      </c>
      <c r="C477" s="6" t="str">
        <f aca="false">HYPERLINK("https://partner.tcgplayer.com/c/6278691/1780961/21018?u=https%3A%2F%2Fwww.tcgplayer.com%2Fproduct%2F668438%3Futm_source%3Dimpact%26utm_medium%3Daffiliate%26utm_campaign%3Dpoke%2Bcottage","Arven's Greedent")</f>
        <v>Arven's Greedent</v>
      </c>
      <c r="D477" s="5" t="s">
        <v>293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176</v>
      </c>
      <c r="C478" s="6" t="str">
        <f aca="false">HYPERLINK("https://partner.tcgplayer.com/c/6278691/1780961/21018?u=https%3A%2F%2Fwww.tcgplayer.com%2Fproduct%2F671567%3Futm_source%3Dimpact%26utm_medium%3Daffiliate%26utm_campaign%3Dpoke%2Bcottage","Cynthia's Power Weight")</f>
        <v>Cynthia's Power Weight</v>
      </c>
      <c r="D478" s="5" t="s">
        <v>289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179</v>
      </c>
      <c r="C479" s="6" t="str">
        <f aca="false">HYPERLINK("https://partner.tcgplayer.com/c/6278691/1780961/21018?u=https%3A%2F%2Fwww.tcgplayer.com%2Fproduct%2F671564%3Futm_source%3Dimpact%26utm_medium%3Daffiliate%26utm_campaign%3Dpoke%2Bcottage","Ethan's Adventure")</f>
        <v>Ethan's Adventure</v>
      </c>
      <c r="D479" s="5" t="s">
        <v>289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179</v>
      </c>
      <c r="C480" s="6" t="str">
        <f aca="false">HYPERLINK("https://partner.tcgplayer.com/c/6278691/1780961/21018?u=https%3A%2F%2Fwww.tcgplayer.com%2Fproduct%2F703860%3Futm_source%3Dimpact%26utm_medium%3Daffiliate%26utm_campaign%3Dpoke%2Bcottage","Ethan's Adventure")</f>
        <v>Ethan's Adventure</v>
      </c>
      <c r="D480" s="5" t="s">
        <v>290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181</v>
      </c>
      <c r="C481" s="6" t="str">
        <f aca="false">HYPERLINK("https://partner.tcgplayer.com/c/6278691/1780961/21018?u=https%3A%2F%2Fwww.tcgplayer.com%2Fproduct%2F685999%3Futm_source%3Dimpact%26utm_medium%3Daffiliate%26utm_campaign%3Dpoke%2Bcottage","Judge")</f>
        <v>Judge</v>
      </c>
      <c r="D481" s="5" t="s">
        <v>303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184</v>
      </c>
      <c r="C482" s="6" t="str">
        <f aca="false">HYPERLINK("https://partner.tcgplayer.com/c/6278691/1780961/21018?u=https%3A%2F%2Fwww.tcgplayer.com%2Fproduct%2F671323%3Futm_source%3Dimpact%26utm_medium%3Daffiliate%26utm_campaign%3Dpoke%2Bcottage","Team Rocket's Archer")</f>
        <v>Team Rocket's Archer</v>
      </c>
      <c r="D482" s="5" t="s">
        <v>289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185</v>
      </c>
      <c r="C483" s="6" t="str">
        <f aca="false">HYPERLINK("https://partner.tcgplayer.com/c/6278691/1780961/21018?u=https%3A%2F%2Fwww.tcgplayer.com%2Fproduct%2F671319%3Futm_source%3Dimpact%26utm_medium%3Daffiliate%26utm_campaign%3Dpoke%2Bcottage","Team Rocket's Ariana")</f>
        <v>Team Rocket's Ariana</v>
      </c>
      <c r="D483" s="5" t="s">
        <v>289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187</v>
      </c>
      <c r="C484" s="6" t="str">
        <f aca="false">HYPERLINK("https://partner.tcgplayer.com/c/6278691/1780961/21018?u=https%3A%2F%2Fwww.tcgplayer.com%2Fproduct%2F671316%3Futm_source%3Dimpact%26utm_medium%3Daffiliate%26utm_campaign%3Dpoke%2Bcottage","Team Rocket's Factory")</f>
        <v>Team Rocket's Factory</v>
      </c>
      <c r="D484" s="5" t="s">
        <v>290</v>
      </c>
      <c r="E484" s="5"/>
      <c r="F484" s="5"/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188</v>
      </c>
      <c r="C485" s="6" t="str">
        <f aca="false">HYPERLINK("https://partner.tcgplayer.com/c/6278691/1780961/21018?u=https%3A%2F%2Fwww.tcgplayer.com%2Fproduct%2F639952%3Futm_source%3Dimpact%26utm_medium%3Daffiliate%26utm_campaign%3Dpoke%2Bcottage","Team Rocket's Giovanni")</f>
        <v>Team Rocket's Giovanni</v>
      </c>
      <c r="D485" s="5" t="s">
        <v>293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188</v>
      </c>
      <c r="C486" s="6" t="str">
        <f aca="false">HYPERLINK("https://partner.tcgplayer.com/c/6278691/1780961/21018?u=https%3A%2F%2Fwww.tcgplayer.com%2Fproduct%2F677796%3Futm_source%3Dimpact%26utm_medium%3Daffiliate%26utm_campaign%3Dpoke%2Bcottage","Team Rocket's Giovanni")</f>
        <v>Team Rocket's Giovanni</v>
      </c>
      <c r="D486" s="5" t="s">
        <v>304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188</v>
      </c>
      <c r="C487" s="5" t="s">
        <v>305</v>
      </c>
      <c r="D487" s="5" t="s">
        <v>306</v>
      </c>
      <c r="E487" s="5"/>
      <c r="F487" s="5" t="str">
        <f aca="false">HYPERLINK("https://www.ebay.com/sch/i.html?_nkw=Team+Rocket+s+Giovanni+Regional+Championships+Staff+Destined+Rivals+174+pokemon+card&amp;_sacat=0&amp;_from=R40&amp;_trksid=p4624852.m570.l1313&amp;mkcid=1&amp;mkrid=711-53200-19255-0&amp;siteid=0&amp;campid=5339158445&amp;customid=pokecottage&amp;toolid=10001&amp;mkevt=1","FIND ON EBAY")</f>
        <v>FIND ON EBAY</v>
      </c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188</v>
      </c>
      <c r="C488" s="6" t="str">
        <f aca="false">HYPERLINK("https://partner.tcgplayer.com/c/6278691/1780961/21018?u=https%3A%2F%2Fwww.tcgplayer.com%2Fproduct%2F671315%3Futm_source%3Dimpact%26utm_medium%3Daffiliate%26utm_campaign%3Dpoke%2Bcottage","Team Rocket's Giovanni")</f>
        <v>Team Rocket's Giovanni</v>
      </c>
      <c r="D488" s="5" t="s">
        <v>289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190</v>
      </c>
      <c r="C489" s="6" t="str">
        <f aca="false">HYPERLINK("https://partner.tcgplayer.com/c/6278691/1780961/21018?u=https%3A%2F%2Fwww.tcgplayer.com%2Fproduct%2F671314%3Futm_source%3Dimpact%26utm_medium%3Daffiliate%26utm_campaign%3Dpoke%2Bcottage","Team Rocket's Petrel")</f>
        <v>Team Rocket's Petrel</v>
      </c>
      <c r="D489" s="5" t="s">
        <v>289</v>
      </c>
      <c r="E489" s="5"/>
      <c r="F489" s="5"/>
      <c r="G489" s="5"/>
      <c r="H489" s="7"/>
    </row>
    <row r="490" customFormat="false" ht="30" hidden="false" customHeight="true" outlineLevel="0" collapsed="false">
      <c r="A490" s="4" t="s">
        <v>6</v>
      </c>
      <c r="B490" s="5" t="s">
        <v>190</v>
      </c>
      <c r="C490" s="5" t="s">
        <v>307</v>
      </c>
      <c r="D490" s="5" t="s">
        <v>292</v>
      </c>
      <c r="E490" s="5"/>
      <c r="F490" s="5" t="str">
        <f aca="false">HYPERLINK("https://www.ebay.com/sch/i.html?_nkw=Team+Rocket+s+Petrel+Pokemon+TCG+Gym+Destined+Rivals+176+pokemon+card&amp;_sacat=0&amp;_from=R40&amp;_trksid=p4624852.m570.l1313&amp;mkcid=1&amp;mkrid=711-53200-19255-0&amp;siteid=0&amp;campid=5339158445&amp;customid=pokecottage&amp;toolid=10001&amp;mkevt=1","FIND ON EBAY")</f>
        <v>FIND ON EBAY</v>
      </c>
      <c r="G490" s="5"/>
      <c r="H490" s="7"/>
    </row>
    <row r="491" customFormat="false" ht="30" hidden="false" customHeight="true" outlineLevel="0" collapsed="false">
      <c r="A491" s="4" t="s">
        <v>6</v>
      </c>
      <c r="B491" s="5" t="s">
        <v>190</v>
      </c>
      <c r="C491" s="5" t="s">
        <v>307</v>
      </c>
      <c r="D491" s="5" t="s">
        <v>308</v>
      </c>
      <c r="E491" s="5"/>
      <c r="F491" s="5" t="str">
        <f aca="false">HYPERLINK("https://www.ebay.com/sch/i.html?_nkw=Team+Rocket+s+Petrel+World+Championships+Deck+2025+Joltdengo+by+Liao+Fu+Guan+Destined+Rivals+176+pokemon+card&amp;_sacat=0&amp;_from=R40&amp;_trksid=p4624852.m570.l1313&amp;mkcid=1&amp;mkrid=711-53200-19255-0&amp;siteid=0&amp;campid=5339158445&amp;customid=pokecottage&amp;toolid=10001&amp;mkevt=1","FIND ON EBAY")</f>
        <v>FIND ON EBAY</v>
      </c>
      <c r="G491" s="5"/>
      <c r="H491" s="7"/>
    </row>
    <row r="492" customFormat="false" ht="30" hidden="false" customHeight="true" outlineLevel="0" collapsed="false">
      <c r="A492" s="4" t="s">
        <v>6</v>
      </c>
      <c r="B492" s="5" t="s">
        <v>191</v>
      </c>
      <c r="C492" s="6" t="str">
        <f aca="false">HYPERLINK("https://partner.tcgplayer.com/c/6278691/1780961/21018?u=https%3A%2F%2Fwww.tcgplayer.com%2Fproduct%2F671313%3Futm_source%3Dimpact%26utm_medium%3Daffiliate%26utm_campaign%3Dpoke%2Bcottage","Team Rocket's Proton")</f>
        <v>Team Rocket's Proton</v>
      </c>
      <c r="D492" s="5" t="s">
        <v>289</v>
      </c>
      <c r="E492" s="5"/>
      <c r="F492" s="5"/>
      <c r="G492" s="5"/>
      <c r="H492" s="7"/>
    </row>
    <row r="493" customFormat="false" ht="30" hidden="false" customHeight="true" outlineLevel="0" collapsed="false">
      <c r="A493" s="4" t="s">
        <v>6</v>
      </c>
      <c r="B493" s="5" t="s">
        <v>192</v>
      </c>
      <c r="C493" s="6" t="str">
        <f aca="false">HYPERLINK("https://partner.tcgplayer.com/c/6278691/1780961/21018?u=https%3A%2F%2Fwww.tcgplayer.com%2Fproduct%2F671312%3Futm_source%3Dimpact%26utm_medium%3Daffiliate%26utm_campaign%3Dpoke%2Bcottage","Team Rocket's Transceiver")</f>
        <v>Team Rocket's Transceiver</v>
      </c>
      <c r="D493" s="5" t="s">
        <v>289</v>
      </c>
      <c r="E493" s="5"/>
      <c r="F493" s="5"/>
      <c r="G493" s="5"/>
      <c r="H493" s="7"/>
    </row>
    <row r="494" customFormat="false" ht="30" hidden="false" customHeight="true" outlineLevel="0" collapsed="false">
      <c r="A494" s="4" t="s">
        <v>6</v>
      </c>
      <c r="B494" s="5" t="s">
        <v>196</v>
      </c>
      <c r="C494" s="6" t="str">
        <f aca="false">HYPERLINK("https://partner.tcgplayer.com/c/6278691/1780961/21018?u=https%3A%2F%2Fwww.tcgplayer.com%2Fproduct%2F671317%3Futm_source%3Dimpact%26utm_medium%3Daffiliate%26utm_campaign%3Dpoke%2Bcottage","Team Rocket's Energy")</f>
        <v>Team Rocket's Energy</v>
      </c>
      <c r="D494" s="5" t="s">
        <v>289</v>
      </c>
      <c r="E494" s="5"/>
      <c r="F494" s="5"/>
      <c r="G494" s="5"/>
      <c r="H494" s="7"/>
    </row>
    <row r="495" customFormat="false" ht="30" hidden="false" customHeight="true" outlineLevel="0" collapsed="false">
      <c r="A495" s="4" t="s">
        <v>6</v>
      </c>
      <c r="B495" s="5" t="s">
        <v>224</v>
      </c>
      <c r="C495" s="6" t="str">
        <f aca="false">HYPERLINK("https://partner.tcgplayer.com/c/6278691/1780961/21018?u=https%3A%2F%2Fwww.tcgplayer.com%2Fproduct%2F663426%3Futm_source%3Dimpact%26utm_medium%3Daffiliate%26utm_campaign%3Dpoke%2Bcottage","Team Rocket's Moltres ex")</f>
        <v>Team Rocket's Moltres ex</v>
      </c>
      <c r="D495" s="5" t="s">
        <v>295</v>
      </c>
      <c r="E495" s="5"/>
      <c r="F495" s="5"/>
      <c r="G495" s="5"/>
      <c r="H495" s="7"/>
    </row>
    <row r="496" customFormat="false" ht="30" hidden="false" customHeight="true" outlineLevel="0" collapsed="false">
      <c r="A496" s="4" t="s">
        <v>6</v>
      </c>
      <c r="B496" s="5" t="s">
        <v>246</v>
      </c>
      <c r="C496" s="6" t="str">
        <f aca="false">HYPERLINK("https://partner.tcgplayer.com/c/6278691/1780961/21018?u=https%3A%2F%2Fwww.tcgplayer.com%2Fproduct%2F663427%3Futm_source%3Dimpact%26utm_medium%3Daffiliate%26utm_campaign%3Dpoke%2Bcottage","Team Rocket's Moltres ex")</f>
        <v>Team Rocket's Moltres ex</v>
      </c>
      <c r="D496" s="5" t="s">
        <v>295</v>
      </c>
      <c r="E496" s="5"/>
      <c r="F496" s="5"/>
      <c r="G496" s="5"/>
      <c r="H496" s="7"/>
    </row>
    <row r="498" customFormat="false" ht="24" hidden="false" customHeight="true" outlineLevel="0" collapsed="false">
      <c r="A498" s="8" t="s">
        <v>309</v>
      </c>
      <c r="B498" s="8"/>
      <c r="C498" s="8"/>
      <c r="D498" s="8"/>
      <c r="E498" s="8"/>
      <c r="F498" s="8"/>
      <c r="G498" s="8"/>
      <c r="H498" s="8"/>
    </row>
    <row r="499" customFormat="false" ht="24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</row>
  </sheetData>
  <mergeCells count="2">
    <mergeCell ref="A411:H411"/>
    <mergeCell ref="A498:H499"/>
  </mergeCells>
  <dataValidations count="1">
    <dataValidation allowBlank="false" errorStyle="stop" operator="between" showDropDown="false" showErrorMessage="false" showInputMessage="false" sqref="A2:A496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310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HYPERLINK("https://pokecottage.com/destined-rivals-master-set-guide","Download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311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312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313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311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312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